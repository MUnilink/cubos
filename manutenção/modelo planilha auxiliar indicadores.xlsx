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manutenção\"/>
    </mc:Choice>
  </mc:AlternateContent>
  <bookViews>
    <workbookView xWindow="0" yWindow="0" windowWidth="28800" windowHeight="11715" activeTab="1"/>
  </bookViews>
  <sheets>
    <sheet name="PLANILHA" sheetId="1" r:id="rId1"/>
    <sheet name="ATA" sheetId="4" r:id="rId2"/>
    <sheet name="LISTAS" sheetId="2" r:id="rId3"/>
  </sheets>
  <externalReferences>
    <externalReference r:id="rId4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4" l="1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2" i="4"/>
  <c r="N2" i="4"/>
  <c r="O2" i="4"/>
  <c r="F4" i="4" l="1"/>
  <c r="G4" i="4" s="1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3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" i="4"/>
  <c r="V33" i="4"/>
  <c r="P33" i="4"/>
  <c r="G32" i="4"/>
  <c r="G31" i="4"/>
  <c r="G30" i="4"/>
  <c r="G29" i="4"/>
  <c r="I1" i="4"/>
  <c r="G24" i="4" l="1"/>
  <c r="G16" i="4"/>
  <c r="G6" i="4"/>
  <c r="G13" i="4"/>
  <c r="G5" i="4"/>
  <c r="G28" i="4"/>
  <c r="G12" i="4"/>
  <c r="G19" i="4"/>
  <c r="G11" i="4"/>
  <c r="G7" i="4"/>
  <c r="G15" i="4"/>
  <c r="G8" i="4"/>
  <c r="G14" i="4"/>
  <c r="G21" i="4"/>
  <c r="G27" i="4"/>
  <c r="G25" i="4"/>
  <c r="G17" i="4"/>
  <c r="G9" i="4"/>
  <c r="G3" i="4"/>
  <c r="G23" i="4"/>
  <c r="G22" i="4"/>
  <c r="G20" i="4"/>
  <c r="G26" i="4"/>
  <c r="G18" i="4"/>
  <c r="G10" i="4"/>
  <c r="F33" i="4"/>
  <c r="G2" i="4"/>
  <c r="E33" i="4"/>
  <c r="G33" i="4" l="1"/>
</calcChain>
</file>

<file path=xl/sharedStrings.xml><?xml version="1.0" encoding="utf-8"?>
<sst xmlns="http://schemas.openxmlformats.org/spreadsheetml/2006/main" count="1169" uniqueCount="207">
  <si>
    <t>FILIAL</t>
  </si>
  <si>
    <t>CENTRO DE CUSTO</t>
  </si>
  <si>
    <t>ATIVIDADE</t>
  </si>
  <si>
    <t>BEM MNT</t>
  </si>
  <si>
    <t>DATA</t>
  </si>
  <si>
    <t>DISPONIBILIDADE</t>
  </si>
  <si>
    <t>DISPONÍVEL</t>
  </si>
  <si>
    <t>AGUARDANDO PEÇAS</t>
  </si>
  <si>
    <t>SERVIÇO EXTERNO</t>
  </si>
  <si>
    <t>PENDÊNCIA</t>
  </si>
  <si>
    <t>LISTA PENDÊNCIA</t>
  </si>
  <si>
    <t>S/N</t>
  </si>
  <si>
    <t>SUPRIMENTOS</t>
  </si>
  <si>
    <t>MANUTENÇÃO</t>
  </si>
  <si>
    <t>ALMOXARIFADO</t>
  </si>
  <si>
    <t>GERÊNCIA</t>
  </si>
  <si>
    <t>DIRETORIA</t>
  </si>
  <si>
    <t>SEGURANÇA</t>
  </si>
  <si>
    <t>TI</t>
  </si>
  <si>
    <t>OPERAÇÃO</t>
  </si>
  <si>
    <t>LHM 400</t>
  </si>
  <si>
    <t>CC</t>
  </si>
  <si>
    <t>ATIVIDADES</t>
  </si>
  <si>
    <t>CM</t>
  </si>
  <si>
    <t>SR</t>
  </si>
  <si>
    <t>GD</t>
  </si>
  <si>
    <t>MP</t>
  </si>
  <si>
    <t>ML</t>
  </si>
  <si>
    <t>MA</t>
  </si>
  <si>
    <t>TOTAL DE MAQUINAS PESADA DIARIA</t>
  </si>
  <si>
    <t xml:space="preserve">TOTAL </t>
  </si>
  <si>
    <t>DISPONIVEL</t>
  </si>
  <si>
    <t>%</t>
  </si>
  <si>
    <t>FROTA</t>
  </si>
  <si>
    <t>TOTAL DE VEICULO PESADA DIARIA</t>
  </si>
  <si>
    <t xml:space="preserve">MAQUINA/VEICULOS PARADOS AGUARDANDO PEÇAS </t>
  </si>
  <si>
    <t>🚚 1001</t>
  </si>
  <si>
    <t>COMPRAS</t>
  </si>
  <si>
    <t>🚚 1004</t>
  </si>
  <si>
    <t>🚚 1011</t>
  </si>
  <si>
    <t>🚚 3002</t>
  </si>
  <si>
    <t>🚚 3011</t>
  </si>
  <si>
    <t>🚚 5001</t>
  </si>
  <si>
    <t>🚚 5000</t>
  </si>
  <si>
    <t>🚚 5015</t>
  </si>
  <si>
    <t>FROTA PARADA NO PORTO</t>
  </si>
  <si>
    <t>FROTA PARADA FORA DO PORTO</t>
  </si>
  <si>
    <t>CM1000</t>
  </si>
  <si>
    <t>CM1001</t>
  </si>
  <si>
    <t>CM1002</t>
  </si>
  <si>
    <t>CM1003</t>
  </si>
  <si>
    <t>CM1004</t>
  </si>
  <si>
    <t>CM1005</t>
  </si>
  <si>
    <t>CM1006</t>
  </si>
  <si>
    <t>CM1007</t>
  </si>
  <si>
    <t>CM1008</t>
  </si>
  <si>
    <t>CM1009</t>
  </si>
  <si>
    <t>CM1010</t>
  </si>
  <si>
    <t>CM1011</t>
  </si>
  <si>
    <t>CM1012</t>
  </si>
  <si>
    <t>CM1013</t>
  </si>
  <si>
    <t>CM1014</t>
  </si>
  <si>
    <t>CM1015</t>
  </si>
  <si>
    <t>CM1016</t>
  </si>
  <si>
    <t>CM1017</t>
  </si>
  <si>
    <t>CM1018</t>
  </si>
  <si>
    <t>CM1019</t>
  </si>
  <si>
    <t>CM1020</t>
  </si>
  <si>
    <t>CM1021</t>
  </si>
  <si>
    <t>CM1022</t>
  </si>
  <si>
    <t>CM1023</t>
  </si>
  <si>
    <t>CM1024</t>
  </si>
  <si>
    <t>CM1025</t>
  </si>
  <si>
    <t>CM1026</t>
  </si>
  <si>
    <t>CM1027</t>
  </si>
  <si>
    <t>CM2000</t>
  </si>
  <si>
    <t>CM2001</t>
  </si>
  <si>
    <t>CM2002</t>
  </si>
  <si>
    <t>CM2003</t>
  </si>
  <si>
    <t>CM2004</t>
  </si>
  <si>
    <t>CM2005</t>
  </si>
  <si>
    <t>CM3000</t>
  </si>
  <si>
    <t>CM3001</t>
  </si>
  <si>
    <t>CM3002</t>
  </si>
  <si>
    <t>CM3003</t>
  </si>
  <si>
    <t>CM3004</t>
  </si>
  <si>
    <t>CM3005</t>
  </si>
  <si>
    <t>CM3006</t>
  </si>
  <si>
    <t>CM3007</t>
  </si>
  <si>
    <t>CM3008</t>
  </si>
  <si>
    <t>CM3009</t>
  </si>
  <si>
    <t>CM3010</t>
  </si>
  <si>
    <t>CM3011</t>
  </si>
  <si>
    <t>CM3012</t>
  </si>
  <si>
    <t>CM3013</t>
  </si>
  <si>
    <t>CM3014</t>
  </si>
  <si>
    <t>CM3015</t>
  </si>
  <si>
    <t>CM4000</t>
  </si>
  <si>
    <t>CM4001</t>
  </si>
  <si>
    <t>CM4002</t>
  </si>
  <si>
    <t>CM4003</t>
  </si>
  <si>
    <t>CM4004</t>
  </si>
  <si>
    <t>CM5000</t>
  </si>
  <si>
    <t>CM5001</t>
  </si>
  <si>
    <t>CM5002</t>
  </si>
  <si>
    <t>CM5003</t>
  </si>
  <si>
    <t>CM5004</t>
  </si>
  <si>
    <t>CM5005</t>
  </si>
  <si>
    <t>CM5006</t>
  </si>
  <si>
    <t>CM5007</t>
  </si>
  <si>
    <t>CM5008</t>
  </si>
  <si>
    <t>CM5009</t>
  </si>
  <si>
    <t>CM5010</t>
  </si>
  <si>
    <t>CM5011</t>
  </si>
  <si>
    <t>CM5012</t>
  </si>
  <si>
    <t>CM5013</t>
  </si>
  <si>
    <t>CM5014</t>
  </si>
  <si>
    <t>CM5015</t>
  </si>
  <si>
    <t>CM5016</t>
  </si>
  <si>
    <t>CM5017</t>
  </si>
  <si>
    <t>CM5018</t>
  </si>
  <si>
    <t>CM5019</t>
  </si>
  <si>
    <t>CM5020</t>
  </si>
  <si>
    <t>CM5021</t>
  </si>
  <si>
    <t>CM5022</t>
  </si>
  <si>
    <t>CM5023</t>
  </si>
  <si>
    <t>CM5024</t>
  </si>
  <si>
    <t>CM5025</t>
  </si>
  <si>
    <t>CM5026</t>
  </si>
  <si>
    <t>CM5027</t>
  </si>
  <si>
    <t>CM5028</t>
  </si>
  <si>
    <t>CM5029</t>
  </si>
  <si>
    <t>CM5030</t>
  </si>
  <si>
    <t>CM5031</t>
  </si>
  <si>
    <t>CM5032</t>
  </si>
  <si>
    <t>CM5033</t>
  </si>
  <si>
    <t>CM5034</t>
  </si>
  <si>
    <t>CM5035</t>
  </si>
  <si>
    <t>CM6000</t>
  </si>
  <si>
    <t>CM6001</t>
  </si>
  <si>
    <t>CM6002</t>
  </si>
  <si>
    <t>CM6003</t>
  </si>
  <si>
    <t>CM6004</t>
  </si>
  <si>
    <t>CM6005</t>
  </si>
  <si>
    <t>CN 01 BARDELLA</t>
  </si>
  <si>
    <t>GHMK6407B</t>
  </si>
  <si>
    <t>GMK4100</t>
  </si>
  <si>
    <t>H01</t>
  </si>
  <si>
    <t>H02</t>
  </si>
  <si>
    <t>H03</t>
  </si>
  <si>
    <t>KAL02</t>
  </si>
  <si>
    <t>KAL03</t>
  </si>
  <si>
    <t>KAL04</t>
  </si>
  <si>
    <t>KAL05</t>
  </si>
  <si>
    <t>KAL06</t>
  </si>
  <si>
    <t>KAL07</t>
  </si>
  <si>
    <t>KAL08</t>
  </si>
  <si>
    <t>RS10</t>
  </si>
  <si>
    <t>RS11</t>
  </si>
  <si>
    <t>RS12</t>
  </si>
  <si>
    <t>RS14</t>
  </si>
  <si>
    <t>RS15</t>
  </si>
  <si>
    <t>RS16</t>
  </si>
  <si>
    <t>RS17</t>
  </si>
  <si>
    <t>BOBCAT01</t>
  </si>
  <si>
    <t>EP03</t>
  </si>
  <si>
    <t>EP05</t>
  </si>
  <si>
    <t>EP08</t>
  </si>
  <si>
    <t>EP09</t>
  </si>
  <si>
    <t>EP11</t>
  </si>
  <si>
    <t>EP12</t>
  </si>
  <si>
    <t>EP13</t>
  </si>
  <si>
    <t>EP14</t>
  </si>
  <si>
    <t>EP15</t>
  </si>
  <si>
    <t>EP16</t>
  </si>
  <si>
    <t>EP17</t>
  </si>
  <si>
    <t>EP18</t>
  </si>
  <si>
    <t>PA01</t>
  </si>
  <si>
    <t>CP01</t>
  </si>
  <si>
    <t>CP02</t>
  </si>
  <si>
    <t>CP03</t>
  </si>
  <si>
    <t>CP04</t>
  </si>
  <si>
    <t>CP07</t>
  </si>
  <si>
    <t>CP09</t>
  </si>
  <si>
    <t>CP10</t>
  </si>
  <si>
    <t>CP11</t>
  </si>
  <si>
    <t>CP12</t>
  </si>
  <si>
    <t>GER0060</t>
  </si>
  <si>
    <t>GER0061</t>
  </si>
  <si>
    <t>GER0100</t>
  </si>
  <si>
    <t>GER0200</t>
  </si>
  <si>
    <t>GR01</t>
  </si>
  <si>
    <t>GR02</t>
  </si>
  <si>
    <t>GR03</t>
  </si>
  <si>
    <t>GR04</t>
  </si>
  <si>
    <t>GRAB 02</t>
  </si>
  <si>
    <t>GRAB01</t>
  </si>
  <si>
    <t>GRAB02</t>
  </si>
  <si>
    <t>GRAB03</t>
  </si>
  <si>
    <t>GRAB04</t>
  </si>
  <si>
    <t>GRAB05</t>
  </si>
  <si>
    <t>MOG01</t>
  </si>
  <si>
    <t>MOG02</t>
  </si>
  <si>
    <t>MOG04</t>
  </si>
  <si>
    <t>GMK4100 GD</t>
  </si>
  <si>
    <t>GERAL</t>
  </si>
  <si>
    <t>QTD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</si>
</sst>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30">
    <xf numFmtId="0" fontId="0" fillId="0" borderId="0" xfId="0"/>
    <xf numFmtId="0" fontId="0" fillId="4" borderId="0" xfId="0" applyFill="1"/>
    <xf numFmtId="0" fontId="0" fillId="5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2" fillId="6" borderId="0" xfId="1" applyFont="1" applyFill="1" applyBorder="1" applyAlignment="1">
      <alignment vertical="center"/>
    </xf>
    <xf numFmtId="0" fontId="2" fillId="6" borderId="0" xfId="1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4" fontId="2" fillId="6" borderId="0" xfId="1" applyNumberFormat="1" applyFont="1" applyFill="1" applyBorder="1" applyAlignment="1">
      <alignment horizontal="center" vertical="center"/>
    </xf>
    <xf numFmtId="16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 vertical="center"/>
    </xf>
    <xf numFmtId="0" fontId="3" fillId="4" borderId="0" xfId="0" applyFont="1" applyFill="1"/>
    <xf numFmtId="10" fontId="0" fillId="0" borderId="0" xfId="0" applyNumberFormat="1"/>
    <xf numFmtId="2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5" borderId="0" xfId="0" applyFill="1" applyAlignment="1">
      <alignment horizontal="left"/>
    </xf>
    <xf numFmtId="49" fontId="0" fillId="0" borderId="0" xfId="0" applyNumberFormat="1" applyAlignment="1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14" fontId="0" fillId="0" borderId="0" xfId="0" applyNumberFormat="1"/>
    <xf numFmtId="0" fontId="4" fillId="0" borderId="0" xfId="0" applyFon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6" borderId="1" xfId="1" applyFont="1" applyFill="1" applyBorder="1" applyAlignment="1">
      <alignment horizontal="center" vertical="center"/>
    </xf>
    <xf numFmtId="0" fontId="2" fillId="6" borderId="0" xfId="1" applyFont="1" applyFill="1" applyBorder="1" applyAlignment="1">
      <alignment horizontal="center" vertical="center"/>
    </xf>
  </cellXfs>
  <cellStyles count="2">
    <cellStyle name="Normal" xfId="0" builtinId="0"/>
    <cellStyle name="Normal 2" xfId="1"/>
  </cellStyles>
  <dxfs count="1">
    <dxf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noel/Downloads/Ata%20de%20reuni&#227;o%20di&#225;ria%20manuten&#231;&#227;o%20PECEM%2027.06.2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1"/>
    </sheetNames>
    <sheetDataSet>
      <sheetData sheetId="0"/>
    </sheetDataSet>
  </externalBook>
</externalLink>
</file>

<file path=xl/tables/table1.xml><?xml version="1.0" encoding="utf-8"?>
<table xmlns="http://schemas.openxmlformats.org/spreadsheetml/2006/main" id="1" name="Tabela1" displayName="Tabela1" ref="A1:J3001" totalsRowShown="0" headerRowDxfId="0">
  <autoFilter ref="A1:J3001"/>
  <tableColumns count="10">
    <tableColumn id="1" name="FILIAL"/>
    <tableColumn id="2" name="CENTRO DE CUSTO"/>
    <tableColumn id="3" name="ATIVIDADE"/>
    <tableColumn id="4" name="BEM MNT"/>
    <tableColumn id="5" name="DATA"/>
    <tableColumn id="6" name="DISPONIBILIDADE"/>
    <tableColumn id="7" name="DISPONÍVEL"/>
    <tableColumn id="8" name="AGUARDANDO PEÇAS"/>
    <tableColumn id="9" name="SERVIÇO EXTERNO"/>
    <tableColumn id="10" name="PENDÊNCIA"/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001"/>
  <sheetViews>
    <sheetView topLeftCell="A641" workbookViewId="0">
      <selection activeCell="D657" sqref="D657"/>
    </sheetView>
  </sheetViews>
  <sheetFormatPr defaultRowHeight="15" x14ac:dyDescent="0.25"/>
  <cols>
    <col min="1" max="1" width="8.28515625" customWidth="1"/>
    <col min="2" max="2" width="19.42578125" customWidth="1"/>
    <col min="3" max="3" width="12.7109375" customWidth="1"/>
    <col min="4" max="4" width="11.85546875" customWidth="1"/>
    <col min="5" max="5" width="10.7109375" bestFit="1" customWidth="1"/>
    <col min="6" max="6" width="18.5703125" customWidth="1"/>
    <col min="7" max="7" width="13.7109375" customWidth="1"/>
    <col min="8" max="8" width="22.42578125" customWidth="1"/>
    <col min="9" max="9" width="19.28515625" customWidth="1"/>
    <col min="10" max="10" width="13.42578125" customWidth="1"/>
    <col min="27" max="27" width="16.5703125" bestFit="1" customWidth="1"/>
  </cols>
  <sheetData>
    <row r="1" spans="1:10" x14ac:dyDescent="0.2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x14ac:dyDescent="0.25">
      <c r="D2" t="s">
        <v>147</v>
      </c>
      <c r="E2" s="24">
        <v>45078</v>
      </c>
      <c r="F2">
        <v>1</v>
      </c>
      <c r="G2">
        <v>1</v>
      </c>
      <c r="H2">
        <v>0</v>
      </c>
      <c r="I2" s="25">
        <v>0</v>
      </c>
    </row>
    <row r="3" spans="1:10" x14ac:dyDescent="0.25">
      <c r="D3" t="s">
        <v>148</v>
      </c>
      <c r="E3" s="24">
        <v>45078</v>
      </c>
      <c r="F3">
        <v>1</v>
      </c>
      <c r="G3">
        <v>1</v>
      </c>
      <c r="H3">
        <v>0</v>
      </c>
      <c r="I3">
        <v>0</v>
      </c>
    </row>
    <row r="4" spans="1:10" x14ac:dyDescent="0.25">
      <c r="D4" t="s">
        <v>149</v>
      </c>
      <c r="E4" s="24">
        <v>45078</v>
      </c>
      <c r="F4">
        <v>1</v>
      </c>
      <c r="G4">
        <v>1</v>
      </c>
      <c r="H4">
        <v>1</v>
      </c>
      <c r="I4">
        <v>0</v>
      </c>
    </row>
    <row r="5" spans="1:10" x14ac:dyDescent="0.25">
      <c r="D5" t="s">
        <v>150</v>
      </c>
      <c r="E5" s="24">
        <v>45078</v>
      </c>
      <c r="F5">
        <v>1</v>
      </c>
      <c r="G5">
        <v>1</v>
      </c>
      <c r="H5">
        <v>0</v>
      </c>
      <c r="I5">
        <v>0</v>
      </c>
    </row>
    <row r="6" spans="1:10" x14ac:dyDescent="0.25">
      <c r="D6" t="s">
        <v>151</v>
      </c>
      <c r="E6" s="24">
        <v>45078</v>
      </c>
      <c r="F6">
        <v>1</v>
      </c>
      <c r="G6">
        <v>1</v>
      </c>
      <c r="H6">
        <v>0</v>
      </c>
      <c r="I6">
        <v>0</v>
      </c>
    </row>
    <row r="7" spans="1:10" x14ac:dyDescent="0.25">
      <c r="D7" t="s">
        <v>152</v>
      </c>
      <c r="E7" s="24">
        <v>45078</v>
      </c>
      <c r="F7">
        <v>1</v>
      </c>
      <c r="G7">
        <v>1</v>
      </c>
      <c r="H7">
        <v>0</v>
      </c>
      <c r="I7">
        <v>0</v>
      </c>
    </row>
    <row r="8" spans="1:10" x14ac:dyDescent="0.25">
      <c r="D8" t="s">
        <v>153</v>
      </c>
      <c r="E8" s="24">
        <v>45078</v>
      </c>
      <c r="F8">
        <v>1</v>
      </c>
      <c r="G8">
        <v>1</v>
      </c>
      <c r="H8">
        <v>1</v>
      </c>
      <c r="I8">
        <v>0</v>
      </c>
    </row>
    <row r="9" spans="1:10" x14ac:dyDescent="0.25">
      <c r="D9" t="s">
        <v>154</v>
      </c>
      <c r="E9" s="24">
        <v>45078</v>
      </c>
      <c r="F9">
        <v>1</v>
      </c>
      <c r="G9">
        <v>1</v>
      </c>
      <c r="H9">
        <v>1</v>
      </c>
      <c r="I9">
        <v>0</v>
      </c>
    </row>
    <row r="10" spans="1:10" x14ac:dyDescent="0.25">
      <c r="D10" t="s">
        <v>155</v>
      </c>
      <c r="E10" s="24">
        <v>45078</v>
      </c>
      <c r="F10">
        <v>1</v>
      </c>
      <c r="G10">
        <v>1</v>
      </c>
      <c r="H10">
        <v>1</v>
      </c>
      <c r="I10">
        <v>0</v>
      </c>
    </row>
    <row r="11" spans="1:10" x14ac:dyDescent="0.25">
      <c r="D11" t="s">
        <v>156</v>
      </c>
      <c r="E11" s="24">
        <v>45078</v>
      </c>
      <c r="F11">
        <v>1</v>
      </c>
      <c r="G11">
        <v>1</v>
      </c>
      <c r="H11">
        <v>1</v>
      </c>
      <c r="I11">
        <v>0</v>
      </c>
    </row>
    <row r="12" spans="1:10" x14ac:dyDescent="0.25">
      <c r="D12" t="s">
        <v>157</v>
      </c>
      <c r="E12" s="24">
        <v>45078</v>
      </c>
      <c r="F12">
        <v>1</v>
      </c>
      <c r="G12">
        <v>1</v>
      </c>
      <c r="H12">
        <v>1</v>
      </c>
      <c r="I12">
        <v>0</v>
      </c>
    </row>
    <row r="13" spans="1:10" x14ac:dyDescent="0.25">
      <c r="D13" t="s">
        <v>158</v>
      </c>
      <c r="E13" s="24">
        <v>45078</v>
      </c>
      <c r="F13">
        <v>1</v>
      </c>
      <c r="G13">
        <v>0</v>
      </c>
      <c r="H13">
        <v>0</v>
      </c>
      <c r="I13">
        <v>0</v>
      </c>
    </row>
    <row r="14" spans="1:10" x14ac:dyDescent="0.25">
      <c r="D14" t="s">
        <v>159</v>
      </c>
      <c r="E14" s="24">
        <v>45078</v>
      </c>
      <c r="F14">
        <v>1</v>
      </c>
      <c r="G14">
        <v>1</v>
      </c>
      <c r="H14">
        <v>0</v>
      </c>
      <c r="I14">
        <v>0</v>
      </c>
    </row>
    <row r="15" spans="1:10" x14ac:dyDescent="0.25">
      <c r="D15" t="s">
        <v>160</v>
      </c>
      <c r="E15" s="24">
        <v>45078</v>
      </c>
      <c r="F15">
        <v>1</v>
      </c>
      <c r="G15">
        <v>1</v>
      </c>
      <c r="H15">
        <v>0</v>
      </c>
      <c r="I15">
        <v>0</v>
      </c>
    </row>
    <row r="16" spans="1:10" x14ac:dyDescent="0.25">
      <c r="D16" t="s">
        <v>161</v>
      </c>
      <c r="E16" s="24">
        <v>45078</v>
      </c>
      <c r="F16">
        <v>1</v>
      </c>
      <c r="G16">
        <v>1</v>
      </c>
      <c r="H16">
        <v>0</v>
      </c>
      <c r="I16">
        <v>0</v>
      </c>
    </row>
    <row r="17" spans="4:9" x14ac:dyDescent="0.25">
      <c r="D17" t="s">
        <v>162</v>
      </c>
      <c r="E17" s="24">
        <v>45078</v>
      </c>
      <c r="F17">
        <v>1</v>
      </c>
      <c r="G17">
        <v>1</v>
      </c>
      <c r="H17">
        <v>0</v>
      </c>
      <c r="I17">
        <v>0</v>
      </c>
    </row>
    <row r="18" spans="4:9" x14ac:dyDescent="0.25">
      <c r="D18" t="s">
        <v>163</v>
      </c>
      <c r="E18" s="24">
        <v>45078</v>
      </c>
      <c r="F18">
        <v>1</v>
      </c>
      <c r="G18">
        <v>1</v>
      </c>
      <c r="H18">
        <v>0</v>
      </c>
      <c r="I18">
        <v>0</v>
      </c>
    </row>
    <row r="19" spans="4:9" x14ac:dyDescent="0.25">
      <c r="D19" t="s">
        <v>164</v>
      </c>
      <c r="E19" s="24">
        <v>45078</v>
      </c>
      <c r="F19">
        <v>0</v>
      </c>
      <c r="G19">
        <v>1</v>
      </c>
      <c r="H19">
        <v>1</v>
      </c>
      <c r="I19">
        <v>0</v>
      </c>
    </row>
    <row r="20" spans="4:9" x14ac:dyDescent="0.25">
      <c r="D20" t="s">
        <v>165</v>
      </c>
      <c r="E20" s="24">
        <v>45078</v>
      </c>
      <c r="F20">
        <v>0</v>
      </c>
      <c r="G20">
        <v>0</v>
      </c>
      <c r="H20">
        <v>0</v>
      </c>
      <c r="I20">
        <v>0</v>
      </c>
    </row>
    <row r="21" spans="4:9" x14ac:dyDescent="0.25">
      <c r="D21" t="s">
        <v>166</v>
      </c>
      <c r="E21" s="24">
        <v>45078</v>
      </c>
      <c r="F21">
        <v>0</v>
      </c>
      <c r="G21">
        <v>1</v>
      </c>
      <c r="H21">
        <v>1</v>
      </c>
      <c r="I21">
        <v>0</v>
      </c>
    </row>
    <row r="22" spans="4:9" x14ac:dyDescent="0.25">
      <c r="D22" t="s">
        <v>167</v>
      </c>
      <c r="E22" s="24">
        <v>45078</v>
      </c>
      <c r="F22">
        <v>0</v>
      </c>
      <c r="G22">
        <v>0</v>
      </c>
      <c r="H22">
        <v>0</v>
      </c>
      <c r="I22">
        <v>0</v>
      </c>
    </row>
    <row r="23" spans="4:9" x14ac:dyDescent="0.25">
      <c r="D23" t="s">
        <v>168</v>
      </c>
      <c r="E23" s="24">
        <v>45078</v>
      </c>
      <c r="F23">
        <v>0</v>
      </c>
      <c r="G23">
        <v>1</v>
      </c>
      <c r="H23">
        <v>1</v>
      </c>
      <c r="I23">
        <v>0</v>
      </c>
    </row>
    <row r="24" spans="4:9" x14ac:dyDescent="0.25">
      <c r="D24" t="s">
        <v>169</v>
      </c>
      <c r="E24" s="24">
        <v>45078</v>
      </c>
      <c r="F24">
        <v>0</v>
      </c>
      <c r="G24">
        <v>1</v>
      </c>
      <c r="H24">
        <v>1</v>
      </c>
      <c r="I24">
        <v>0</v>
      </c>
    </row>
    <row r="25" spans="4:9" x14ac:dyDescent="0.25">
      <c r="D25" t="s">
        <v>170</v>
      </c>
      <c r="E25" s="24">
        <v>45078</v>
      </c>
      <c r="F25">
        <v>0</v>
      </c>
      <c r="G25">
        <v>0</v>
      </c>
      <c r="H25">
        <v>0</v>
      </c>
      <c r="I25">
        <v>0</v>
      </c>
    </row>
    <row r="26" spans="4:9" x14ac:dyDescent="0.25">
      <c r="D26" t="s">
        <v>171</v>
      </c>
      <c r="E26" s="24">
        <v>45078</v>
      </c>
      <c r="F26">
        <v>0</v>
      </c>
      <c r="G26">
        <v>1</v>
      </c>
      <c r="H26">
        <v>1</v>
      </c>
      <c r="I26">
        <v>0</v>
      </c>
    </row>
    <row r="27" spans="4:9" x14ac:dyDescent="0.25">
      <c r="D27" t="s">
        <v>172</v>
      </c>
      <c r="E27" s="24">
        <v>45078</v>
      </c>
      <c r="F27">
        <v>0</v>
      </c>
      <c r="G27">
        <v>0</v>
      </c>
      <c r="H27">
        <v>0</v>
      </c>
      <c r="I27">
        <v>0</v>
      </c>
    </row>
    <row r="28" spans="4:9" x14ac:dyDescent="0.25">
      <c r="D28" t="s">
        <v>173</v>
      </c>
      <c r="E28" s="24">
        <v>45078</v>
      </c>
      <c r="F28">
        <v>0</v>
      </c>
      <c r="G28">
        <v>1</v>
      </c>
      <c r="H28">
        <v>1</v>
      </c>
      <c r="I28">
        <v>0</v>
      </c>
    </row>
    <row r="29" spans="4:9" x14ac:dyDescent="0.25">
      <c r="D29" t="s">
        <v>174</v>
      </c>
      <c r="E29" s="24">
        <v>45078</v>
      </c>
      <c r="F29">
        <v>0</v>
      </c>
      <c r="G29">
        <v>0</v>
      </c>
      <c r="H29">
        <v>0</v>
      </c>
      <c r="I29">
        <v>0</v>
      </c>
    </row>
    <row r="30" spans="4:9" x14ac:dyDescent="0.25">
      <c r="D30" t="s">
        <v>175</v>
      </c>
      <c r="E30" s="24">
        <v>45078</v>
      </c>
      <c r="F30">
        <v>0</v>
      </c>
      <c r="G30">
        <v>1</v>
      </c>
      <c r="H30">
        <v>1</v>
      </c>
      <c r="I30">
        <v>0</v>
      </c>
    </row>
    <row r="31" spans="4:9" x14ac:dyDescent="0.25">
      <c r="D31" t="s">
        <v>176</v>
      </c>
      <c r="E31" s="24">
        <v>45078</v>
      </c>
      <c r="F31">
        <v>0</v>
      </c>
      <c r="G31">
        <v>1</v>
      </c>
      <c r="H31">
        <v>1</v>
      </c>
      <c r="I31">
        <v>0</v>
      </c>
    </row>
    <row r="32" spans="4:9" x14ac:dyDescent="0.25">
      <c r="D32" t="s">
        <v>177</v>
      </c>
      <c r="E32" s="24">
        <v>45078</v>
      </c>
      <c r="F32">
        <v>0</v>
      </c>
      <c r="G32">
        <v>0</v>
      </c>
      <c r="H32">
        <v>0</v>
      </c>
      <c r="I32">
        <v>0</v>
      </c>
    </row>
    <row r="33" spans="4:9" x14ac:dyDescent="0.25">
      <c r="D33" t="s">
        <v>178</v>
      </c>
      <c r="E33" s="24">
        <v>45078</v>
      </c>
      <c r="F33">
        <v>0</v>
      </c>
      <c r="G33">
        <v>1</v>
      </c>
      <c r="H33">
        <v>0</v>
      </c>
      <c r="I33">
        <v>0</v>
      </c>
    </row>
    <row r="34" spans="4:9" x14ac:dyDescent="0.25">
      <c r="D34" t="s">
        <v>179</v>
      </c>
      <c r="E34" s="24">
        <v>45078</v>
      </c>
      <c r="F34">
        <v>0</v>
      </c>
      <c r="G34">
        <v>0</v>
      </c>
      <c r="H34">
        <v>0</v>
      </c>
      <c r="I34">
        <v>0</v>
      </c>
    </row>
    <row r="35" spans="4:9" x14ac:dyDescent="0.25">
      <c r="D35" t="s">
        <v>180</v>
      </c>
      <c r="E35" s="24">
        <v>45078</v>
      </c>
      <c r="F35">
        <v>0</v>
      </c>
      <c r="G35">
        <v>1</v>
      </c>
      <c r="H35">
        <v>0</v>
      </c>
      <c r="I35">
        <v>0</v>
      </c>
    </row>
    <row r="36" spans="4:9" x14ac:dyDescent="0.25">
      <c r="D36" t="s">
        <v>181</v>
      </c>
      <c r="E36" s="24">
        <v>45078</v>
      </c>
      <c r="F36">
        <v>0</v>
      </c>
      <c r="G36">
        <v>0</v>
      </c>
      <c r="H36">
        <v>0</v>
      </c>
      <c r="I36">
        <v>0</v>
      </c>
    </row>
    <row r="37" spans="4:9" x14ac:dyDescent="0.25">
      <c r="D37" t="s">
        <v>182</v>
      </c>
      <c r="E37" s="24">
        <v>45078</v>
      </c>
      <c r="F37">
        <v>0</v>
      </c>
      <c r="G37">
        <v>1</v>
      </c>
      <c r="H37">
        <v>1</v>
      </c>
      <c r="I37">
        <v>0</v>
      </c>
    </row>
    <row r="38" spans="4:9" x14ac:dyDescent="0.25">
      <c r="D38" t="s">
        <v>183</v>
      </c>
      <c r="E38" s="24">
        <v>45078</v>
      </c>
      <c r="F38">
        <v>0</v>
      </c>
      <c r="G38">
        <v>0</v>
      </c>
      <c r="H38">
        <v>0</v>
      </c>
      <c r="I38">
        <v>0</v>
      </c>
    </row>
    <row r="39" spans="4:9" x14ac:dyDescent="0.25">
      <c r="D39" t="s">
        <v>184</v>
      </c>
      <c r="E39" s="24">
        <v>45078</v>
      </c>
      <c r="F39">
        <v>0</v>
      </c>
      <c r="G39">
        <v>1</v>
      </c>
      <c r="H39">
        <v>0</v>
      </c>
      <c r="I39">
        <v>0</v>
      </c>
    </row>
    <row r="40" spans="4:9" x14ac:dyDescent="0.25">
      <c r="D40" t="s">
        <v>185</v>
      </c>
      <c r="E40" s="24">
        <v>45078</v>
      </c>
      <c r="F40">
        <v>0</v>
      </c>
      <c r="G40">
        <v>0</v>
      </c>
      <c r="H40">
        <v>0</v>
      </c>
      <c r="I40">
        <v>0</v>
      </c>
    </row>
    <row r="41" spans="4:9" x14ac:dyDescent="0.25">
      <c r="D41" t="s">
        <v>186</v>
      </c>
      <c r="E41" s="24">
        <v>45078</v>
      </c>
      <c r="F41">
        <v>0</v>
      </c>
      <c r="G41">
        <v>1</v>
      </c>
      <c r="H41">
        <v>0</v>
      </c>
      <c r="I41">
        <v>0</v>
      </c>
    </row>
    <row r="42" spans="4:9" x14ac:dyDescent="0.25">
      <c r="D42" t="s">
        <v>187</v>
      </c>
      <c r="E42" s="24">
        <v>45078</v>
      </c>
      <c r="F42">
        <v>0</v>
      </c>
      <c r="G42">
        <v>0</v>
      </c>
      <c r="H42">
        <v>0</v>
      </c>
      <c r="I42">
        <v>0</v>
      </c>
    </row>
    <row r="43" spans="4:9" x14ac:dyDescent="0.25">
      <c r="D43" t="s">
        <v>188</v>
      </c>
      <c r="E43" s="24">
        <v>45078</v>
      </c>
      <c r="F43">
        <v>0</v>
      </c>
      <c r="G43">
        <v>1</v>
      </c>
      <c r="H43">
        <v>1</v>
      </c>
      <c r="I43">
        <v>0</v>
      </c>
    </row>
    <row r="44" spans="4:9" x14ac:dyDescent="0.25">
      <c r="D44" t="s">
        <v>189</v>
      </c>
      <c r="E44" s="24">
        <v>45078</v>
      </c>
      <c r="F44">
        <v>0</v>
      </c>
      <c r="G44">
        <v>0</v>
      </c>
      <c r="H44">
        <v>0</v>
      </c>
      <c r="I44">
        <v>0</v>
      </c>
    </row>
    <row r="45" spans="4:9" x14ac:dyDescent="0.25">
      <c r="D45" t="s">
        <v>190</v>
      </c>
      <c r="E45" s="24">
        <v>45078</v>
      </c>
      <c r="F45">
        <v>0</v>
      </c>
      <c r="G45">
        <v>1</v>
      </c>
      <c r="H45">
        <v>0</v>
      </c>
      <c r="I45">
        <v>0</v>
      </c>
    </row>
    <row r="46" spans="4:9" x14ac:dyDescent="0.25">
      <c r="D46" t="s">
        <v>191</v>
      </c>
      <c r="E46" s="24">
        <v>45078</v>
      </c>
      <c r="F46">
        <v>0</v>
      </c>
      <c r="G46">
        <v>0</v>
      </c>
      <c r="H46">
        <v>0</v>
      </c>
      <c r="I46">
        <v>0</v>
      </c>
    </row>
    <row r="47" spans="4:9" x14ac:dyDescent="0.25">
      <c r="D47" t="s">
        <v>192</v>
      </c>
      <c r="E47" s="24">
        <v>45078</v>
      </c>
      <c r="F47">
        <v>0</v>
      </c>
      <c r="G47">
        <v>0</v>
      </c>
      <c r="H47">
        <v>1</v>
      </c>
      <c r="I47">
        <v>0</v>
      </c>
    </row>
    <row r="48" spans="4:9" x14ac:dyDescent="0.25">
      <c r="D48" t="s">
        <v>193</v>
      </c>
      <c r="E48" s="24">
        <v>45078</v>
      </c>
      <c r="F48">
        <v>0</v>
      </c>
      <c r="G48">
        <v>1</v>
      </c>
      <c r="H48">
        <v>1</v>
      </c>
      <c r="I48">
        <v>0</v>
      </c>
    </row>
    <row r="49" spans="4:9" x14ac:dyDescent="0.25">
      <c r="D49" t="s">
        <v>194</v>
      </c>
      <c r="E49" s="24">
        <v>45078</v>
      </c>
      <c r="F49">
        <v>0</v>
      </c>
      <c r="G49">
        <v>1</v>
      </c>
      <c r="H49">
        <v>0</v>
      </c>
      <c r="I49">
        <v>0</v>
      </c>
    </row>
    <row r="50" spans="4:9" x14ac:dyDescent="0.25">
      <c r="D50" t="s">
        <v>195</v>
      </c>
      <c r="E50" s="24">
        <v>45078</v>
      </c>
      <c r="F50">
        <v>0</v>
      </c>
      <c r="G50">
        <v>0</v>
      </c>
      <c r="H50">
        <v>0</v>
      </c>
      <c r="I50">
        <v>0</v>
      </c>
    </row>
    <row r="51" spans="4:9" x14ac:dyDescent="0.25">
      <c r="D51" t="s">
        <v>196</v>
      </c>
      <c r="E51" s="24">
        <v>45078</v>
      </c>
      <c r="F51">
        <v>0</v>
      </c>
      <c r="G51">
        <v>0</v>
      </c>
      <c r="H51">
        <v>0</v>
      </c>
      <c r="I51">
        <v>0</v>
      </c>
    </row>
    <row r="52" spans="4:9" x14ac:dyDescent="0.25">
      <c r="D52" t="s">
        <v>197</v>
      </c>
      <c r="E52" s="24">
        <v>45078</v>
      </c>
      <c r="F52">
        <v>0</v>
      </c>
      <c r="G52">
        <v>0</v>
      </c>
      <c r="H52">
        <v>1</v>
      </c>
      <c r="I52">
        <v>0</v>
      </c>
    </row>
    <row r="53" spans="4:9" x14ac:dyDescent="0.25">
      <c r="D53" t="s">
        <v>198</v>
      </c>
      <c r="E53" s="24">
        <v>45078</v>
      </c>
      <c r="F53">
        <v>0</v>
      </c>
      <c r="G53">
        <v>1</v>
      </c>
      <c r="H53">
        <v>1</v>
      </c>
      <c r="I53">
        <v>0</v>
      </c>
    </row>
    <row r="54" spans="4:9" x14ac:dyDescent="0.25">
      <c r="D54" t="s">
        <v>199</v>
      </c>
      <c r="E54" s="24">
        <v>45078</v>
      </c>
      <c r="F54">
        <v>0</v>
      </c>
      <c r="G54">
        <v>0</v>
      </c>
      <c r="H54">
        <v>0</v>
      </c>
      <c r="I54">
        <v>0</v>
      </c>
    </row>
    <row r="55" spans="4:9" x14ac:dyDescent="0.25">
      <c r="D55" t="s">
        <v>200</v>
      </c>
      <c r="E55" s="24">
        <v>45078</v>
      </c>
      <c r="F55">
        <v>0</v>
      </c>
      <c r="G55">
        <v>1</v>
      </c>
      <c r="H55">
        <v>0</v>
      </c>
      <c r="I55">
        <v>0</v>
      </c>
    </row>
    <row r="56" spans="4:9" x14ac:dyDescent="0.25">
      <c r="D56" t="s">
        <v>201</v>
      </c>
      <c r="E56" s="24">
        <v>45078</v>
      </c>
      <c r="F56">
        <v>0</v>
      </c>
      <c r="G56">
        <v>0</v>
      </c>
      <c r="H56">
        <v>0</v>
      </c>
      <c r="I56">
        <v>0</v>
      </c>
    </row>
    <row r="57" spans="4:9" x14ac:dyDescent="0.25">
      <c r="D57" t="s">
        <v>202</v>
      </c>
      <c r="E57" s="24">
        <v>45078</v>
      </c>
      <c r="F57">
        <v>0</v>
      </c>
      <c r="G57">
        <v>0</v>
      </c>
      <c r="H57">
        <v>0</v>
      </c>
      <c r="I57">
        <v>0</v>
      </c>
    </row>
    <row r="58" spans="4:9" x14ac:dyDescent="0.25">
      <c r="D58" t="s">
        <v>203</v>
      </c>
      <c r="E58" s="24">
        <v>45078</v>
      </c>
      <c r="F58">
        <v>0</v>
      </c>
      <c r="G58">
        <v>1</v>
      </c>
      <c r="H58">
        <v>0</v>
      </c>
      <c r="I58">
        <v>0</v>
      </c>
    </row>
    <row r="59" spans="4:9" x14ac:dyDescent="0.25">
      <c r="D59" t="s">
        <v>144</v>
      </c>
      <c r="E59" s="24">
        <v>45078</v>
      </c>
      <c r="F59">
        <v>1</v>
      </c>
      <c r="G59">
        <v>1</v>
      </c>
      <c r="H59">
        <v>0</v>
      </c>
      <c r="I59">
        <v>0</v>
      </c>
    </row>
    <row r="60" spans="4:9" x14ac:dyDescent="0.25">
      <c r="D60" t="s">
        <v>145</v>
      </c>
      <c r="E60" s="24">
        <v>45078</v>
      </c>
      <c r="F60">
        <v>1</v>
      </c>
      <c r="G60">
        <v>1</v>
      </c>
      <c r="H60">
        <v>0</v>
      </c>
      <c r="I60">
        <v>0</v>
      </c>
    </row>
    <row r="61" spans="4:9" x14ac:dyDescent="0.25">
      <c r="D61" t="s">
        <v>146</v>
      </c>
      <c r="E61" s="24">
        <v>45078</v>
      </c>
      <c r="F61">
        <v>1</v>
      </c>
      <c r="G61">
        <v>1</v>
      </c>
      <c r="H61">
        <v>0</v>
      </c>
      <c r="I61">
        <v>0</v>
      </c>
    </row>
    <row r="62" spans="4:9" x14ac:dyDescent="0.25">
      <c r="D62" t="s">
        <v>20</v>
      </c>
      <c r="E62" s="24">
        <v>45078</v>
      </c>
      <c r="F62">
        <v>1</v>
      </c>
      <c r="G62">
        <v>0</v>
      </c>
      <c r="H62">
        <v>0</v>
      </c>
      <c r="I62">
        <v>1</v>
      </c>
    </row>
    <row r="63" spans="4:9" x14ac:dyDescent="0.25">
      <c r="D63" t="s">
        <v>47</v>
      </c>
      <c r="E63" s="24">
        <v>45078</v>
      </c>
      <c r="F63">
        <v>1</v>
      </c>
      <c r="G63">
        <v>0</v>
      </c>
      <c r="H63">
        <v>0</v>
      </c>
      <c r="I63">
        <v>0</v>
      </c>
    </row>
    <row r="64" spans="4:9" x14ac:dyDescent="0.25">
      <c r="D64" t="s">
        <v>48</v>
      </c>
      <c r="E64" s="24">
        <v>45078</v>
      </c>
      <c r="F64">
        <v>1</v>
      </c>
      <c r="G64">
        <v>1</v>
      </c>
      <c r="H64">
        <v>0</v>
      </c>
      <c r="I64">
        <v>0</v>
      </c>
    </row>
    <row r="65" spans="4:9" x14ac:dyDescent="0.25">
      <c r="D65" t="s">
        <v>49</v>
      </c>
      <c r="E65" s="24">
        <v>45078</v>
      </c>
      <c r="F65">
        <v>1</v>
      </c>
      <c r="G65">
        <v>1</v>
      </c>
      <c r="H65">
        <v>0</v>
      </c>
      <c r="I65">
        <v>0</v>
      </c>
    </row>
    <row r="66" spans="4:9" x14ac:dyDescent="0.25">
      <c r="D66" t="s">
        <v>50</v>
      </c>
      <c r="E66" s="24">
        <v>45078</v>
      </c>
      <c r="F66">
        <v>1</v>
      </c>
      <c r="G66">
        <v>0</v>
      </c>
      <c r="H66">
        <v>1</v>
      </c>
      <c r="I66">
        <v>0</v>
      </c>
    </row>
    <row r="67" spans="4:9" x14ac:dyDescent="0.25">
      <c r="D67" t="s">
        <v>51</v>
      </c>
      <c r="E67" s="24">
        <v>45078</v>
      </c>
      <c r="F67">
        <v>1</v>
      </c>
      <c r="G67">
        <v>1</v>
      </c>
      <c r="H67">
        <v>0</v>
      </c>
      <c r="I67">
        <v>0</v>
      </c>
    </row>
    <row r="68" spans="4:9" x14ac:dyDescent="0.25">
      <c r="D68" t="s">
        <v>52</v>
      </c>
      <c r="E68" s="24">
        <v>45078</v>
      </c>
      <c r="F68">
        <v>1</v>
      </c>
      <c r="G68">
        <v>1</v>
      </c>
      <c r="H68">
        <v>0</v>
      </c>
      <c r="I68">
        <v>0</v>
      </c>
    </row>
    <row r="69" spans="4:9" x14ac:dyDescent="0.25">
      <c r="D69" t="s">
        <v>53</v>
      </c>
      <c r="E69" s="24">
        <v>45078</v>
      </c>
      <c r="F69">
        <v>1</v>
      </c>
      <c r="G69">
        <v>1</v>
      </c>
      <c r="H69">
        <v>1</v>
      </c>
      <c r="I69">
        <v>0</v>
      </c>
    </row>
    <row r="70" spans="4:9" x14ac:dyDescent="0.25">
      <c r="D70" t="s">
        <v>54</v>
      </c>
      <c r="E70" s="24">
        <v>45078</v>
      </c>
      <c r="F70">
        <v>1</v>
      </c>
      <c r="G70">
        <v>0</v>
      </c>
      <c r="H70">
        <v>1</v>
      </c>
      <c r="I70">
        <v>0</v>
      </c>
    </row>
    <row r="71" spans="4:9" x14ac:dyDescent="0.25">
      <c r="D71" t="s">
        <v>55</v>
      </c>
      <c r="E71" s="24">
        <v>45078</v>
      </c>
      <c r="F71">
        <v>1</v>
      </c>
      <c r="G71">
        <v>1</v>
      </c>
      <c r="H71">
        <v>0</v>
      </c>
      <c r="I71">
        <v>0</v>
      </c>
    </row>
    <row r="72" spans="4:9" x14ac:dyDescent="0.25">
      <c r="D72" t="s">
        <v>56</v>
      </c>
      <c r="E72" s="24">
        <v>45078</v>
      </c>
      <c r="F72">
        <v>1</v>
      </c>
      <c r="G72">
        <v>1</v>
      </c>
      <c r="H72">
        <v>0</v>
      </c>
      <c r="I72">
        <v>0</v>
      </c>
    </row>
    <row r="73" spans="4:9" x14ac:dyDescent="0.25">
      <c r="D73" t="s">
        <v>57</v>
      </c>
      <c r="E73" s="24">
        <v>45078</v>
      </c>
      <c r="F73">
        <v>1</v>
      </c>
      <c r="G73">
        <v>1</v>
      </c>
      <c r="H73">
        <v>0</v>
      </c>
      <c r="I73">
        <v>0</v>
      </c>
    </row>
    <row r="74" spans="4:9" x14ac:dyDescent="0.25">
      <c r="D74" t="s">
        <v>58</v>
      </c>
      <c r="E74" s="24">
        <v>45078</v>
      </c>
      <c r="F74">
        <v>1</v>
      </c>
      <c r="G74">
        <v>0</v>
      </c>
      <c r="H74">
        <v>0</v>
      </c>
      <c r="I74">
        <v>0</v>
      </c>
    </row>
    <row r="75" spans="4:9" x14ac:dyDescent="0.25">
      <c r="D75" t="s">
        <v>59</v>
      </c>
      <c r="E75" s="24">
        <v>45078</v>
      </c>
      <c r="F75">
        <v>1</v>
      </c>
      <c r="G75">
        <v>1</v>
      </c>
      <c r="H75">
        <v>0</v>
      </c>
      <c r="I75">
        <v>1</v>
      </c>
    </row>
    <row r="76" spans="4:9" x14ac:dyDescent="0.25">
      <c r="D76" t="s">
        <v>60</v>
      </c>
      <c r="E76" s="24">
        <v>45078</v>
      </c>
      <c r="F76">
        <v>1</v>
      </c>
      <c r="G76">
        <v>1</v>
      </c>
      <c r="H76">
        <v>0</v>
      </c>
      <c r="I76">
        <v>0</v>
      </c>
    </row>
    <row r="77" spans="4:9" x14ac:dyDescent="0.25">
      <c r="D77" t="s">
        <v>61</v>
      </c>
      <c r="E77" s="24">
        <v>45078</v>
      </c>
      <c r="F77">
        <v>1</v>
      </c>
      <c r="G77">
        <v>1</v>
      </c>
      <c r="H77">
        <v>0</v>
      </c>
      <c r="I77">
        <v>0</v>
      </c>
    </row>
    <row r="78" spans="4:9" x14ac:dyDescent="0.25">
      <c r="D78" t="s">
        <v>62</v>
      </c>
      <c r="E78" s="24">
        <v>45078</v>
      </c>
      <c r="F78">
        <v>1</v>
      </c>
      <c r="G78">
        <v>1</v>
      </c>
      <c r="H78">
        <v>0</v>
      </c>
      <c r="I78">
        <v>0</v>
      </c>
    </row>
    <row r="79" spans="4:9" x14ac:dyDescent="0.25">
      <c r="D79" t="s">
        <v>63</v>
      </c>
      <c r="E79" s="24">
        <v>45078</v>
      </c>
      <c r="F79">
        <v>1</v>
      </c>
      <c r="G79">
        <v>1</v>
      </c>
      <c r="H79">
        <v>0</v>
      </c>
      <c r="I79">
        <v>0</v>
      </c>
    </row>
    <row r="80" spans="4:9" x14ac:dyDescent="0.25">
      <c r="D80" t="s">
        <v>64</v>
      </c>
      <c r="E80" s="24">
        <v>45078</v>
      </c>
      <c r="F80">
        <v>1</v>
      </c>
      <c r="G80">
        <v>1</v>
      </c>
      <c r="H80">
        <v>0</v>
      </c>
      <c r="I80">
        <v>0</v>
      </c>
    </row>
    <row r="81" spans="4:9" x14ac:dyDescent="0.25">
      <c r="D81" t="s">
        <v>65</v>
      </c>
      <c r="E81" s="24">
        <v>45078</v>
      </c>
      <c r="F81">
        <v>1</v>
      </c>
      <c r="G81">
        <v>0</v>
      </c>
      <c r="H81">
        <v>0</v>
      </c>
      <c r="I81">
        <v>0</v>
      </c>
    </row>
    <row r="82" spans="4:9" x14ac:dyDescent="0.25">
      <c r="D82" t="s">
        <v>66</v>
      </c>
      <c r="E82" s="24">
        <v>45078</v>
      </c>
      <c r="F82">
        <v>1</v>
      </c>
      <c r="G82">
        <v>1</v>
      </c>
      <c r="H82">
        <v>0</v>
      </c>
      <c r="I82">
        <v>0</v>
      </c>
    </row>
    <row r="83" spans="4:9" x14ac:dyDescent="0.25">
      <c r="D83" t="s">
        <v>67</v>
      </c>
      <c r="E83" s="24">
        <v>45078</v>
      </c>
      <c r="F83">
        <v>1</v>
      </c>
      <c r="G83">
        <v>0</v>
      </c>
      <c r="H83">
        <v>0</v>
      </c>
      <c r="I83">
        <v>0</v>
      </c>
    </row>
    <row r="84" spans="4:9" x14ac:dyDescent="0.25">
      <c r="D84" t="s">
        <v>68</v>
      </c>
      <c r="E84" s="24">
        <v>45078</v>
      </c>
      <c r="F84">
        <v>1</v>
      </c>
      <c r="G84">
        <v>1</v>
      </c>
      <c r="H84">
        <v>0</v>
      </c>
      <c r="I84">
        <v>0</v>
      </c>
    </row>
    <row r="85" spans="4:9" x14ac:dyDescent="0.25">
      <c r="D85" t="s">
        <v>69</v>
      </c>
      <c r="E85" s="24">
        <v>45078</v>
      </c>
      <c r="F85">
        <v>1</v>
      </c>
      <c r="G85">
        <v>1</v>
      </c>
      <c r="H85">
        <v>0</v>
      </c>
      <c r="I85">
        <v>0</v>
      </c>
    </row>
    <row r="86" spans="4:9" x14ac:dyDescent="0.25">
      <c r="D86" t="s">
        <v>70</v>
      </c>
      <c r="E86" s="24">
        <v>45078</v>
      </c>
      <c r="F86">
        <v>1</v>
      </c>
      <c r="G86">
        <v>0</v>
      </c>
      <c r="H86">
        <v>0</v>
      </c>
      <c r="I86">
        <v>0</v>
      </c>
    </row>
    <row r="87" spans="4:9" x14ac:dyDescent="0.25">
      <c r="D87" t="s">
        <v>71</v>
      </c>
      <c r="E87" s="24">
        <v>45078</v>
      </c>
      <c r="F87">
        <v>1</v>
      </c>
      <c r="G87">
        <v>1</v>
      </c>
      <c r="H87">
        <v>0</v>
      </c>
      <c r="I87">
        <v>0</v>
      </c>
    </row>
    <row r="88" spans="4:9" x14ac:dyDescent="0.25">
      <c r="D88" t="s">
        <v>72</v>
      </c>
      <c r="E88" s="24">
        <v>45078</v>
      </c>
      <c r="F88">
        <v>1</v>
      </c>
      <c r="G88">
        <v>0</v>
      </c>
      <c r="H88">
        <v>0</v>
      </c>
      <c r="I88">
        <v>0</v>
      </c>
    </row>
    <row r="89" spans="4:9" x14ac:dyDescent="0.25">
      <c r="D89" t="s">
        <v>73</v>
      </c>
      <c r="E89" s="24">
        <v>45078</v>
      </c>
      <c r="F89">
        <v>1</v>
      </c>
      <c r="G89">
        <v>1</v>
      </c>
      <c r="H89">
        <v>0</v>
      </c>
      <c r="I89">
        <v>0</v>
      </c>
    </row>
    <row r="90" spans="4:9" x14ac:dyDescent="0.25">
      <c r="D90" t="s">
        <v>74</v>
      </c>
      <c r="E90" s="24">
        <v>45078</v>
      </c>
      <c r="F90">
        <v>1</v>
      </c>
      <c r="G90">
        <v>0</v>
      </c>
      <c r="H90">
        <v>0</v>
      </c>
      <c r="I90">
        <v>0</v>
      </c>
    </row>
    <row r="91" spans="4:9" x14ac:dyDescent="0.25">
      <c r="D91" t="s">
        <v>75</v>
      </c>
      <c r="E91" s="24">
        <v>45078</v>
      </c>
      <c r="F91">
        <v>0</v>
      </c>
      <c r="G91">
        <v>1</v>
      </c>
      <c r="H91">
        <v>1</v>
      </c>
      <c r="I91">
        <v>0</v>
      </c>
    </row>
    <row r="92" spans="4:9" x14ac:dyDescent="0.25">
      <c r="D92" t="s">
        <v>76</v>
      </c>
      <c r="E92" s="24">
        <v>45078</v>
      </c>
      <c r="F92">
        <v>0</v>
      </c>
      <c r="G92">
        <v>1</v>
      </c>
      <c r="H92">
        <v>0</v>
      </c>
      <c r="I92">
        <v>0</v>
      </c>
    </row>
    <row r="93" spans="4:9" x14ac:dyDescent="0.25">
      <c r="D93" t="s">
        <v>77</v>
      </c>
      <c r="E93" s="24">
        <v>45078</v>
      </c>
      <c r="F93">
        <v>0</v>
      </c>
      <c r="G93">
        <v>0</v>
      </c>
      <c r="H93">
        <v>0</v>
      </c>
      <c r="I93">
        <v>0</v>
      </c>
    </row>
    <row r="94" spans="4:9" x14ac:dyDescent="0.25">
      <c r="D94" t="s">
        <v>78</v>
      </c>
      <c r="E94" s="24">
        <v>45078</v>
      </c>
      <c r="F94">
        <v>0</v>
      </c>
      <c r="G94">
        <v>1</v>
      </c>
      <c r="H94">
        <v>0</v>
      </c>
      <c r="I94">
        <v>0</v>
      </c>
    </row>
    <row r="95" spans="4:9" x14ac:dyDescent="0.25">
      <c r="D95" t="s">
        <v>79</v>
      </c>
      <c r="E95" s="24">
        <v>45078</v>
      </c>
      <c r="F95">
        <v>0</v>
      </c>
      <c r="G95">
        <v>0</v>
      </c>
      <c r="H95">
        <v>0</v>
      </c>
      <c r="I95">
        <v>0</v>
      </c>
    </row>
    <row r="96" spans="4:9" x14ac:dyDescent="0.25">
      <c r="D96" t="s">
        <v>80</v>
      </c>
      <c r="E96" s="24">
        <v>45078</v>
      </c>
      <c r="F96">
        <v>0</v>
      </c>
      <c r="G96">
        <v>1</v>
      </c>
      <c r="H96">
        <v>0</v>
      </c>
      <c r="I96">
        <v>0</v>
      </c>
    </row>
    <row r="97" spans="4:9" x14ac:dyDescent="0.25">
      <c r="D97" t="s">
        <v>81</v>
      </c>
      <c r="E97" s="24">
        <v>45078</v>
      </c>
      <c r="F97">
        <v>0</v>
      </c>
      <c r="G97">
        <v>0</v>
      </c>
      <c r="H97">
        <v>0</v>
      </c>
      <c r="I97">
        <v>0</v>
      </c>
    </row>
    <row r="98" spans="4:9" x14ac:dyDescent="0.25">
      <c r="D98" t="s">
        <v>82</v>
      </c>
      <c r="E98" s="24">
        <v>45078</v>
      </c>
      <c r="F98">
        <v>0</v>
      </c>
      <c r="G98">
        <v>1</v>
      </c>
      <c r="H98">
        <v>0</v>
      </c>
      <c r="I98">
        <v>0</v>
      </c>
    </row>
    <row r="99" spans="4:9" x14ac:dyDescent="0.25">
      <c r="D99" t="s">
        <v>83</v>
      </c>
      <c r="E99" s="24">
        <v>45078</v>
      </c>
      <c r="F99">
        <v>0</v>
      </c>
      <c r="G99">
        <v>0</v>
      </c>
      <c r="H99">
        <v>0</v>
      </c>
      <c r="I99">
        <v>0</v>
      </c>
    </row>
    <row r="100" spans="4:9" x14ac:dyDescent="0.25">
      <c r="D100" t="s">
        <v>84</v>
      </c>
      <c r="E100" s="24">
        <v>45078</v>
      </c>
      <c r="F100">
        <v>0</v>
      </c>
      <c r="G100">
        <v>1</v>
      </c>
      <c r="H100">
        <v>0</v>
      </c>
      <c r="I100">
        <v>0</v>
      </c>
    </row>
    <row r="101" spans="4:9" x14ac:dyDescent="0.25">
      <c r="D101" t="s">
        <v>85</v>
      </c>
      <c r="E101" s="24">
        <v>45078</v>
      </c>
      <c r="F101">
        <v>0</v>
      </c>
      <c r="G101">
        <v>0</v>
      </c>
      <c r="H101">
        <v>0</v>
      </c>
      <c r="I101">
        <v>0</v>
      </c>
    </row>
    <row r="102" spans="4:9" x14ac:dyDescent="0.25">
      <c r="D102" t="s">
        <v>86</v>
      </c>
      <c r="E102" s="24">
        <v>45078</v>
      </c>
      <c r="F102">
        <v>0</v>
      </c>
      <c r="G102">
        <v>1</v>
      </c>
      <c r="H102">
        <v>0</v>
      </c>
      <c r="I102">
        <v>0</v>
      </c>
    </row>
    <row r="103" spans="4:9" x14ac:dyDescent="0.25">
      <c r="D103" t="s">
        <v>87</v>
      </c>
      <c r="E103" s="24">
        <v>45078</v>
      </c>
      <c r="F103">
        <v>0</v>
      </c>
      <c r="G103">
        <v>0</v>
      </c>
      <c r="H103">
        <v>1</v>
      </c>
      <c r="I103">
        <v>0</v>
      </c>
    </row>
    <row r="104" spans="4:9" x14ac:dyDescent="0.25">
      <c r="D104" t="s">
        <v>88</v>
      </c>
      <c r="E104" s="24">
        <v>45078</v>
      </c>
      <c r="F104">
        <v>0</v>
      </c>
      <c r="G104">
        <v>1</v>
      </c>
      <c r="H104">
        <v>1</v>
      </c>
      <c r="I104">
        <v>0</v>
      </c>
    </row>
    <row r="105" spans="4:9" x14ac:dyDescent="0.25">
      <c r="D105" t="s">
        <v>89</v>
      </c>
      <c r="E105" s="24">
        <v>45078</v>
      </c>
      <c r="F105">
        <v>0</v>
      </c>
      <c r="G105">
        <v>0</v>
      </c>
      <c r="H105">
        <v>1</v>
      </c>
      <c r="I105">
        <v>0</v>
      </c>
    </row>
    <row r="106" spans="4:9" x14ac:dyDescent="0.25">
      <c r="D106" t="s">
        <v>90</v>
      </c>
      <c r="E106" s="24">
        <v>45078</v>
      </c>
      <c r="F106">
        <v>0</v>
      </c>
      <c r="G106">
        <v>1</v>
      </c>
      <c r="H106">
        <v>0</v>
      </c>
      <c r="I106">
        <v>0</v>
      </c>
    </row>
    <row r="107" spans="4:9" x14ac:dyDescent="0.25">
      <c r="D107" t="s">
        <v>91</v>
      </c>
      <c r="E107" s="24">
        <v>45078</v>
      </c>
      <c r="F107">
        <v>0</v>
      </c>
      <c r="G107">
        <v>0</v>
      </c>
      <c r="H107">
        <v>0</v>
      </c>
      <c r="I107">
        <v>0</v>
      </c>
    </row>
    <row r="108" spans="4:9" x14ac:dyDescent="0.25">
      <c r="D108" t="s">
        <v>92</v>
      </c>
      <c r="E108" s="24">
        <v>45078</v>
      </c>
      <c r="F108">
        <v>0</v>
      </c>
      <c r="G108">
        <v>0</v>
      </c>
      <c r="H108">
        <v>0</v>
      </c>
      <c r="I108">
        <v>1</v>
      </c>
    </row>
    <row r="109" spans="4:9" x14ac:dyDescent="0.25">
      <c r="D109" t="s">
        <v>93</v>
      </c>
      <c r="E109" s="24">
        <v>45078</v>
      </c>
      <c r="F109">
        <v>0</v>
      </c>
      <c r="G109">
        <v>1</v>
      </c>
      <c r="H109">
        <v>0</v>
      </c>
      <c r="I109">
        <v>0</v>
      </c>
    </row>
    <row r="110" spans="4:9" x14ac:dyDescent="0.25">
      <c r="D110" t="s">
        <v>94</v>
      </c>
      <c r="E110" s="24">
        <v>45078</v>
      </c>
      <c r="F110">
        <v>0</v>
      </c>
      <c r="G110">
        <v>1</v>
      </c>
      <c r="H110">
        <v>0</v>
      </c>
      <c r="I110">
        <v>0</v>
      </c>
    </row>
    <row r="111" spans="4:9" x14ac:dyDescent="0.25">
      <c r="D111" t="s">
        <v>95</v>
      </c>
      <c r="E111" s="24">
        <v>45078</v>
      </c>
      <c r="F111">
        <v>0</v>
      </c>
      <c r="G111">
        <v>0</v>
      </c>
      <c r="H111">
        <v>0</v>
      </c>
      <c r="I111">
        <v>0</v>
      </c>
    </row>
    <row r="112" spans="4:9" x14ac:dyDescent="0.25">
      <c r="D112" t="s">
        <v>96</v>
      </c>
      <c r="E112" s="24">
        <v>45078</v>
      </c>
      <c r="F112">
        <v>0</v>
      </c>
      <c r="G112">
        <v>0</v>
      </c>
      <c r="H112">
        <v>0</v>
      </c>
      <c r="I112">
        <v>0</v>
      </c>
    </row>
    <row r="113" spans="4:9" x14ac:dyDescent="0.25">
      <c r="D113" t="s">
        <v>97</v>
      </c>
      <c r="E113" s="24">
        <v>45078</v>
      </c>
      <c r="F113">
        <v>0</v>
      </c>
      <c r="G113">
        <v>0</v>
      </c>
      <c r="H113">
        <v>0</v>
      </c>
      <c r="I113">
        <v>1</v>
      </c>
    </row>
    <row r="114" spans="4:9" x14ac:dyDescent="0.25">
      <c r="D114" t="s">
        <v>98</v>
      </c>
      <c r="E114" s="24">
        <v>45078</v>
      </c>
      <c r="F114">
        <v>0</v>
      </c>
      <c r="G114">
        <v>1</v>
      </c>
      <c r="H114">
        <v>0</v>
      </c>
      <c r="I114">
        <v>0</v>
      </c>
    </row>
    <row r="115" spans="4:9" x14ac:dyDescent="0.25">
      <c r="D115" t="s">
        <v>99</v>
      </c>
      <c r="E115" s="24">
        <v>45078</v>
      </c>
      <c r="F115">
        <v>0</v>
      </c>
      <c r="G115">
        <v>0</v>
      </c>
      <c r="H115">
        <v>1</v>
      </c>
      <c r="I115">
        <v>0</v>
      </c>
    </row>
    <row r="116" spans="4:9" x14ac:dyDescent="0.25">
      <c r="D116" t="s">
        <v>100</v>
      </c>
      <c r="E116" s="24">
        <v>45078</v>
      </c>
      <c r="F116">
        <v>0</v>
      </c>
      <c r="G116">
        <v>1</v>
      </c>
      <c r="H116">
        <v>0</v>
      </c>
      <c r="I116">
        <v>0</v>
      </c>
    </row>
    <row r="117" spans="4:9" x14ac:dyDescent="0.25">
      <c r="D117" t="s">
        <v>101</v>
      </c>
      <c r="E117" s="24">
        <v>45078</v>
      </c>
      <c r="F117">
        <v>0</v>
      </c>
      <c r="G117">
        <v>0</v>
      </c>
      <c r="H117">
        <v>0</v>
      </c>
      <c r="I117">
        <v>0</v>
      </c>
    </row>
    <row r="118" spans="4:9" x14ac:dyDescent="0.25">
      <c r="D118" t="s">
        <v>102</v>
      </c>
      <c r="E118" s="24">
        <v>45078</v>
      </c>
      <c r="F118">
        <v>0</v>
      </c>
      <c r="G118">
        <v>0</v>
      </c>
      <c r="H118">
        <v>0</v>
      </c>
      <c r="I118">
        <v>0</v>
      </c>
    </row>
    <row r="119" spans="4:9" x14ac:dyDescent="0.25">
      <c r="D119" t="s">
        <v>103</v>
      </c>
      <c r="E119" s="24">
        <v>45078</v>
      </c>
      <c r="F119">
        <v>0</v>
      </c>
      <c r="G119">
        <v>1</v>
      </c>
      <c r="H119">
        <v>0</v>
      </c>
      <c r="I119">
        <v>0</v>
      </c>
    </row>
    <row r="120" spans="4:9" x14ac:dyDescent="0.25">
      <c r="D120" t="s">
        <v>104</v>
      </c>
      <c r="E120" s="24">
        <v>45078</v>
      </c>
      <c r="F120">
        <v>0</v>
      </c>
      <c r="G120">
        <v>1</v>
      </c>
      <c r="H120">
        <v>1</v>
      </c>
      <c r="I120">
        <v>0</v>
      </c>
    </row>
    <row r="121" spans="4:9" x14ac:dyDescent="0.25">
      <c r="D121" t="s">
        <v>105</v>
      </c>
      <c r="E121" s="24">
        <v>45078</v>
      </c>
      <c r="F121">
        <v>0</v>
      </c>
      <c r="G121">
        <v>1</v>
      </c>
      <c r="H121">
        <v>0</v>
      </c>
      <c r="I121">
        <v>0</v>
      </c>
    </row>
    <row r="122" spans="4:9" x14ac:dyDescent="0.25">
      <c r="D122" t="s">
        <v>106</v>
      </c>
      <c r="E122" s="24">
        <v>45078</v>
      </c>
      <c r="F122">
        <v>0</v>
      </c>
      <c r="G122">
        <v>0</v>
      </c>
      <c r="H122">
        <v>0</v>
      </c>
      <c r="I122">
        <v>0</v>
      </c>
    </row>
    <row r="123" spans="4:9" x14ac:dyDescent="0.25">
      <c r="D123" t="s">
        <v>107</v>
      </c>
      <c r="E123" s="24">
        <v>45078</v>
      </c>
      <c r="F123">
        <v>0</v>
      </c>
      <c r="G123">
        <v>0</v>
      </c>
      <c r="H123">
        <v>0</v>
      </c>
      <c r="I123">
        <v>0</v>
      </c>
    </row>
    <row r="124" spans="4:9" x14ac:dyDescent="0.25">
      <c r="D124" t="s">
        <v>108</v>
      </c>
      <c r="E124" s="24">
        <v>45078</v>
      </c>
      <c r="F124">
        <v>0</v>
      </c>
      <c r="G124">
        <v>1</v>
      </c>
      <c r="H124">
        <v>0</v>
      </c>
      <c r="I124">
        <v>0</v>
      </c>
    </row>
    <row r="125" spans="4:9" x14ac:dyDescent="0.25">
      <c r="D125" t="s">
        <v>109</v>
      </c>
      <c r="E125" s="24">
        <v>45078</v>
      </c>
      <c r="F125">
        <v>0</v>
      </c>
      <c r="G125">
        <v>1</v>
      </c>
      <c r="H125">
        <v>1</v>
      </c>
      <c r="I125">
        <v>0</v>
      </c>
    </row>
    <row r="126" spans="4:9" x14ac:dyDescent="0.25">
      <c r="D126" t="s">
        <v>110</v>
      </c>
      <c r="E126" s="24">
        <v>45078</v>
      </c>
      <c r="F126">
        <v>0</v>
      </c>
      <c r="G126">
        <v>1</v>
      </c>
      <c r="H126">
        <v>0</v>
      </c>
      <c r="I126">
        <v>0</v>
      </c>
    </row>
    <row r="127" spans="4:9" x14ac:dyDescent="0.25">
      <c r="D127" t="s">
        <v>111</v>
      </c>
      <c r="E127" s="24">
        <v>45078</v>
      </c>
      <c r="F127">
        <v>0</v>
      </c>
      <c r="G127">
        <v>1</v>
      </c>
      <c r="H127">
        <v>0</v>
      </c>
      <c r="I127">
        <v>1</v>
      </c>
    </row>
    <row r="128" spans="4:9" x14ac:dyDescent="0.25">
      <c r="D128" t="s">
        <v>112</v>
      </c>
      <c r="E128" s="24">
        <v>45078</v>
      </c>
      <c r="F128">
        <v>0</v>
      </c>
      <c r="G128">
        <v>1</v>
      </c>
      <c r="H128">
        <v>0</v>
      </c>
      <c r="I128">
        <v>0</v>
      </c>
    </row>
    <row r="129" spans="4:9" x14ac:dyDescent="0.25">
      <c r="D129" t="s">
        <v>113</v>
      </c>
      <c r="E129" s="24">
        <v>45078</v>
      </c>
      <c r="F129">
        <v>0</v>
      </c>
      <c r="G129">
        <v>1</v>
      </c>
      <c r="H129">
        <v>0</v>
      </c>
      <c r="I129">
        <v>0</v>
      </c>
    </row>
    <row r="130" spans="4:9" x14ac:dyDescent="0.25">
      <c r="D130" t="s">
        <v>114</v>
      </c>
      <c r="E130" s="24">
        <v>45078</v>
      </c>
      <c r="F130">
        <v>0</v>
      </c>
      <c r="G130">
        <v>1</v>
      </c>
      <c r="H130">
        <v>0</v>
      </c>
      <c r="I130">
        <v>0</v>
      </c>
    </row>
    <row r="131" spans="4:9" x14ac:dyDescent="0.25">
      <c r="D131" t="s">
        <v>115</v>
      </c>
      <c r="E131" s="24">
        <v>45078</v>
      </c>
      <c r="F131">
        <v>0</v>
      </c>
      <c r="G131">
        <v>1</v>
      </c>
      <c r="H131">
        <v>0</v>
      </c>
      <c r="I131">
        <v>0</v>
      </c>
    </row>
    <row r="132" spans="4:9" x14ac:dyDescent="0.25">
      <c r="D132" t="s">
        <v>116</v>
      </c>
      <c r="E132" s="24">
        <v>45078</v>
      </c>
      <c r="F132">
        <v>0</v>
      </c>
      <c r="G132">
        <v>1</v>
      </c>
      <c r="H132">
        <v>0</v>
      </c>
      <c r="I132">
        <v>0</v>
      </c>
    </row>
    <row r="133" spans="4:9" x14ac:dyDescent="0.25">
      <c r="D133" t="s">
        <v>117</v>
      </c>
      <c r="E133" s="24">
        <v>45078</v>
      </c>
      <c r="F133">
        <v>0</v>
      </c>
      <c r="G133">
        <v>1</v>
      </c>
      <c r="H133">
        <v>0</v>
      </c>
      <c r="I133">
        <v>0</v>
      </c>
    </row>
    <row r="134" spans="4:9" x14ac:dyDescent="0.25">
      <c r="D134" t="s">
        <v>118</v>
      </c>
      <c r="E134" s="24">
        <v>45078</v>
      </c>
      <c r="F134">
        <v>0</v>
      </c>
      <c r="G134">
        <v>1</v>
      </c>
      <c r="H134">
        <v>0</v>
      </c>
      <c r="I134">
        <v>0</v>
      </c>
    </row>
    <row r="135" spans="4:9" x14ac:dyDescent="0.25">
      <c r="D135" t="s">
        <v>119</v>
      </c>
      <c r="E135" s="24">
        <v>45078</v>
      </c>
      <c r="F135">
        <v>0</v>
      </c>
      <c r="G135">
        <v>0</v>
      </c>
      <c r="H135">
        <v>0</v>
      </c>
      <c r="I135">
        <v>0</v>
      </c>
    </row>
    <row r="136" spans="4:9" x14ac:dyDescent="0.25">
      <c r="D136" t="s">
        <v>120</v>
      </c>
      <c r="E136" s="24">
        <v>45078</v>
      </c>
      <c r="F136">
        <v>0</v>
      </c>
      <c r="G136">
        <v>1</v>
      </c>
      <c r="H136">
        <v>0</v>
      </c>
      <c r="I136">
        <v>0</v>
      </c>
    </row>
    <row r="137" spans="4:9" x14ac:dyDescent="0.25">
      <c r="D137" t="s">
        <v>121</v>
      </c>
      <c r="E137" s="24">
        <v>45078</v>
      </c>
      <c r="F137">
        <v>0</v>
      </c>
      <c r="G137">
        <v>1</v>
      </c>
      <c r="H137">
        <v>0</v>
      </c>
      <c r="I137">
        <v>0</v>
      </c>
    </row>
    <row r="138" spans="4:9" x14ac:dyDescent="0.25">
      <c r="D138" t="s">
        <v>122</v>
      </c>
      <c r="E138" s="24">
        <v>45078</v>
      </c>
      <c r="F138">
        <v>0</v>
      </c>
      <c r="G138">
        <v>1</v>
      </c>
      <c r="H138">
        <v>0</v>
      </c>
      <c r="I138">
        <v>0</v>
      </c>
    </row>
    <row r="139" spans="4:9" x14ac:dyDescent="0.25">
      <c r="D139" t="s">
        <v>123</v>
      </c>
      <c r="E139" s="24">
        <v>45078</v>
      </c>
      <c r="F139">
        <v>0</v>
      </c>
      <c r="G139">
        <v>1</v>
      </c>
      <c r="H139">
        <v>0</v>
      </c>
      <c r="I139">
        <v>0</v>
      </c>
    </row>
    <row r="140" spans="4:9" x14ac:dyDescent="0.25">
      <c r="D140" t="s">
        <v>124</v>
      </c>
      <c r="E140" s="24">
        <v>45078</v>
      </c>
      <c r="F140">
        <v>0</v>
      </c>
      <c r="G140">
        <v>1</v>
      </c>
      <c r="H140">
        <v>0</v>
      </c>
      <c r="I140">
        <v>0</v>
      </c>
    </row>
    <row r="141" spans="4:9" x14ac:dyDescent="0.25">
      <c r="D141" t="s">
        <v>125</v>
      </c>
      <c r="E141" s="24">
        <v>45078</v>
      </c>
      <c r="F141">
        <v>0</v>
      </c>
      <c r="G141">
        <v>1</v>
      </c>
      <c r="H141">
        <v>0</v>
      </c>
      <c r="I141">
        <v>0</v>
      </c>
    </row>
    <row r="142" spans="4:9" x14ac:dyDescent="0.25">
      <c r="D142" t="s">
        <v>126</v>
      </c>
      <c r="E142" s="24">
        <v>45078</v>
      </c>
      <c r="F142">
        <v>0</v>
      </c>
      <c r="G142">
        <v>0</v>
      </c>
      <c r="H142">
        <v>0</v>
      </c>
      <c r="I142">
        <v>0</v>
      </c>
    </row>
    <row r="143" spans="4:9" x14ac:dyDescent="0.25">
      <c r="D143" t="s">
        <v>127</v>
      </c>
      <c r="E143" s="24">
        <v>45078</v>
      </c>
      <c r="F143">
        <v>0</v>
      </c>
      <c r="G143">
        <v>1</v>
      </c>
      <c r="H143">
        <v>0</v>
      </c>
      <c r="I143">
        <v>0</v>
      </c>
    </row>
    <row r="144" spans="4:9" x14ac:dyDescent="0.25">
      <c r="D144" t="s">
        <v>128</v>
      </c>
      <c r="E144" s="24">
        <v>45078</v>
      </c>
      <c r="F144">
        <v>0</v>
      </c>
      <c r="G144">
        <v>0</v>
      </c>
      <c r="H144">
        <v>0</v>
      </c>
      <c r="I144">
        <v>0</v>
      </c>
    </row>
    <row r="145" spans="4:9" x14ac:dyDescent="0.25">
      <c r="D145" t="s">
        <v>129</v>
      </c>
      <c r="E145" s="24">
        <v>45078</v>
      </c>
      <c r="F145">
        <v>0</v>
      </c>
      <c r="G145">
        <v>1</v>
      </c>
      <c r="H145">
        <v>0</v>
      </c>
      <c r="I145">
        <v>0</v>
      </c>
    </row>
    <row r="146" spans="4:9" x14ac:dyDescent="0.25">
      <c r="D146" t="s">
        <v>130</v>
      </c>
      <c r="E146" s="24">
        <v>45078</v>
      </c>
      <c r="F146">
        <v>0</v>
      </c>
      <c r="G146">
        <v>1</v>
      </c>
      <c r="H146">
        <v>0</v>
      </c>
      <c r="I146">
        <v>0</v>
      </c>
    </row>
    <row r="147" spans="4:9" x14ac:dyDescent="0.25">
      <c r="D147" t="s">
        <v>131</v>
      </c>
      <c r="E147" s="24">
        <v>45078</v>
      </c>
      <c r="F147">
        <v>0</v>
      </c>
      <c r="G147">
        <v>0</v>
      </c>
      <c r="H147">
        <v>0</v>
      </c>
      <c r="I147">
        <v>0</v>
      </c>
    </row>
    <row r="148" spans="4:9" x14ac:dyDescent="0.25">
      <c r="D148" t="s">
        <v>132</v>
      </c>
      <c r="E148" s="24">
        <v>45078</v>
      </c>
      <c r="F148">
        <v>0</v>
      </c>
      <c r="G148">
        <v>1</v>
      </c>
      <c r="H148">
        <v>0</v>
      </c>
      <c r="I148">
        <v>0</v>
      </c>
    </row>
    <row r="149" spans="4:9" x14ac:dyDescent="0.25">
      <c r="D149" t="s">
        <v>133</v>
      </c>
      <c r="E149" s="24">
        <v>45078</v>
      </c>
      <c r="F149">
        <v>0</v>
      </c>
      <c r="G149">
        <v>0</v>
      </c>
      <c r="H149">
        <v>0</v>
      </c>
      <c r="I149">
        <v>0</v>
      </c>
    </row>
    <row r="150" spans="4:9" x14ac:dyDescent="0.25">
      <c r="D150" t="s">
        <v>134</v>
      </c>
      <c r="E150" s="24">
        <v>45078</v>
      </c>
      <c r="F150">
        <v>0</v>
      </c>
      <c r="G150">
        <v>1</v>
      </c>
      <c r="H150">
        <v>0</v>
      </c>
      <c r="I150">
        <v>0</v>
      </c>
    </row>
    <row r="151" spans="4:9" x14ac:dyDescent="0.25">
      <c r="D151" t="s">
        <v>135</v>
      </c>
      <c r="E151" s="24">
        <v>45078</v>
      </c>
      <c r="F151">
        <v>0</v>
      </c>
      <c r="G151">
        <v>0</v>
      </c>
      <c r="H151">
        <v>1</v>
      </c>
      <c r="I151">
        <v>0</v>
      </c>
    </row>
    <row r="152" spans="4:9" x14ac:dyDescent="0.25">
      <c r="D152" t="s">
        <v>136</v>
      </c>
      <c r="E152" s="24">
        <v>45078</v>
      </c>
      <c r="F152">
        <v>0</v>
      </c>
      <c r="G152">
        <v>1</v>
      </c>
      <c r="H152">
        <v>0</v>
      </c>
      <c r="I152">
        <v>0</v>
      </c>
    </row>
    <row r="153" spans="4:9" x14ac:dyDescent="0.25">
      <c r="D153" t="s">
        <v>137</v>
      </c>
      <c r="E153" s="24">
        <v>45078</v>
      </c>
      <c r="F153">
        <v>0</v>
      </c>
      <c r="G153">
        <v>1</v>
      </c>
      <c r="H153">
        <v>0</v>
      </c>
      <c r="I153">
        <v>0</v>
      </c>
    </row>
    <row r="154" spans="4:9" x14ac:dyDescent="0.25">
      <c r="D154" t="s">
        <v>138</v>
      </c>
      <c r="E154" s="24">
        <v>45078</v>
      </c>
      <c r="F154">
        <v>0</v>
      </c>
      <c r="G154">
        <v>0</v>
      </c>
      <c r="H154">
        <v>0</v>
      </c>
      <c r="I154">
        <v>0</v>
      </c>
    </row>
    <row r="155" spans="4:9" x14ac:dyDescent="0.25">
      <c r="D155" t="s">
        <v>139</v>
      </c>
      <c r="E155" s="24">
        <v>45078</v>
      </c>
      <c r="F155">
        <v>0</v>
      </c>
      <c r="G155">
        <v>1</v>
      </c>
      <c r="H155">
        <v>1</v>
      </c>
      <c r="I155">
        <v>0</v>
      </c>
    </row>
    <row r="156" spans="4:9" x14ac:dyDescent="0.25">
      <c r="D156" t="s">
        <v>140</v>
      </c>
      <c r="E156" s="24">
        <v>45078</v>
      </c>
      <c r="F156">
        <v>0</v>
      </c>
      <c r="G156">
        <v>0</v>
      </c>
      <c r="H156">
        <v>1</v>
      </c>
      <c r="I156">
        <v>1</v>
      </c>
    </row>
    <row r="157" spans="4:9" x14ac:dyDescent="0.25">
      <c r="D157" t="s">
        <v>141</v>
      </c>
      <c r="E157" s="24">
        <v>45078</v>
      </c>
      <c r="F157">
        <v>0</v>
      </c>
      <c r="G157">
        <v>1</v>
      </c>
      <c r="H157">
        <v>1</v>
      </c>
      <c r="I157">
        <v>0</v>
      </c>
    </row>
    <row r="158" spans="4:9" x14ac:dyDescent="0.25">
      <c r="D158" t="s">
        <v>142</v>
      </c>
      <c r="E158" s="24">
        <v>45078</v>
      </c>
      <c r="F158">
        <v>0</v>
      </c>
      <c r="G158">
        <v>0</v>
      </c>
      <c r="H158">
        <v>0</v>
      </c>
      <c r="I158">
        <v>0</v>
      </c>
    </row>
    <row r="159" spans="4:9" x14ac:dyDescent="0.25">
      <c r="D159" t="s">
        <v>143</v>
      </c>
      <c r="E159" s="24">
        <v>45078</v>
      </c>
      <c r="F159">
        <v>0</v>
      </c>
      <c r="G159">
        <v>1</v>
      </c>
      <c r="H159">
        <v>1</v>
      </c>
      <c r="I159">
        <v>0</v>
      </c>
    </row>
    <row r="160" spans="4:9" x14ac:dyDescent="0.25">
      <c r="D160" t="s">
        <v>147</v>
      </c>
      <c r="E160" s="24">
        <v>45079</v>
      </c>
    </row>
    <row r="161" spans="4:5" x14ac:dyDescent="0.25">
      <c r="D161" t="s">
        <v>148</v>
      </c>
      <c r="E161" s="24">
        <v>45079</v>
      </c>
    </row>
    <row r="162" spans="4:5" x14ac:dyDescent="0.25">
      <c r="D162" t="s">
        <v>149</v>
      </c>
      <c r="E162" s="24">
        <v>45079</v>
      </c>
    </row>
    <row r="163" spans="4:5" x14ac:dyDescent="0.25">
      <c r="D163" t="s">
        <v>150</v>
      </c>
      <c r="E163" s="24">
        <v>45079</v>
      </c>
    </row>
    <row r="164" spans="4:5" x14ac:dyDescent="0.25">
      <c r="D164" t="s">
        <v>151</v>
      </c>
      <c r="E164" s="24">
        <v>45079</v>
      </c>
    </row>
    <row r="165" spans="4:5" x14ac:dyDescent="0.25">
      <c r="D165" t="s">
        <v>152</v>
      </c>
      <c r="E165" s="24">
        <v>45079</v>
      </c>
    </row>
    <row r="166" spans="4:5" x14ac:dyDescent="0.25">
      <c r="D166" t="s">
        <v>153</v>
      </c>
      <c r="E166" s="24">
        <v>45079</v>
      </c>
    </row>
    <row r="167" spans="4:5" x14ac:dyDescent="0.25">
      <c r="D167" t="s">
        <v>154</v>
      </c>
      <c r="E167" s="24">
        <v>45079</v>
      </c>
    </row>
    <row r="168" spans="4:5" x14ac:dyDescent="0.25">
      <c r="D168" t="s">
        <v>155</v>
      </c>
      <c r="E168" s="24">
        <v>45079</v>
      </c>
    </row>
    <row r="169" spans="4:5" x14ac:dyDescent="0.25">
      <c r="D169" t="s">
        <v>156</v>
      </c>
      <c r="E169" s="24">
        <v>45079</v>
      </c>
    </row>
    <row r="170" spans="4:5" x14ac:dyDescent="0.25">
      <c r="D170" t="s">
        <v>157</v>
      </c>
      <c r="E170" s="24">
        <v>45079</v>
      </c>
    </row>
    <row r="171" spans="4:5" x14ac:dyDescent="0.25">
      <c r="D171" t="s">
        <v>158</v>
      </c>
      <c r="E171" s="24">
        <v>45079</v>
      </c>
    </row>
    <row r="172" spans="4:5" x14ac:dyDescent="0.25">
      <c r="D172" t="s">
        <v>159</v>
      </c>
      <c r="E172" s="24">
        <v>45079</v>
      </c>
    </row>
    <row r="173" spans="4:5" x14ac:dyDescent="0.25">
      <c r="D173" t="s">
        <v>160</v>
      </c>
      <c r="E173" s="24">
        <v>45079</v>
      </c>
    </row>
    <row r="174" spans="4:5" x14ac:dyDescent="0.25">
      <c r="D174" t="s">
        <v>161</v>
      </c>
      <c r="E174" s="24">
        <v>45079</v>
      </c>
    </row>
    <row r="175" spans="4:5" x14ac:dyDescent="0.25">
      <c r="D175" t="s">
        <v>162</v>
      </c>
      <c r="E175" s="24">
        <v>45079</v>
      </c>
    </row>
    <row r="176" spans="4:5" x14ac:dyDescent="0.25">
      <c r="D176" t="s">
        <v>163</v>
      </c>
      <c r="E176" s="24">
        <v>45079</v>
      </c>
    </row>
    <row r="177" spans="4:5" x14ac:dyDescent="0.25">
      <c r="D177" t="s">
        <v>164</v>
      </c>
      <c r="E177" s="24">
        <v>45079</v>
      </c>
    </row>
    <row r="178" spans="4:5" x14ac:dyDescent="0.25">
      <c r="D178" t="s">
        <v>165</v>
      </c>
      <c r="E178" s="24">
        <v>45079</v>
      </c>
    </row>
    <row r="179" spans="4:5" x14ac:dyDescent="0.25">
      <c r="D179" t="s">
        <v>166</v>
      </c>
      <c r="E179" s="24">
        <v>45079</v>
      </c>
    </row>
    <row r="180" spans="4:5" x14ac:dyDescent="0.25">
      <c r="D180" t="s">
        <v>167</v>
      </c>
      <c r="E180" s="24">
        <v>45079</v>
      </c>
    </row>
    <row r="181" spans="4:5" x14ac:dyDescent="0.25">
      <c r="D181" t="s">
        <v>168</v>
      </c>
      <c r="E181" s="24">
        <v>45079</v>
      </c>
    </row>
    <row r="182" spans="4:5" x14ac:dyDescent="0.25">
      <c r="D182" t="s">
        <v>169</v>
      </c>
      <c r="E182" s="24">
        <v>45079</v>
      </c>
    </row>
    <row r="183" spans="4:5" x14ac:dyDescent="0.25">
      <c r="D183" t="s">
        <v>170</v>
      </c>
      <c r="E183" s="24">
        <v>45079</v>
      </c>
    </row>
    <row r="184" spans="4:5" x14ac:dyDescent="0.25">
      <c r="D184" t="s">
        <v>171</v>
      </c>
      <c r="E184" s="24">
        <v>45079</v>
      </c>
    </row>
    <row r="185" spans="4:5" x14ac:dyDescent="0.25">
      <c r="D185" t="s">
        <v>172</v>
      </c>
      <c r="E185" s="24">
        <v>45079</v>
      </c>
    </row>
    <row r="186" spans="4:5" x14ac:dyDescent="0.25">
      <c r="D186" t="s">
        <v>173</v>
      </c>
      <c r="E186" s="24">
        <v>45079</v>
      </c>
    </row>
    <row r="187" spans="4:5" x14ac:dyDescent="0.25">
      <c r="D187" t="s">
        <v>174</v>
      </c>
      <c r="E187" s="24">
        <v>45079</v>
      </c>
    </row>
    <row r="188" spans="4:5" x14ac:dyDescent="0.25">
      <c r="D188" t="s">
        <v>175</v>
      </c>
      <c r="E188" s="24">
        <v>45079</v>
      </c>
    </row>
    <row r="189" spans="4:5" x14ac:dyDescent="0.25">
      <c r="D189" t="s">
        <v>176</v>
      </c>
      <c r="E189" s="24">
        <v>45079</v>
      </c>
    </row>
    <row r="190" spans="4:5" x14ac:dyDescent="0.25">
      <c r="D190" t="s">
        <v>177</v>
      </c>
      <c r="E190" s="24">
        <v>45079</v>
      </c>
    </row>
    <row r="191" spans="4:5" x14ac:dyDescent="0.25">
      <c r="D191" t="s">
        <v>178</v>
      </c>
      <c r="E191" s="24">
        <v>45079</v>
      </c>
    </row>
    <row r="192" spans="4:5" x14ac:dyDescent="0.25">
      <c r="D192" t="s">
        <v>179</v>
      </c>
      <c r="E192" s="24">
        <v>45079</v>
      </c>
    </row>
    <row r="193" spans="4:5" x14ac:dyDescent="0.25">
      <c r="D193" t="s">
        <v>180</v>
      </c>
      <c r="E193" s="24">
        <v>45079</v>
      </c>
    </row>
    <row r="194" spans="4:5" x14ac:dyDescent="0.25">
      <c r="D194" t="s">
        <v>181</v>
      </c>
      <c r="E194" s="24">
        <v>45079</v>
      </c>
    </row>
    <row r="195" spans="4:5" x14ac:dyDescent="0.25">
      <c r="D195" t="s">
        <v>182</v>
      </c>
      <c r="E195" s="24">
        <v>45079</v>
      </c>
    </row>
    <row r="196" spans="4:5" x14ac:dyDescent="0.25">
      <c r="D196" t="s">
        <v>183</v>
      </c>
      <c r="E196" s="24">
        <v>45079</v>
      </c>
    </row>
    <row r="197" spans="4:5" x14ac:dyDescent="0.25">
      <c r="D197" t="s">
        <v>184</v>
      </c>
      <c r="E197" s="24">
        <v>45079</v>
      </c>
    </row>
    <row r="198" spans="4:5" x14ac:dyDescent="0.25">
      <c r="D198" t="s">
        <v>185</v>
      </c>
      <c r="E198" s="24">
        <v>45079</v>
      </c>
    </row>
    <row r="199" spans="4:5" x14ac:dyDescent="0.25">
      <c r="D199" t="s">
        <v>186</v>
      </c>
      <c r="E199" s="24">
        <v>45079</v>
      </c>
    </row>
    <row r="200" spans="4:5" x14ac:dyDescent="0.25">
      <c r="D200" t="s">
        <v>187</v>
      </c>
      <c r="E200" s="24">
        <v>45079</v>
      </c>
    </row>
    <row r="201" spans="4:5" x14ac:dyDescent="0.25">
      <c r="D201" t="s">
        <v>188</v>
      </c>
      <c r="E201" s="24">
        <v>45079</v>
      </c>
    </row>
    <row r="202" spans="4:5" x14ac:dyDescent="0.25">
      <c r="D202" t="s">
        <v>189</v>
      </c>
      <c r="E202" s="24">
        <v>45079</v>
      </c>
    </row>
    <row r="203" spans="4:5" x14ac:dyDescent="0.25">
      <c r="D203" t="s">
        <v>190</v>
      </c>
      <c r="E203" s="24">
        <v>45079</v>
      </c>
    </row>
    <row r="204" spans="4:5" x14ac:dyDescent="0.25">
      <c r="D204" t="s">
        <v>191</v>
      </c>
      <c r="E204" s="24">
        <v>45079</v>
      </c>
    </row>
    <row r="205" spans="4:5" x14ac:dyDescent="0.25">
      <c r="D205" t="s">
        <v>192</v>
      </c>
      <c r="E205" s="24">
        <v>45079</v>
      </c>
    </row>
    <row r="206" spans="4:5" x14ac:dyDescent="0.25">
      <c r="D206" t="s">
        <v>193</v>
      </c>
      <c r="E206" s="24">
        <v>45079</v>
      </c>
    </row>
    <row r="207" spans="4:5" x14ac:dyDescent="0.25">
      <c r="D207" t="s">
        <v>194</v>
      </c>
      <c r="E207" s="24">
        <v>45079</v>
      </c>
    </row>
    <row r="208" spans="4:5" x14ac:dyDescent="0.25">
      <c r="D208" t="s">
        <v>195</v>
      </c>
      <c r="E208" s="24">
        <v>45079</v>
      </c>
    </row>
    <row r="209" spans="4:5" x14ac:dyDescent="0.25">
      <c r="D209" t="s">
        <v>196</v>
      </c>
      <c r="E209" s="24">
        <v>45079</v>
      </c>
    </row>
    <row r="210" spans="4:5" x14ac:dyDescent="0.25">
      <c r="D210" t="s">
        <v>197</v>
      </c>
      <c r="E210" s="24">
        <v>45079</v>
      </c>
    </row>
    <row r="211" spans="4:5" x14ac:dyDescent="0.25">
      <c r="D211" t="s">
        <v>198</v>
      </c>
      <c r="E211" s="24">
        <v>45079</v>
      </c>
    </row>
    <row r="212" spans="4:5" x14ac:dyDescent="0.25">
      <c r="D212" t="s">
        <v>199</v>
      </c>
      <c r="E212" s="24">
        <v>45079</v>
      </c>
    </row>
    <row r="213" spans="4:5" x14ac:dyDescent="0.25">
      <c r="D213" t="s">
        <v>200</v>
      </c>
      <c r="E213" s="24">
        <v>45079</v>
      </c>
    </row>
    <row r="214" spans="4:5" x14ac:dyDescent="0.25">
      <c r="D214" t="s">
        <v>201</v>
      </c>
      <c r="E214" s="24">
        <v>45079</v>
      </c>
    </row>
    <row r="215" spans="4:5" x14ac:dyDescent="0.25">
      <c r="D215" t="s">
        <v>202</v>
      </c>
      <c r="E215" s="24">
        <v>45079</v>
      </c>
    </row>
    <row r="216" spans="4:5" x14ac:dyDescent="0.25">
      <c r="D216" t="s">
        <v>203</v>
      </c>
      <c r="E216" s="24">
        <v>45079</v>
      </c>
    </row>
    <row r="217" spans="4:5" x14ac:dyDescent="0.25">
      <c r="D217" t="s">
        <v>144</v>
      </c>
      <c r="E217" s="24">
        <v>45079</v>
      </c>
    </row>
    <row r="218" spans="4:5" x14ac:dyDescent="0.25">
      <c r="D218" t="s">
        <v>145</v>
      </c>
      <c r="E218" s="24">
        <v>45079</v>
      </c>
    </row>
    <row r="219" spans="4:5" x14ac:dyDescent="0.25">
      <c r="D219" t="s">
        <v>146</v>
      </c>
      <c r="E219" s="24">
        <v>45079</v>
      </c>
    </row>
    <row r="220" spans="4:5" x14ac:dyDescent="0.25">
      <c r="D220" t="s">
        <v>20</v>
      </c>
      <c r="E220" s="24">
        <v>45079</v>
      </c>
    </row>
    <row r="221" spans="4:5" x14ac:dyDescent="0.25">
      <c r="D221" t="s">
        <v>47</v>
      </c>
      <c r="E221" s="24">
        <v>45079</v>
      </c>
    </row>
    <row r="222" spans="4:5" x14ac:dyDescent="0.25">
      <c r="D222" t="s">
        <v>48</v>
      </c>
      <c r="E222" s="24">
        <v>45079</v>
      </c>
    </row>
    <row r="223" spans="4:5" x14ac:dyDescent="0.25">
      <c r="D223" t="s">
        <v>49</v>
      </c>
      <c r="E223" s="24">
        <v>45079</v>
      </c>
    </row>
    <row r="224" spans="4:5" x14ac:dyDescent="0.25">
      <c r="D224" t="s">
        <v>50</v>
      </c>
      <c r="E224" s="24">
        <v>45079</v>
      </c>
    </row>
    <row r="225" spans="4:5" x14ac:dyDescent="0.25">
      <c r="D225" t="s">
        <v>51</v>
      </c>
      <c r="E225" s="24">
        <v>45079</v>
      </c>
    </row>
    <row r="226" spans="4:5" x14ac:dyDescent="0.25">
      <c r="D226" t="s">
        <v>52</v>
      </c>
      <c r="E226" s="24">
        <v>45079</v>
      </c>
    </row>
    <row r="227" spans="4:5" x14ac:dyDescent="0.25">
      <c r="D227" t="s">
        <v>53</v>
      </c>
      <c r="E227" s="24">
        <v>45079</v>
      </c>
    </row>
    <row r="228" spans="4:5" x14ac:dyDescent="0.25">
      <c r="D228" t="s">
        <v>54</v>
      </c>
      <c r="E228" s="24">
        <v>45079</v>
      </c>
    </row>
    <row r="229" spans="4:5" x14ac:dyDescent="0.25">
      <c r="D229" t="s">
        <v>55</v>
      </c>
      <c r="E229" s="24">
        <v>45079</v>
      </c>
    </row>
    <row r="230" spans="4:5" x14ac:dyDescent="0.25">
      <c r="D230" t="s">
        <v>56</v>
      </c>
      <c r="E230" s="24">
        <v>45079</v>
      </c>
    </row>
    <row r="231" spans="4:5" x14ac:dyDescent="0.25">
      <c r="D231" t="s">
        <v>57</v>
      </c>
      <c r="E231" s="24">
        <v>45079</v>
      </c>
    </row>
    <row r="232" spans="4:5" x14ac:dyDescent="0.25">
      <c r="D232" t="s">
        <v>58</v>
      </c>
      <c r="E232" s="24">
        <v>45079</v>
      </c>
    </row>
    <row r="233" spans="4:5" x14ac:dyDescent="0.25">
      <c r="D233" t="s">
        <v>59</v>
      </c>
      <c r="E233" s="24">
        <v>45079</v>
      </c>
    </row>
    <row r="234" spans="4:5" x14ac:dyDescent="0.25">
      <c r="D234" t="s">
        <v>60</v>
      </c>
      <c r="E234" s="24">
        <v>45079</v>
      </c>
    </row>
    <row r="235" spans="4:5" x14ac:dyDescent="0.25">
      <c r="D235" t="s">
        <v>61</v>
      </c>
      <c r="E235" s="24">
        <v>45079</v>
      </c>
    </row>
    <row r="236" spans="4:5" x14ac:dyDescent="0.25">
      <c r="D236" t="s">
        <v>62</v>
      </c>
      <c r="E236" s="24">
        <v>45079</v>
      </c>
    </row>
    <row r="237" spans="4:5" x14ac:dyDescent="0.25">
      <c r="D237" t="s">
        <v>63</v>
      </c>
      <c r="E237" s="24">
        <v>45079</v>
      </c>
    </row>
    <row r="238" spans="4:5" x14ac:dyDescent="0.25">
      <c r="D238" t="s">
        <v>64</v>
      </c>
      <c r="E238" s="24">
        <v>45079</v>
      </c>
    </row>
    <row r="239" spans="4:5" x14ac:dyDescent="0.25">
      <c r="D239" t="s">
        <v>65</v>
      </c>
      <c r="E239" s="24">
        <v>45079</v>
      </c>
    </row>
    <row r="240" spans="4:5" x14ac:dyDescent="0.25">
      <c r="D240" t="s">
        <v>66</v>
      </c>
      <c r="E240" s="24">
        <v>45079</v>
      </c>
    </row>
    <row r="241" spans="4:5" x14ac:dyDescent="0.25">
      <c r="D241" t="s">
        <v>67</v>
      </c>
      <c r="E241" s="24">
        <v>45079</v>
      </c>
    </row>
    <row r="242" spans="4:5" x14ac:dyDescent="0.25">
      <c r="D242" t="s">
        <v>68</v>
      </c>
      <c r="E242" s="24">
        <v>45079</v>
      </c>
    </row>
    <row r="243" spans="4:5" x14ac:dyDescent="0.25">
      <c r="D243" t="s">
        <v>69</v>
      </c>
      <c r="E243" s="24">
        <v>45079</v>
      </c>
    </row>
    <row r="244" spans="4:5" x14ac:dyDescent="0.25">
      <c r="D244" t="s">
        <v>70</v>
      </c>
      <c r="E244" s="24">
        <v>45079</v>
      </c>
    </row>
    <row r="245" spans="4:5" x14ac:dyDescent="0.25">
      <c r="D245" t="s">
        <v>71</v>
      </c>
      <c r="E245" s="24">
        <v>45079</v>
      </c>
    </row>
    <row r="246" spans="4:5" x14ac:dyDescent="0.25">
      <c r="D246" t="s">
        <v>72</v>
      </c>
      <c r="E246" s="24">
        <v>45079</v>
      </c>
    </row>
    <row r="247" spans="4:5" x14ac:dyDescent="0.25">
      <c r="D247" t="s">
        <v>73</v>
      </c>
      <c r="E247" s="24">
        <v>45079</v>
      </c>
    </row>
    <row r="248" spans="4:5" x14ac:dyDescent="0.25">
      <c r="D248" t="s">
        <v>74</v>
      </c>
      <c r="E248" s="24">
        <v>45079</v>
      </c>
    </row>
    <row r="249" spans="4:5" x14ac:dyDescent="0.25">
      <c r="D249" t="s">
        <v>75</v>
      </c>
      <c r="E249" s="24">
        <v>45079</v>
      </c>
    </row>
    <row r="250" spans="4:5" x14ac:dyDescent="0.25">
      <c r="D250" t="s">
        <v>76</v>
      </c>
      <c r="E250" s="24">
        <v>45079</v>
      </c>
    </row>
    <row r="251" spans="4:5" x14ac:dyDescent="0.25">
      <c r="D251" t="s">
        <v>77</v>
      </c>
      <c r="E251" s="24">
        <v>45079</v>
      </c>
    </row>
    <row r="252" spans="4:5" x14ac:dyDescent="0.25">
      <c r="D252" t="s">
        <v>78</v>
      </c>
      <c r="E252" s="24">
        <v>45079</v>
      </c>
    </row>
    <row r="253" spans="4:5" x14ac:dyDescent="0.25">
      <c r="D253" t="s">
        <v>79</v>
      </c>
      <c r="E253" s="24">
        <v>45079</v>
      </c>
    </row>
    <row r="254" spans="4:5" x14ac:dyDescent="0.25">
      <c r="D254" t="s">
        <v>80</v>
      </c>
      <c r="E254" s="24">
        <v>45079</v>
      </c>
    </row>
    <row r="255" spans="4:5" x14ac:dyDescent="0.25">
      <c r="D255" t="s">
        <v>81</v>
      </c>
      <c r="E255" s="24">
        <v>45079</v>
      </c>
    </row>
    <row r="256" spans="4:5" x14ac:dyDescent="0.25">
      <c r="D256" t="s">
        <v>82</v>
      </c>
      <c r="E256" s="24">
        <v>45079</v>
      </c>
    </row>
    <row r="257" spans="4:5" x14ac:dyDescent="0.25">
      <c r="D257" t="s">
        <v>83</v>
      </c>
      <c r="E257" s="24">
        <v>45079</v>
      </c>
    </row>
    <row r="258" spans="4:5" x14ac:dyDescent="0.25">
      <c r="D258" t="s">
        <v>84</v>
      </c>
      <c r="E258" s="24">
        <v>45079</v>
      </c>
    </row>
    <row r="259" spans="4:5" x14ac:dyDescent="0.25">
      <c r="D259" t="s">
        <v>85</v>
      </c>
      <c r="E259" s="24">
        <v>45079</v>
      </c>
    </row>
    <row r="260" spans="4:5" x14ac:dyDescent="0.25">
      <c r="D260" t="s">
        <v>86</v>
      </c>
      <c r="E260" s="24">
        <v>45079</v>
      </c>
    </row>
    <row r="261" spans="4:5" x14ac:dyDescent="0.25">
      <c r="D261" t="s">
        <v>87</v>
      </c>
      <c r="E261" s="24">
        <v>45079</v>
      </c>
    </row>
    <row r="262" spans="4:5" x14ac:dyDescent="0.25">
      <c r="D262" t="s">
        <v>88</v>
      </c>
      <c r="E262" s="24">
        <v>45079</v>
      </c>
    </row>
    <row r="263" spans="4:5" x14ac:dyDescent="0.25">
      <c r="D263" t="s">
        <v>89</v>
      </c>
      <c r="E263" s="24">
        <v>45079</v>
      </c>
    </row>
    <row r="264" spans="4:5" x14ac:dyDescent="0.25">
      <c r="D264" t="s">
        <v>90</v>
      </c>
      <c r="E264" s="24">
        <v>45079</v>
      </c>
    </row>
    <row r="265" spans="4:5" x14ac:dyDescent="0.25">
      <c r="D265" t="s">
        <v>91</v>
      </c>
      <c r="E265" s="24">
        <v>45079</v>
      </c>
    </row>
    <row r="266" spans="4:5" x14ac:dyDescent="0.25">
      <c r="D266" t="s">
        <v>92</v>
      </c>
      <c r="E266" s="24">
        <v>45079</v>
      </c>
    </row>
    <row r="267" spans="4:5" x14ac:dyDescent="0.25">
      <c r="D267" t="s">
        <v>93</v>
      </c>
      <c r="E267" s="24">
        <v>45079</v>
      </c>
    </row>
    <row r="268" spans="4:5" x14ac:dyDescent="0.25">
      <c r="D268" t="s">
        <v>94</v>
      </c>
      <c r="E268" s="24">
        <v>45079</v>
      </c>
    </row>
    <row r="269" spans="4:5" x14ac:dyDescent="0.25">
      <c r="D269" t="s">
        <v>95</v>
      </c>
      <c r="E269" s="24">
        <v>45079</v>
      </c>
    </row>
    <row r="270" spans="4:5" x14ac:dyDescent="0.25">
      <c r="D270" t="s">
        <v>96</v>
      </c>
      <c r="E270" s="24">
        <v>45079</v>
      </c>
    </row>
    <row r="271" spans="4:5" x14ac:dyDescent="0.25">
      <c r="D271" t="s">
        <v>97</v>
      </c>
      <c r="E271" s="24">
        <v>45079</v>
      </c>
    </row>
    <row r="272" spans="4:5" x14ac:dyDescent="0.25">
      <c r="D272" t="s">
        <v>98</v>
      </c>
      <c r="E272" s="24">
        <v>45079</v>
      </c>
    </row>
    <row r="273" spans="4:5" x14ac:dyDescent="0.25">
      <c r="D273" t="s">
        <v>99</v>
      </c>
      <c r="E273" s="24">
        <v>45079</v>
      </c>
    </row>
    <row r="274" spans="4:5" x14ac:dyDescent="0.25">
      <c r="D274" t="s">
        <v>100</v>
      </c>
      <c r="E274" s="24">
        <v>45079</v>
      </c>
    </row>
    <row r="275" spans="4:5" x14ac:dyDescent="0.25">
      <c r="D275" t="s">
        <v>101</v>
      </c>
      <c r="E275" s="24">
        <v>45079</v>
      </c>
    </row>
    <row r="276" spans="4:5" x14ac:dyDescent="0.25">
      <c r="D276" t="s">
        <v>102</v>
      </c>
      <c r="E276" s="24">
        <v>45079</v>
      </c>
    </row>
    <row r="277" spans="4:5" x14ac:dyDescent="0.25">
      <c r="D277" t="s">
        <v>103</v>
      </c>
      <c r="E277" s="24">
        <v>45079</v>
      </c>
    </row>
    <row r="278" spans="4:5" x14ac:dyDescent="0.25">
      <c r="D278" t="s">
        <v>104</v>
      </c>
      <c r="E278" s="24">
        <v>45079</v>
      </c>
    </row>
    <row r="279" spans="4:5" x14ac:dyDescent="0.25">
      <c r="D279" t="s">
        <v>105</v>
      </c>
      <c r="E279" s="24">
        <v>45079</v>
      </c>
    </row>
    <row r="280" spans="4:5" x14ac:dyDescent="0.25">
      <c r="D280" t="s">
        <v>106</v>
      </c>
      <c r="E280" s="24">
        <v>45079</v>
      </c>
    </row>
    <row r="281" spans="4:5" x14ac:dyDescent="0.25">
      <c r="D281" t="s">
        <v>107</v>
      </c>
      <c r="E281" s="24">
        <v>45079</v>
      </c>
    </row>
    <row r="282" spans="4:5" x14ac:dyDescent="0.25">
      <c r="D282" t="s">
        <v>108</v>
      </c>
      <c r="E282" s="24">
        <v>45079</v>
      </c>
    </row>
    <row r="283" spans="4:5" x14ac:dyDescent="0.25">
      <c r="D283" t="s">
        <v>109</v>
      </c>
      <c r="E283" s="24">
        <v>45079</v>
      </c>
    </row>
    <row r="284" spans="4:5" x14ac:dyDescent="0.25">
      <c r="D284" t="s">
        <v>110</v>
      </c>
      <c r="E284" s="24">
        <v>45079</v>
      </c>
    </row>
    <row r="285" spans="4:5" x14ac:dyDescent="0.25">
      <c r="D285" t="s">
        <v>111</v>
      </c>
      <c r="E285" s="24">
        <v>45079</v>
      </c>
    </row>
    <row r="286" spans="4:5" x14ac:dyDescent="0.25">
      <c r="D286" t="s">
        <v>112</v>
      </c>
      <c r="E286" s="24">
        <v>45079</v>
      </c>
    </row>
    <row r="287" spans="4:5" x14ac:dyDescent="0.25">
      <c r="D287" t="s">
        <v>113</v>
      </c>
      <c r="E287" s="24">
        <v>45079</v>
      </c>
    </row>
    <row r="288" spans="4:5" x14ac:dyDescent="0.25">
      <c r="D288" t="s">
        <v>114</v>
      </c>
      <c r="E288" s="24">
        <v>45079</v>
      </c>
    </row>
    <row r="289" spans="4:5" x14ac:dyDescent="0.25">
      <c r="D289" t="s">
        <v>115</v>
      </c>
      <c r="E289" s="24">
        <v>45079</v>
      </c>
    </row>
    <row r="290" spans="4:5" x14ac:dyDescent="0.25">
      <c r="D290" t="s">
        <v>116</v>
      </c>
      <c r="E290" s="24">
        <v>45079</v>
      </c>
    </row>
    <row r="291" spans="4:5" x14ac:dyDescent="0.25">
      <c r="D291" t="s">
        <v>117</v>
      </c>
      <c r="E291" s="24">
        <v>45079</v>
      </c>
    </row>
    <row r="292" spans="4:5" x14ac:dyDescent="0.25">
      <c r="D292" t="s">
        <v>118</v>
      </c>
      <c r="E292" s="24">
        <v>45079</v>
      </c>
    </row>
    <row r="293" spans="4:5" x14ac:dyDescent="0.25">
      <c r="D293" t="s">
        <v>119</v>
      </c>
      <c r="E293" s="24">
        <v>45079</v>
      </c>
    </row>
    <row r="294" spans="4:5" x14ac:dyDescent="0.25">
      <c r="D294" t="s">
        <v>120</v>
      </c>
      <c r="E294" s="24">
        <v>45079</v>
      </c>
    </row>
    <row r="295" spans="4:5" x14ac:dyDescent="0.25">
      <c r="D295" t="s">
        <v>121</v>
      </c>
      <c r="E295" s="24">
        <v>45079</v>
      </c>
    </row>
    <row r="296" spans="4:5" x14ac:dyDescent="0.25">
      <c r="D296" t="s">
        <v>122</v>
      </c>
      <c r="E296" s="24">
        <v>45079</v>
      </c>
    </row>
    <row r="297" spans="4:5" x14ac:dyDescent="0.25">
      <c r="D297" t="s">
        <v>123</v>
      </c>
      <c r="E297" s="24">
        <v>45079</v>
      </c>
    </row>
    <row r="298" spans="4:5" x14ac:dyDescent="0.25">
      <c r="D298" t="s">
        <v>124</v>
      </c>
      <c r="E298" s="24">
        <v>45079</v>
      </c>
    </row>
    <row r="299" spans="4:5" x14ac:dyDescent="0.25">
      <c r="D299" t="s">
        <v>125</v>
      </c>
      <c r="E299" s="24">
        <v>45079</v>
      </c>
    </row>
    <row r="300" spans="4:5" x14ac:dyDescent="0.25">
      <c r="D300" t="s">
        <v>126</v>
      </c>
      <c r="E300" s="24">
        <v>45079</v>
      </c>
    </row>
    <row r="301" spans="4:5" x14ac:dyDescent="0.25">
      <c r="D301" t="s">
        <v>127</v>
      </c>
      <c r="E301" s="24">
        <v>45079</v>
      </c>
    </row>
    <row r="302" spans="4:5" x14ac:dyDescent="0.25">
      <c r="D302" t="s">
        <v>128</v>
      </c>
      <c r="E302" s="24">
        <v>45079</v>
      </c>
    </row>
    <row r="303" spans="4:5" x14ac:dyDescent="0.25">
      <c r="D303" t="s">
        <v>129</v>
      </c>
      <c r="E303" s="24">
        <v>45079</v>
      </c>
    </row>
    <row r="304" spans="4:5" x14ac:dyDescent="0.25">
      <c r="D304" t="s">
        <v>130</v>
      </c>
      <c r="E304" s="24">
        <v>45079</v>
      </c>
    </row>
    <row r="305" spans="4:5" x14ac:dyDescent="0.25">
      <c r="D305" t="s">
        <v>131</v>
      </c>
      <c r="E305" s="24">
        <v>45079</v>
      </c>
    </row>
    <row r="306" spans="4:5" x14ac:dyDescent="0.25">
      <c r="D306" t="s">
        <v>132</v>
      </c>
      <c r="E306" s="24">
        <v>45079</v>
      </c>
    </row>
    <row r="307" spans="4:5" x14ac:dyDescent="0.25">
      <c r="D307" t="s">
        <v>133</v>
      </c>
      <c r="E307" s="24">
        <v>45079</v>
      </c>
    </row>
    <row r="308" spans="4:5" x14ac:dyDescent="0.25">
      <c r="D308" t="s">
        <v>134</v>
      </c>
      <c r="E308" s="24">
        <v>45079</v>
      </c>
    </row>
    <row r="309" spans="4:5" x14ac:dyDescent="0.25">
      <c r="D309" t="s">
        <v>135</v>
      </c>
      <c r="E309" s="24">
        <v>45079</v>
      </c>
    </row>
    <row r="310" spans="4:5" x14ac:dyDescent="0.25">
      <c r="D310" t="s">
        <v>136</v>
      </c>
      <c r="E310" s="24">
        <v>45079</v>
      </c>
    </row>
    <row r="311" spans="4:5" x14ac:dyDescent="0.25">
      <c r="D311" t="s">
        <v>137</v>
      </c>
      <c r="E311" s="24">
        <v>45079</v>
      </c>
    </row>
    <row r="312" spans="4:5" x14ac:dyDescent="0.25">
      <c r="D312" t="s">
        <v>138</v>
      </c>
      <c r="E312" s="24">
        <v>45079</v>
      </c>
    </row>
    <row r="313" spans="4:5" x14ac:dyDescent="0.25">
      <c r="D313" t="s">
        <v>139</v>
      </c>
      <c r="E313" s="24">
        <v>45079</v>
      </c>
    </row>
    <row r="314" spans="4:5" x14ac:dyDescent="0.25">
      <c r="D314" t="s">
        <v>140</v>
      </c>
      <c r="E314" s="24">
        <v>45079</v>
      </c>
    </row>
    <row r="315" spans="4:5" x14ac:dyDescent="0.25">
      <c r="D315" t="s">
        <v>141</v>
      </c>
      <c r="E315" s="24">
        <v>45079</v>
      </c>
    </row>
    <row r="316" spans="4:5" x14ac:dyDescent="0.25">
      <c r="D316" t="s">
        <v>142</v>
      </c>
      <c r="E316" s="24">
        <v>45079</v>
      </c>
    </row>
    <row r="317" spans="4:5" x14ac:dyDescent="0.25">
      <c r="D317" t="s">
        <v>143</v>
      </c>
      <c r="E317" s="24">
        <v>45079</v>
      </c>
    </row>
    <row r="318" spans="4:5" x14ac:dyDescent="0.25">
      <c r="D318" t="s">
        <v>147</v>
      </c>
      <c r="E318" s="24">
        <v>45080</v>
      </c>
    </row>
    <row r="319" spans="4:5" x14ac:dyDescent="0.25">
      <c r="D319" t="s">
        <v>148</v>
      </c>
      <c r="E319" s="24">
        <v>45080</v>
      </c>
    </row>
    <row r="320" spans="4:5" x14ac:dyDescent="0.25">
      <c r="D320" t="s">
        <v>149</v>
      </c>
      <c r="E320" s="24">
        <v>45080</v>
      </c>
    </row>
    <row r="321" spans="4:5" x14ac:dyDescent="0.25">
      <c r="D321" t="s">
        <v>150</v>
      </c>
      <c r="E321" s="24">
        <v>45080</v>
      </c>
    </row>
    <row r="322" spans="4:5" x14ac:dyDescent="0.25">
      <c r="D322" t="s">
        <v>151</v>
      </c>
      <c r="E322" s="24">
        <v>45080</v>
      </c>
    </row>
    <row r="323" spans="4:5" x14ac:dyDescent="0.25">
      <c r="D323" t="s">
        <v>152</v>
      </c>
      <c r="E323" s="24">
        <v>45080</v>
      </c>
    </row>
    <row r="324" spans="4:5" x14ac:dyDescent="0.25">
      <c r="D324" t="s">
        <v>153</v>
      </c>
      <c r="E324" s="24">
        <v>45080</v>
      </c>
    </row>
    <row r="325" spans="4:5" x14ac:dyDescent="0.25">
      <c r="D325" t="s">
        <v>154</v>
      </c>
      <c r="E325" s="24">
        <v>45080</v>
      </c>
    </row>
    <row r="326" spans="4:5" x14ac:dyDescent="0.25">
      <c r="D326" t="s">
        <v>155</v>
      </c>
      <c r="E326" s="24">
        <v>45080</v>
      </c>
    </row>
    <row r="327" spans="4:5" x14ac:dyDescent="0.25">
      <c r="D327" t="s">
        <v>156</v>
      </c>
      <c r="E327" s="24">
        <v>45080</v>
      </c>
    </row>
    <row r="328" spans="4:5" x14ac:dyDescent="0.25">
      <c r="D328" t="s">
        <v>157</v>
      </c>
      <c r="E328" s="24">
        <v>45080</v>
      </c>
    </row>
    <row r="329" spans="4:5" x14ac:dyDescent="0.25">
      <c r="D329" t="s">
        <v>158</v>
      </c>
      <c r="E329" s="24">
        <v>45080</v>
      </c>
    </row>
    <row r="330" spans="4:5" x14ac:dyDescent="0.25">
      <c r="D330" t="s">
        <v>159</v>
      </c>
      <c r="E330" s="24">
        <v>45080</v>
      </c>
    </row>
    <row r="331" spans="4:5" x14ac:dyDescent="0.25">
      <c r="D331" t="s">
        <v>160</v>
      </c>
      <c r="E331" s="24">
        <v>45080</v>
      </c>
    </row>
    <row r="332" spans="4:5" x14ac:dyDescent="0.25">
      <c r="D332" t="s">
        <v>161</v>
      </c>
      <c r="E332" s="24">
        <v>45080</v>
      </c>
    </row>
    <row r="333" spans="4:5" x14ac:dyDescent="0.25">
      <c r="D333" t="s">
        <v>162</v>
      </c>
      <c r="E333" s="24">
        <v>45080</v>
      </c>
    </row>
    <row r="334" spans="4:5" x14ac:dyDescent="0.25">
      <c r="D334" t="s">
        <v>163</v>
      </c>
      <c r="E334" s="24">
        <v>45080</v>
      </c>
    </row>
    <row r="335" spans="4:5" x14ac:dyDescent="0.25">
      <c r="D335" t="s">
        <v>164</v>
      </c>
      <c r="E335" s="24">
        <v>45080</v>
      </c>
    </row>
    <row r="336" spans="4:5" x14ac:dyDescent="0.25">
      <c r="D336" t="s">
        <v>165</v>
      </c>
      <c r="E336" s="24">
        <v>45080</v>
      </c>
    </row>
    <row r="337" spans="4:5" x14ac:dyDescent="0.25">
      <c r="D337" t="s">
        <v>166</v>
      </c>
      <c r="E337" s="24">
        <v>45080</v>
      </c>
    </row>
    <row r="338" spans="4:5" x14ac:dyDescent="0.25">
      <c r="D338" t="s">
        <v>167</v>
      </c>
      <c r="E338" s="24">
        <v>45080</v>
      </c>
    </row>
    <row r="339" spans="4:5" x14ac:dyDescent="0.25">
      <c r="D339" t="s">
        <v>168</v>
      </c>
      <c r="E339" s="24">
        <v>45080</v>
      </c>
    </row>
    <row r="340" spans="4:5" x14ac:dyDescent="0.25">
      <c r="D340" t="s">
        <v>169</v>
      </c>
      <c r="E340" s="24">
        <v>45080</v>
      </c>
    </row>
    <row r="341" spans="4:5" x14ac:dyDescent="0.25">
      <c r="D341" t="s">
        <v>170</v>
      </c>
      <c r="E341" s="24">
        <v>45080</v>
      </c>
    </row>
    <row r="342" spans="4:5" x14ac:dyDescent="0.25">
      <c r="D342" t="s">
        <v>171</v>
      </c>
      <c r="E342" s="24">
        <v>45080</v>
      </c>
    </row>
    <row r="343" spans="4:5" x14ac:dyDescent="0.25">
      <c r="D343" t="s">
        <v>172</v>
      </c>
      <c r="E343" s="24">
        <v>45080</v>
      </c>
    </row>
    <row r="344" spans="4:5" x14ac:dyDescent="0.25">
      <c r="D344" t="s">
        <v>173</v>
      </c>
      <c r="E344" s="24">
        <v>45080</v>
      </c>
    </row>
    <row r="345" spans="4:5" x14ac:dyDescent="0.25">
      <c r="D345" t="s">
        <v>174</v>
      </c>
      <c r="E345" s="24">
        <v>45080</v>
      </c>
    </row>
    <row r="346" spans="4:5" x14ac:dyDescent="0.25">
      <c r="D346" t="s">
        <v>175</v>
      </c>
      <c r="E346" s="24">
        <v>45080</v>
      </c>
    </row>
    <row r="347" spans="4:5" x14ac:dyDescent="0.25">
      <c r="D347" t="s">
        <v>176</v>
      </c>
      <c r="E347" s="24">
        <v>45080</v>
      </c>
    </row>
    <row r="348" spans="4:5" x14ac:dyDescent="0.25">
      <c r="D348" t="s">
        <v>177</v>
      </c>
      <c r="E348" s="24">
        <v>45080</v>
      </c>
    </row>
    <row r="349" spans="4:5" x14ac:dyDescent="0.25">
      <c r="D349" t="s">
        <v>178</v>
      </c>
      <c r="E349" s="24">
        <v>45080</v>
      </c>
    </row>
    <row r="350" spans="4:5" x14ac:dyDescent="0.25">
      <c r="D350" t="s">
        <v>179</v>
      </c>
      <c r="E350" s="24">
        <v>45080</v>
      </c>
    </row>
    <row r="351" spans="4:5" x14ac:dyDescent="0.25">
      <c r="D351" t="s">
        <v>180</v>
      </c>
      <c r="E351" s="24">
        <v>45080</v>
      </c>
    </row>
    <row r="352" spans="4:5" x14ac:dyDescent="0.25">
      <c r="D352" t="s">
        <v>181</v>
      </c>
      <c r="E352" s="24">
        <v>45080</v>
      </c>
    </row>
    <row r="353" spans="4:5" x14ac:dyDescent="0.25">
      <c r="D353" t="s">
        <v>182</v>
      </c>
      <c r="E353" s="24">
        <v>45080</v>
      </c>
    </row>
    <row r="354" spans="4:5" x14ac:dyDescent="0.25">
      <c r="D354" t="s">
        <v>183</v>
      </c>
      <c r="E354" s="24">
        <v>45080</v>
      </c>
    </row>
    <row r="355" spans="4:5" x14ac:dyDescent="0.25">
      <c r="D355" t="s">
        <v>184</v>
      </c>
      <c r="E355" s="24">
        <v>45080</v>
      </c>
    </row>
    <row r="356" spans="4:5" x14ac:dyDescent="0.25">
      <c r="D356" t="s">
        <v>185</v>
      </c>
      <c r="E356" s="24">
        <v>45080</v>
      </c>
    </row>
    <row r="357" spans="4:5" x14ac:dyDescent="0.25">
      <c r="D357" t="s">
        <v>186</v>
      </c>
      <c r="E357" s="24">
        <v>45080</v>
      </c>
    </row>
    <row r="358" spans="4:5" x14ac:dyDescent="0.25">
      <c r="D358" t="s">
        <v>187</v>
      </c>
      <c r="E358" s="24">
        <v>45080</v>
      </c>
    </row>
    <row r="359" spans="4:5" x14ac:dyDescent="0.25">
      <c r="D359" t="s">
        <v>188</v>
      </c>
      <c r="E359" s="24">
        <v>45080</v>
      </c>
    </row>
    <row r="360" spans="4:5" x14ac:dyDescent="0.25">
      <c r="D360" t="s">
        <v>189</v>
      </c>
      <c r="E360" s="24">
        <v>45080</v>
      </c>
    </row>
    <row r="361" spans="4:5" x14ac:dyDescent="0.25">
      <c r="D361" t="s">
        <v>190</v>
      </c>
      <c r="E361" s="24">
        <v>45080</v>
      </c>
    </row>
    <row r="362" spans="4:5" x14ac:dyDescent="0.25">
      <c r="D362" t="s">
        <v>191</v>
      </c>
      <c r="E362" s="24">
        <v>45080</v>
      </c>
    </row>
    <row r="363" spans="4:5" x14ac:dyDescent="0.25">
      <c r="D363" t="s">
        <v>192</v>
      </c>
      <c r="E363" s="24">
        <v>45080</v>
      </c>
    </row>
    <row r="364" spans="4:5" x14ac:dyDescent="0.25">
      <c r="D364" t="s">
        <v>193</v>
      </c>
      <c r="E364" s="24">
        <v>45080</v>
      </c>
    </row>
    <row r="365" spans="4:5" x14ac:dyDescent="0.25">
      <c r="D365" t="s">
        <v>194</v>
      </c>
      <c r="E365" s="24">
        <v>45080</v>
      </c>
    </row>
    <row r="366" spans="4:5" x14ac:dyDescent="0.25">
      <c r="D366" t="s">
        <v>195</v>
      </c>
      <c r="E366" s="24">
        <v>45080</v>
      </c>
    </row>
    <row r="367" spans="4:5" x14ac:dyDescent="0.25">
      <c r="D367" t="s">
        <v>196</v>
      </c>
      <c r="E367" s="24">
        <v>45080</v>
      </c>
    </row>
    <row r="368" spans="4:5" x14ac:dyDescent="0.25">
      <c r="D368" t="s">
        <v>197</v>
      </c>
      <c r="E368" s="24">
        <v>45080</v>
      </c>
    </row>
    <row r="369" spans="4:5" x14ac:dyDescent="0.25">
      <c r="D369" t="s">
        <v>198</v>
      </c>
      <c r="E369" s="24">
        <v>45080</v>
      </c>
    </row>
    <row r="370" spans="4:5" x14ac:dyDescent="0.25">
      <c r="D370" t="s">
        <v>199</v>
      </c>
      <c r="E370" s="24">
        <v>45080</v>
      </c>
    </row>
    <row r="371" spans="4:5" x14ac:dyDescent="0.25">
      <c r="D371" t="s">
        <v>200</v>
      </c>
      <c r="E371" s="24">
        <v>45080</v>
      </c>
    </row>
    <row r="372" spans="4:5" x14ac:dyDescent="0.25">
      <c r="D372" t="s">
        <v>201</v>
      </c>
      <c r="E372" s="24">
        <v>45080</v>
      </c>
    </row>
    <row r="373" spans="4:5" x14ac:dyDescent="0.25">
      <c r="D373" t="s">
        <v>202</v>
      </c>
      <c r="E373" s="24">
        <v>45080</v>
      </c>
    </row>
    <row r="374" spans="4:5" x14ac:dyDescent="0.25">
      <c r="D374" t="s">
        <v>203</v>
      </c>
      <c r="E374" s="24">
        <v>45080</v>
      </c>
    </row>
    <row r="375" spans="4:5" x14ac:dyDescent="0.25">
      <c r="D375" t="s">
        <v>144</v>
      </c>
      <c r="E375" s="24">
        <v>45080</v>
      </c>
    </row>
    <row r="376" spans="4:5" x14ac:dyDescent="0.25">
      <c r="D376" t="s">
        <v>145</v>
      </c>
      <c r="E376" s="24">
        <v>45080</v>
      </c>
    </row>
    <row r="377" spans="4:5" x14ac:dyDescent="0.25">
      <c r="D377" t="s">
        <v>146</v>
      </c>
      <c r="E377" s="24">
        <v>45080</v>
      </c>
    </row>
    <row r="378" spans="4:5" x14ac:dyDescent="0.25">
      <c r="D378" t="s">
        <v>20</v>
      </c>
      <c r="E378" s="24">
        <v>45080</v>
      </c>
    </row>
    <row r="379" spans="4:5" x14ac:dyDescent="0.25">
      <c r="D379" t="s">
        <v>47</v>
      </c>
      <c r="E379" s="24">
        <v>45080</v>
      </c>
    </row>
    <row r="380" spans="4:5" x14ac:dyDescent="0.25">
      <c r="D380" t="s">
        <v>48</v>
      </c>
      <c r="E380" s="24">
        <v>45080</v>
      </c>
    </row>
    <row r="381" spans="4:5" x14ac:dyDescent="0.25">
      <c r="D381" t="s">
        <v>49</v>
      </c>
      <c r="E381" s="24">
        <v>45080</v>
      </c>
    </row>
    <row r="382" spans="4:5" x14ac:dyDescent="0.25">
      <c r="D382" t="s">
        <v>50</v>
      </c>
      <c r="E382" s="24">
        <v>45080</v>
      </c>
    </row>
    <row r="383" spans="4:5" x14ac:dyDescent="0.25">
      <c r="D383" t="s">
        <v>51</v>
      </c>
      <c r="E383" s="24">
        <v>45080</v>
      </c>
    </row>
    <row r="384" spans="4:5" x14ac:dyDescent="0.25">
      <c r="D384" t="s">
        <v>52</v>
      </c>
      <c r="E384" s="24">
        <v>45080</v>
      </c>
    </row>
    <row r="385" spans="4:5" x14ac:dyDescent="0.25">
      <c r="D385" t="s">
        <v>53</v>
      </c>
      <c r="E385" s="24">
        <v>45080</v>
      </c>
    </row>
    <row r="386" spans="4:5" x14ac:dyDescent="0.25">
      <c r="D386" t="s">
        <v>54</v>
      </c>
      <c r="E386" s="24">
        <v>45080</v>
      </c>
    </row>
    <row r="387" spans="4:5" x14ac:dyDescent="0.25">
      <c r="D387" t="s">
        <v>55</v>
      </c>
      <c r="E387" s="24">
        <v>45080</v>
      </c>
    </row>
    <row r="388" spans="4:5" x14ac:dyDescent="0.25">
      <c r="D388" t="s">
        <v>56</v>
      </c>
      <c r="E388" s="24">
        <v>45080</v>
      </c>
    </row>
    <row r="389" spans="4:5" x14ac:dyDescent="0.25">
      <c r="D389" t="s">
        <v>57</v>
      </c>
      <c r="E389" s="24">
        <v>45080</v>
      </c>
    </row>
    <row r="390" spans="4:5" x14ac:dyDescent="0.25">
      <c r="D390" t="s">
        <v>58</v>
      </c>
      <c r="E390" s="24">
        <v>45080</v>
      </c>
    </row>
    <row r="391" spans="4:5" x14ac:dyDescent="0.25">
      <c r="D391" t="s">
        <v>59</v>
      </c>
      <c r="E391" s="24">
        <v>45080</v>
      </c>
    </row>
    <row r="392" spans="4:5" x14ac:dyDescent="0.25">
      <c r="D392" t="s">
        <v>60</v>
      </c>
      <c r="E392" s="24">
        <v>45080</v>
      </c>
    </row>
    <row r="393" spans="4:5" x14ac:dyDescent="0.25">
      <c r="D393" t="s">
        <v>61</v>
      </c>
      <c r="E393" s="24">
        <v>45080</v>
      </c>
    </row>
    <row r="394" spans="4:5" x14ac:dyDescent="0.25">
      <c r="D394" t="s">
        <v>62</v>
      </c>
      <c r="E394" s="24">
        <v>45080</v>
      </c>
    </row>
    <row r="395" spans="4:5" x14ac:dyDescent="0.25">
      <c r="D395" t="s">
        <v>63</v>
      </c>
      <c r="E395" s="24">
        <v>45080</v>
      </c>
    </row>
    <row r="396" spans="4:5" x14ac:dyDescent="0.25">
      <c r="D396" t="s">
        <v>64</v>
      </c>
      <c r="E396" s="24">
        <v>45080</v>
      </c>
    </row>
    <row r="397" spans="4:5" x14ac:dyDescent="0.25">
      <c r="D397" t="s">
        <v>65</v>
      </c>
      <c r="E397" s="24">
        <v>45080</v>
      </c>
    </row>
    <row r="398" spans="4:5" x14ac:dyDescent="0.25">
      <c r="D398" t="s">
        <v>66</v>
      </c>
      <c r="E398" s="24">
        <v>45080</v>
      </c>
    </row>
    <row r="399" spans="4:5" x14ac:dyDescent="0.25">
      <c r="D399" t="s">
        <v>67</v>
      </c>
      <c r="E399" s="24">
        <v>45080</v>
      </c>
    </row>
    <row r="400" spans="4:5" x14ac:dyDescent="0.25">
      <c r="D400" t="s">
        <v>68</v>
      </c>
      <c r="E400" s="24">
        <v>45080</v>
      </c>
    </row>
    <row r="401" spans="4:5" x14ac:dyDescent="0.25">
      <c r="D401" t="s">
        <v>69</v>
      </c>
      <c r="E401" s="24">
        <v>45080</v>
      </c>
    </row>
    <row r="402" spans="4:5" x14ac:dyDescent="0.25">
      <c r="D402" t="s">
        <v>70</v>
      </c>
      <c r="E402" s="24">
        <v>45080</v>
      </c>
    </row>
    <row r="403" spans="4:5" x14ac:dyDescent="0.25">
      <c r="D403" t="s">
        <v>71</v>
      </c>
      <c r="E403" s="24">
        <v>45080</v>
      </c>
    </row>
    <row r="404" spans="4:5" x14ac:dyDescent="0.25">
      <c r="D404" t="s">
        <v>72</v>
      </c>
      <c r="E404" s="24">
        <v>45080</v>
      </c>
    </row>
    <row r="405" spans="4:5" x14ac:dyDescent="0.25">
      <c r="D405" t="s">
        <v>73</v>
      </c>
      <c r="E405" s="24">
        <v>45080</v>
      </c>
    </row>
    <row r="406" spans="4:5" x14ac:dyDescent="0.25">
      <c r="D406" t="s">
        <v>74</v>
      </c>
      <c r="E406" s="24">
        <v>45080</v>
      </c>
    </row>
    <row r="407" spans="4:5" x14ac:dyDescent="0.25">
      <c r="D407" t="s">
        <v>75</v>
      </c>
      <c r="E407" s="24">
        <v>45080</v>
      </c>
    </row>
    <row r="408" spans="4:5" x14ac:dyDescent="0.25">
      <c r="D408" t="s">
        <v>76</v>
      </c>
      <c r="E408" s="24">
        <v>45080</v>
      </c>
    </row>
    <row r="409" spans="4:5" x14ac:dyDescent="0.25">
      <c r="D409" t="s">
        <v>77</v>
      </c>
      <c r="E409" s="24">
        <v>45080</v>
      </c>
    </row>
    <row r="410" spans="4:5" x14ac:dyDescent="0.25">
      <c r="D410" t="s">
        <v>78</v>
      </c>
      <c r="E410" s="24">
        <v>45080</v>
      </c>
    </row>
    <row r="411" spans="4:5" x14ac:dyDescent="0.25">
      <c r="D411" t="s">
        <v>79</v>
      </c>
      <c r="E411" s="24">
        <v>45080</v>
      </c>
    </row>
    <row r="412" spans="4:5" x14ac:dyDescent="0.25">
      <c r="D412" t="s">
        <v>80</v>
      </c>
      <c r="E412" s="24">
        <v>45080</v>
      </c>
    </row>
    <row r="413" spans="4:5" x14ac:dyDescent="0.25">
      <c r="D413" t="s">
        <v>81</v>
      </c>
      <c r="E413" s="24">
        <v>45080</v>
      </c>
    </row>
    <row r="414" spans="4:5" x14ac:dyDescent="0.25">
      <c r="D414" t="s">
        <v>82</v>
      </c>
      <c r="E414" s="24">
        <v>45080</v>
      </c>
    </row>
    <row r="415" spans="4:5" x14ac:dyDescent="0.25">
      <c r="D415" t="s">
        <v>83</v>
      </c>
      <c r="E415" s="24">
        <v>45080</v>
      </c>
    </row>
    <row r="416" spans="4:5" x14ac:dyDescent="0.25">
      <c r="D416" t="s">
        <v>84</v>
      </c>
      <c r="E416" s="24">
        <v>45080</v>
      </c>
    </row>
    <row r="417" spans="4:5" x14ac:dyDescent="0.25">
      <c r="D417" t="s">
        <v>85</v>
      </c>
      <c r="E417" s="24">
        <v>45080</v>
      </c>
    </row>
    <row r="418" spans="4:5" x14ac:dyDescent="0.25">
      <c r="D418" t="s">
        <v>86</v>
      </c>
      <c r="E418" s="24">
        <v>45080</v>
      </c>
    </row>
    <row r="419" spans="4:5" x14ac:dyDescent="0.25">
      <c r="D419" t="s">
        <v>87</v>
      </c>
      <c r="E419" s="24">
        <v>45080</v>
      </c>
    </row>
    <row r="420" spans="4:5" x14ac:dyDescent="0.25">
      <c r="D420" t="s">
        <v>88</v>
      </c>
      <c r="E420" s="24">
        <v>45080</v>
      </c>
    </row>
    <row r="421" spans="4:5" x14ac:dyDescent="0.25">
      <c r="D421" t="s">
        <v>89</v>
      </c>
      <c r="E421" s="24">
        <v>45080</v>
      </c>
    </row>
    <row r="422" spans="4:5" x14ac:dyDescent="0.25">
      <c r="D422" t="s">
        <v>90</v>
      </c>
      <c r="E422" s="24">
        <v>45080</v>
      </c>
    </row>
    <row r="423" spans="4:5" x14ac:dyDescent="0.25">
      <c r="D423" t="s">
        <v>91</v>
      </c>
      <c r="E423" s="24">
        <v>45080</v>
      </c>
    </row>
    <row r="424" spans="4:5" x14ac:dyDescent="0.25">
      <c r="D424" t="s">
        <v>92</v>
      </c>
      <c r="E424" s="24">
        <v>45080</v>
      </c>
    </row>
    <row r="425" spans="4:5" x14ac:dyDescent="0.25">
      <c r="D425" t="s">
        <v>93</v>
      </c>
      <c r="E425" s="24">
        <v>45080</v>
      </c>
    </row>
    <row r="426" spans="4:5" x14ac:dyDescent="0.25">
      <c r="D426" t="s">
        <v>94</v>
      </c>
      <c r="E426" s="24">
        <v>45080</v>
      </c>
    </row>
    <row r="427" spans="4:5" x14ac:dyDescent="0.25">
      <c r="D427" t="s">
        <v>95</v>
      </c>
      <c r="E427" s="24">
        <v>45080</v>
      </c>
    </row>
    <row r="428" spans="4:5" x14ac:dyDescent="0.25">
      <c r="D428" t="s">
        <v>96</v>
      </c>
      <c r="E428" s="24">
        <v>45080</v>
      </c>
    </row>
    <row r="429" spans="4:5" x14ac:dyDescent="0.25">
      <c r="D429" t="s">
        <v>97</v>
      </c>
      <c r="E429" s="24">
        <v>45080</v>
      </c>
    </row>
    <row r="430" spans="4:5" x14ac:dyDescent="0.25">
      <c r="D430" t="s">
        <v>98</v>
      </c>
      <c r="E430" s="24">
        <v>45080</v>
      </c>
    </row>
    <row r="431" spans="4:5" x14ac:dyDescent="0.25">
      <c r="D431" t="s">
        <v>99</v>
      </c>
      <c r="E431" s="24">
        <v>45080</v>
      </c>
    </row>
    <row r="432" spans="4:5" x14ac:dyDescent="0.25">
      <c r="D432" t="s">
        <v>100</v>
      </c>
      <c r="E432" s="24">
        <v>45080</v>
      </c>
    </row>
    <row r="433" spans="4:5" x14ac:dyDescent="0.25">
      <c r="D433" t="s">
        <v>101</v>
      </c>
      <c r="E433" s="24">
        <v>45080</v>
      </c>
    </row>
    <row r="434" spans="4:5" x14ac:dyDescent="0.25">
      <c r="D434" t="s">
        <v>102</v>
      </c>
      <c r="E434" s="24">
        <v>45080</v>
      </c>
    </row>
    <row r="435" spans="4:5" x14ac:dyDescent="0.25">
      <c r="D435" t="s">
        <v>103</v>
      </c>
      <c r="E435" s="24">
        <v>45080</v>
      </c>
    </row>
    <row r="436" spans="4:5" x14ac:dyDescent="0.25">
      <c r="D436" t="s">
        <v>104</v>
      </c>
      <c r="E436" s="24">
        <v>45080</v>
      </c>
    </row>
    <row r="437" spans="4:5" x14ac:dyDescent="0.25">
      <c r="D437" t="s">
        <v>105</v>
      </c>
      <c r="E437" s="24">
        <v>45080</v>
      </c>
    </row>
    <row r="438" spans="4:5" x14ac:dyDescent="0.25">
      <c r="D438" t="s">
        <v>106</v>
      </c>
      <c r="E438" s="24">
        <v>45080</v>
      </c>
    </row>
    <row r="439" spans="4:5" x14ac:dyDescent="0.25">
      <c r="D439" t="s">
        <v>107</v>
      </c>
      <c r="E439" s="24">
        <v>45080</v>
      </c>
    </row>
    <row r="440" spans="4:5" x14ac:dyDescent="0.25">
      <c r="D440" t="s">
        <v>108</v>
      </c>
      <c r="E440" s="24">
        <v>45080</v>
      </c>
    </row>
    <row r="441" spans="4:5" x14ac:dyDescent="0.25">
      <c r="D441" t="s">
        <v>109</v>
      </c>
      <c r="E441" s="24">
        <v>45080</v>
      </c>
    </row>
    <row r="442" spans="4:5" x14ac:dyDescent="0.25">
      <c r="D442" t="s">
        <v>110</v>
      </c>
      <c r="E442" s="24">
        <v>45080</v>
      </c>
    </row>
    <row r="443" spans="4:5" x14ac:dyDescent="0.25">
      <c r="D443" t="s">
        <v>111</v>
      </c>
      <c r="E443" s="24">
        <v>45080</v>
      </c>
    </row>
    <row r="444" spans="4:5" x14ac:dyDescent="0.25">
      <c r="D444" t="s">
        <v>112</v>
      </c>
      <c r="E444" s="24">
        <v>45080</v>
      </c>
    </row>
    <row r="445" spans="4:5" x14ac:dyDescent="0.25">
      <c r="D445" t="s">
        <v>113</v>
      </c>
      <c r="E445" s="24">
        <v>45080</v>
      </c>
    </row>
    <row r="446" spans="4:5" x14ac:dyDescent="0.25">
      <c r="D446" t="s">
        <v>114</v>
      </c>
      <c r="E446" s="24">
        <v>45080</v>
      </c>
    </row>
    <row r="447" spans="4:5" x14ac:dyDescent="0.25">
      <c r="D447" t="s">
        <v>115</v>
      </c>
      <c r="E447" s="24">
        <v>45080</v>
      </c>
    </row>
    <row r="448" spans="4:5" x14ac:dyDescent="0.25">
      <c r="D448" t="s">
        <v>116</v>
      </c>
      <c r="E448" s="24">
        <v>45080</v>
      </c>
    </row>
    <row r="449" spans="4:5" x14ac:dyDescent="0.25">
      <c r="D449" t="s">
        <v>117</v>
      </c>
      <c r="E449" s="24">
        <v>45080</v>
      </c>
    </row>
    <row r="450" spans="4:5" x14ac:dyDescent="0.25">
      <c r="D450" t="s">
        <v>118</v>
      </c>
      <c r="E450" s="24">
        <v>45080</v>
      </c>
    </row>
    <row r="451" spans="4:5" x14ac:dyDescent="0.25">
      <c r="D451" t="s">
        <v>119</v>
      </c>
      <c r="E451" s="24">
        <v>45080</v>
      </c>
    </row>
    <row r="452" spans="4:5" x14ac:dyDescent="0.25">
      <c r="D452" t="s">
        <v>120</v>
      </c>
      <c r="E452" s="24">
        <v>45080</v>
      </c>
    </row>
    <row r="453" spans="4:5" x14ac:dyDescent="0.25">
      <c r="D453" t="s">
        <v>121</v>
      </c>
      <c r="E453" s="24">
        <v>45080</v>
      </c>
    </row>
    <row r="454" spans="4:5" x14ac:dyDescent="0.25">
      <c r="D454" t="s">
        <v>122</v>
      </c>
      <c r="E454" s="24">
        <v>45080</v>
      </c>
    </row>
    <row r="455" spans="4:5" x14ac:dyDescent="0.25">
      <c r="D455" t="s">
        <v>123</v>
      </c>
      <c r="E455" s="24">
        <v>45080</v>
      </c>
    </row>
    <row r="456" spans="4:5" x14ac:dyDescent="0.25">
      <c r="D456" t="s">
        <v>124</v>
      </c>
      <c r="E456" s="24">
        <v>45080</v>
      </c>
    </row>
    <row r="457" spans="4:5" x14ac:dyDescent="0.25">
      <c r="D457" t="s">
        <v>125</v>
      </c>
      <c r="E457" s="24">
        <v>45080</v>
      </c>
    </row>
    <row r="458" spans="4:5" x14ac:dyDescent="0.25">
      <c r="D458" t="s">
        <v>126</v>
      </c>
      <c r="E458" s="24">
        <v>45080</v>
      </c>
    </row>
    <row r="459" spans="4:5" x14ac:dyDescent="0.25">
      <c r="D459" t="s">
        <v>127</v>
      </c>
      <c r="E459" s="24">
        <v>45080</v>
      </c>
    </row>
    <row r="460" spans="4:5" x14ac:dyDescent="0.25">
      <c r="D460" t="s">
        <v>128</v>
      </c>
      <c r="E460" s="24">
        <v>45080</v>
      </c>
    </row>
    <row r="461" spans="4:5" x14ac:dyDescent="0.25">
      <c r="D461" t="s">
        <v>129</v>
      </c>
      <c r="E461" s="24">
        <v>45080</v>
      </c>
    </row>
    <row r="462" spans="4:5" x14ac:dyDescent="0.25">
      <c r="D462" t="s">
        <v>130</v>
      </c>
      <c r="E462" s="24">
        <v>45080</v>
      </c>
    </row>
    <row r="463" spans="4:5" x14ac:dyDescent="0.25">
      <c r="D463" t="s">
        <v>131</v>
      </c>
      <c r="E463" s="24">
        <v>45080</v>
      </c>
    </row>
    <row r="464" spans="4:5" x14ac:dyDescent="0.25">
      <c r="D464" t="s">
        <v>132</v>
      </c>
      <c r="E464" s="24">
        <v>45080</v>
      </c>
    </row>
    <row r="465" spans="4:6" x14ac:dyDescent="0.25">
      <c r="D465" t="s">
        <v>133</v>
      </c>
      <c r="E465" s="24">
        <v>45080</v>
      </c>
    </row>
    <row r="466" spans="4:6" x14ac:dyDescent="0.25">
      <c r="D466" t="s">
        <v>134</v>
      </c>
      <c r="E466" s="24">
        <v>45080</v>
      </c>
    </row>
    <row r="467" spans="4:6" x14ac:dyDescent="0.25">
      <c r="D467" t="s">
        <v>135</v>
      </c>
      <c r="E467" s="24">
        <v>45080</v>
      </c>
    </row>
    <row r="468" spans="4:6" x14ac:dyDescent="0.25">
      <c r="D468" t="s">
        <v>136</v>
      </c>
      <c r="E468" s="24">
        <v>45080</v>
      </c>
    </row>
    <row r="469" spans="4:6" x14ac:dyDescent="0.25">
      <c r="D469" t="s">
        <v>137</v>
      </c>
      <c r="E469" s="24">
        <v>45080</v>
      </c>
    </row>
    <row r="470" spans="4:6" x14ac:dyDescent="0.25">
      <c r="D470" t="s">
        <v>138</v>
      </c>
      <c r="E470" s="24">
        <v>45080</v>
      </c>
    </row>
    <row r="471" spans="4:6" x14ac:dyDescent="0.25">
      <c r="D471" t="s">
        <v>139</v>
      </c>
      <c r="E471" s="24">
        <v>45080</v>
      </c>
    </row>
    <row r="472" spans="4:6" x14ac:dyDescent="0.25">
      <c r="D472" t="s">
        <v>140</v>
      </c>
      <c r="E472" s="24">
        <v>45080</v>
      </c>
    </row>
    <row r="473" spans="4:6" x14ac:dyDescent="0.25">
      <c r="D473" t="s">
        <v>141</v>
      </c>
      <c r="E473" s="24">
        <v>45080</v>
      </c>
    </row>
    <row r="474" spans="4:6" x14ac:dyDescent="0.25">
      <c r="D474" t="s">
        <v>142</v>
      </c>
      <c r="E474" s="24">
        <v>45080</v>
      </c>
    </row>
    <row r="475" spans="4:6" x14ac:dyDescent="0.25">
      <c r="D475" t="s">
        <v>143</v>
      </c>
      <c r="E475" s="24">
        <v>45080</v>
      </c>
    </row>
    <row r="476" spans="4:6" x14ac:dyDescent="0.25">
      <c r="D476" t="s">
        <v>147</v>
      </c>
      <c r="E476" s="24">
        <v>45081</v>
      </c>
      <c r="F476">
        <v>1</v>
      </c>
    </row>
    <row r="477" spans="4:6" x14ac:dyDescent="0.25">
      <c r="D477" t="s">
        <v>148</v>
      </c>
      <c r="E477" s="24">
        <v>45081</v>
      </c>
      <c r="F477">
        <v>1</v>
      </c>
    </row>
    <row r="478" spans="4:6" x14ac:dyDescent="0.25">
      <c r="D478" t="s">
        <v>149</v>
      </c>
      <c r="E478" s="24">
        <v>45081</v>
      </c>
      <c r="F478">
        <v>1</v>
      </c>
    </row>
    <row r="479" spans="4:6" x14ac:dyDescent="0.25">
      <c r="D479" t="s">
        <v>150</v>
      </c>
      <c r="E479" s="24">
        <v>45081</v>
      </c>
      <c r="F479">
        <v>1</v>
      </c>
    </row>
    <row r="480" spans="4:6" x14ac:dyDescent="0.25">
      <c r="D480" t="s">
        <v>151</v>
      </c>
      <c r="E480" s="24">
        <v>45081</v>
      </c>
      <c r="F480">
        <v>1</v>
      </c>
    </row>
    <row r="481" spans="4:6" x14ac:dyDescent="0.25">
      <c r="D481" t="s">
        <v>152</v>
      </c>
      <c r="E481" s="24">
        <v>45081</v>
      </c>
      <c r="F481">
        <v>1</v>
      </c>
    </row>
    <row r="482" spans="4:6" x14ac:dyDescent="0.25">
      <c r="D482" t="s">
        <v>153</v>
      </c>
      <c r="E482" s="24">
        <v>45081</v>
      </c>
      <c r="F482">
        <v>1</v>
      </c>
    </row>
    <row r="483" spans="4:6" x14ac:dyDescent="0.25">
      <c r="D483" t="s">
        <v>154</v>
      </c>
      <c r="E483" s="24">
        <v>45081</v>
      </c>
      <c r="F483">
        <v>1</v>
      </c>
    </row>
    <row r="484" spans="4:6" x14ac:dyDescent="0.25">
      <c r="D484" t="s">
        <v>155</v>
      </c>
      <c r="E484" s="24">
        <v>45081</v>
      </c>
      <c r="F484">
        <v>1</v>
      </c>
    </row>
    <row r="485" spans="4:6" x14ac:dyDescent="0.25">
      <c r="D485" t="s">
        <v>156</v>
      </c>
      <c r="E485" s="24">
        <v>45081</v>
      </c>
      <c r="F485">
        <v>1</v>
      </c>
    </row>
    <row r="486" spans="4:6" x14ac:dyDescent="0.25">
      <c r="D486" t="s">
        <v>157</v>
      </c>
      <c r="E486" s="24">
        <v>45081</v>
      </c>
      <c r="F486">
        <v>1</v>
      </c>
    </row>
    <row r="487" spans="4:6" x14ac:dyDescent="0.25">
      <c r="D487" t="s">
        <v>158</v>
      </c>
      <c r="E487" s="24">
        <v>45081</v>
      </c>
      <c r="F487">
        <v>1</v>
      </c>
    </row>
    <row r="488" spans="4:6" x14ac:dyDescent="0.25">
      <c r="D488" t="s">
        <v>159</v>
      </c>
      <c r="E488" s="24">
        <v>45081</v>
      </c>
      <c r="F488">
        <v>1</v>
      </c>
    </row>
    <row r="489" spans="4:6" x14ac:dyDescent="0.25">
      <c r="D489" t="s">
        <v>160</v>
      </c>
      <c r="E489" s="24">
        <v>45081</v>
      </c>
      <c r="F489">
        <v>1</v>
      </c>
    </row>
    <row r="490" spans="4:6" x14ac:dyDescent="0.25">
      <c r="D490" t="s">
        <v>161</v>
      </c>
      <c r="E490" s="24">
        <v>45081</v>
      </c>
      <c r="F490">
        <v>1</v>
      </c>
    </row>
    <row r="491" spans="4:6" x14ac:dyDescent="0.25">
      <c r="D491" t="s">
        <v>162</v>
      </c>
      <c r="E491" s="24">
        <v>45081</v>
      </c>
      <c r="F491">
        <v>1</v>
      </c>
    </row>
    <row r="492" spans="4:6" x14ac:dyDescent="0.25">
      <c r="D492" t="s">
        <v>163</v>
      </c>
      <c r="E492" s="24">
        <v>45081</v>
      </c>
      <c r="F492">
        <v>1</v>
      </c>
    </row>
    <row r="493" spans="4:6" x14ac:dyDescent="0.25">
      <c r="D493" t="s">
        <v>164</v>
      </c>
      <c r="E493" s="24">
        <v>45081</v>
      </c>
      <c r="F493">
        <v>0</v>
      </c>
    </row>
    <row r="494" spans="4:6" x14ac:dyDescent="0.25">
      <c r="D494" t="s">
        <v>165</v>
      </c>
      <c r="E494" s="24">
        <v>45081</v>
      </c>
      <c r="F494">
        <v>0</v>
      </c>
    </row>
    <row r="495" spans="4:6" x14ac:dyDescent="0.25">
      <c r="D495" t="s">
        <v>166</v>
      </c>
      <c r="E495" s="24">
        <v>45081</v>
      </c>
      <c r="F495">
        <v>0</v>
      </c>
    </row>
    <row r="496" spans="4:6" x14ac:dyDescent="0.25">
      <c r="D496" t="s">
        <v>167</v>
      </c>
      <c r="E496" s="24">
        <v>45081</v>
      </c>
      <c r="F496">
        <v>0</v>
      </c>
    </row>
    <row r="497" spans="4:6" x14ac:dyDescent="0.25">
      <c r="D497" t="s">
        <v>168</v>
      </c>
      <c r="E497" s="24">
        <v>45081</v>
      </c>
      <c r="F497">
        <v>0</v>
      </c>
    </row>
    <row r="498" spans="4:6" x14ac:dyDescent="0.25">
      <c r="D498" t="s">
        <v>169</v>
      </c>
      <c r="E498" s="24">
        <v>45081</v>
      </c>
      <c r="F498">
        <v>0</v>
      </c>
    </row>
    <row r="499" spans="4:6" x14ac:dyDescent="0.25">
      <c r="D499" t="s">
        <v>170</v>
      </c>
      <c r="E499" s="24">
        <v>45081</v>
      </c>
      <c r="F499">
        <v>0</v>
      </c>
    </row>
    <row r="500" spans="4:6" x14ac:dyDescent="0.25">
      <c r="D500" t="s">
        <v>171</v>
      </c>
      <c r="E500" s="24">
        <v>45081</v>
      </c>
      <c r="F500">
        <v>0</v>
      </c>
    </row>
    <row r="501" spans="4:6" x14ac:dyDescent="0.25">
      <c r="D501" t="s">
        <v>172</v>
      </c>
      <c r="E501" s="24">
        <v>45081</v>
      </c>
      <c r="F501">
        <v>0</v>
      </c>
    </row>
    <row r="502" spans="4:6" x14ac:dyDescent="0.25">
      <c r="D502" t="s">
        <v>173</v>
      </c>
      <c r="E502" s="24">
        <v>45081</v>
      </c>
      <c r="F502">
        <v>0</v>
      </c>
    </row>
    <row r="503" spans="4:6" x14ac:dyDescent="0.25">
      <c r="D503" t="s">
        <v>174</v>
      </c>
      <c r="E503" s="24">
        <v>45081</v>
      </c>
      <c r="F503">
        <v>0</v>
      </c>
    </row>
    <row r="504" spans="4:6" x14ac:dyDescent="0.25">
      <c r="D504" t="s">
        <v>175</v>
      </c>
      <c r="E504" s="24">
        <v>45081</v>
      </c>
      <c r="F504">
        <v>0</v>
      </c>
    </row>
    <row r="505" spans="4:6" x14ac:dyDescent="0.25">
      <c r="D505" t="s">
        <v>176</v>
      </c>
      <c r="E505" s="24">
        <v>45081</v>
      </c>
      <c r="F505">
        <v>0</v>
      </c>
    </row>
    <row r="506" spans="4:6" x14ac:dyDescent="0.25">
      <c r="D506" t="s">
        <v>177</v>
      </c>
      <c r="E506" s="24">
        <v>45081</v>
      </c>
      <c r="F506">
        <v>0</v>
      </c>
    </row>
    <row r="507" spans="4:6" x14ac:dyDescent="0.25">
      <c r="D507" t="s">
        <v>178</v>
      </c>
      <c r="E507" s="24">
        <v>45081</v>
      </c>
      <c r="F507">
        <v>0</v>
      </c>
    </row>
    <row r="508" spans="4:6" x14ac:dyDescent="0.25">
      <c r="D508" t="s">
        <v>179</v>
      </c>
      <c r="E508" s="24">
        <v>45081</v>
      </c>
      <c r="F508">
        <v>0</v>
      </c>
    </row>
    <row r="509" spans="4:6" x14ac:dyDescent="0.25">
      <c r="D509" t="s">
        <v>180</v>
      </c>
      <c r="E509" s="24">
        <v>45081</v>
      </c>
      <c r="F509">
        <v>0</v>
      </c>
    </row>
    <row r="510" spans="4:6" x14ac:dyDescent="0.25">
      <c r="D510" t="s">
        <v>181</v>
      </c>
      <c r="E510" s="24">
        <v>45081</v>
      </c>
      <c r="F510">
        <v>0</v>
      </c>
    </row>
    <row r="511" spans="4:6" x14ac:dyDescent="0.25">
      <c r="D511" t="s">
        <v>182</v>
      </c>
      <c r="E511" s="24">
        <v>45081</v>
      </c>
      <c r="F511">
        <v>0</v>
      </c>
    </row>
    <row r="512" spans="4:6" x14ac:dyDescent="0.25">
      <c r="D512" t="s">
        <v>183</v>
      </c>
      <c r="E512" s="24">
        <v>45081</v>
      </c>
      <c r="F512">
        <v>0</v>
      </c>
    </row>
    <row r="513" spans="4:6" x14ac:dyDescent="0.25">
      <c r="D513" t="s">
        <v>184</v>
      </c>
      <c r="E513" s="24">
        <v>45081</v>
      </c>
      <c r="F513">
        <v>0</v>
      </c>
    </row>
    <row r="514" spans="4:6" x14ac:dyDescent="0.25">
      <c r="D514" t="s">
        <v>185</v>
      </c>
      <c r="E514" s="24">
        <v>45081</v>
      </c>
      <c r="F514">
        <v>0</v>
      </c>
    </row>
    <row r="515" spans="4:6" x14ac:dyDescent="0.25">
      <c r="D515" t="s">
        <v>186</v>
      </c>
      <c r="E515" s="24">
        <v>45081</v>
      </c>
      <c r="F515">
        <v>0</v>
      </c>
    </row>
    <row r="516" spans="4:6" x14ac:dyDescent="0.25">
      <c r="D516" t="s">
        <v>187</v>
      </c>
      <c r="E516" s="24">
        <v>45081</v>
      </c>
      <c r="F516">
        <v>0</v>
      </c>
    </row>
    <row r="517" spans="4:6" x14ac:dyDescent="0.25">
      <c r="D517" t="s">
        <v>188</v>
      </c>
      <c r="E517" s="24">
        <v>45081</v>
      </c>
      <c r="F517">
        <v>0</v>
      </c>
    </row>
    <row r="518" spans="4:6" x14ac:dyDescent="0.25">
      <c r="D518" t="s">
        <v>189</v>
      </c>
      <c r="E518" s="24">
        <v>45081</v>
      </c>
      <c r="F518">
        <v>0</v>
      </c>
    </row>
    <row r="519" spans="4:6" x14ac:dyDescent="0.25">
      <c r="D519" t="s">
        <v>190</v>
      </c>
      <c r="E519" s="24">
        <v>45081</v>
      </c>
      <c r="F519">
        <v>0</v>
      </c>
    </row>
    <row r="520" spans="4:6" x14ac:dyDescent="0.25">
      <c r="D520" t="s">
        <v>191</v>
      </c>
      <c r="E520" s="24">
        <v>45081</v>
      </c>
      <c r="F520">
        <v>0</v>
      </c>
    </row>
    <row r="521" spans="4:6" x14ac:dyDescent="0.25">
      <c r="D521" t="s">
        <v>192</v>
      </c>
      <c r="E521" s="24">
        <v>45081</v>
      </c>
      <c r="F521">
        <v>0</v>
      </c>
    </row>
    <row r="522" spans="4:6" x14ac:dyDescent="0.25">
      <c r="D522" t="s">
        <v>193</v>
      </c>
      <c r="E522" s="24">
        <v>45081</v>
      </c>
      <c r="F522">
        <v>0</v>
      </c>
    </row>
    <row r="523" spans="4:6" x14ac:dyDescent="0.25">
      <c r="D523" t="s">
        <v>194</v>
      </c>
      <c r="E523" s="24">
        <v>45081</v>
      </c>
      <c r="F523">
        <v>0</v>
      </c>
    </row>
    <row r="524" spans="4:6" x14ac:dyDescent="0.25">
      <c r="D524" t="s">
        <v>195</v>
      </c>
      <c r="E524" s="24">
        <v>45081</v>
      </c>
      <c r="F524">
        <v>0</v>
      </c>
    </row>
    <row r="525" spans="4:6" x14ac:dyDescent="0.25">
      <c r="D525" t="s">
        <v>196</v>
      </c>
      <c r="E525" s="24">
        <v>45081</v>
      </c>
      <c r="F525">
        <v>0</v>
      </c>
    </row>
    <row r="526" spans="4:6" x14ac:dyDescent="0.25">
      <c r="D526" t="s">
        <v>197</v>
      </c>
      <c r="E526" s="24">
        <v>45081</v>
      </c>
      <c r="F526">
        <v>0</v>
      </c>
    </row>
    <row r="527" spans="4:6" x14ac:dyDescent="0.25">
      <c r="D527" t="s">
        <v>198</v>
      </c>
      <c r="E527" s="24">
        <v>45081</v>
      </c>
      <c r="F527">
        <v>0</v>
      </c>
    </row>
    <row r="528" spans="4:6" x14ac:dyDescent="0.25">
      <c r="D528" t="s">
        <v>199</v>
      </c>
      <c r="E528" s="24">
        <v>45081</v>
      </c>
      <c r="F528">
        <v>0</v>
      </c>
    </row>
    <row r="529" spans="4:7" x14ac:dyDescent="0.25">
      <c r="D529" t="s">
        <v>200</v>
      </c>
      <c r="E529" s="24">
        <v>45081</v>
      </c>
      <c r="F529">
        <v>0</v>
      </c>
    </row>
    <row r="530" spans="4:7" x14ac:dyDescent="0.25">
      <c r="D530" t="s">
        <v>201</v>
      </c>
      <c r="E530" s="24">
        <v>45081</v>
      </c>
      <c r="F530">
        <v>0</v>
      </c>
    </row>
    <row r="531" spans="4:7" x14ac:dyDescent="0.25">
      <c r="D531" t="s">
        <v>202</v>
      </c>
      <c r="E531" s="24">
        <v>45081</v>
      </c>
      <c r="F531">
        <v>0</v>
      </c>
    </row>
    <row r="532" spans="4:7" x14ac:dyDescent="0.25">
      <c r="D532" t="s">
        <v>203</v>
      </c>
      <c r="E532" s="24">
        <v>45081</v>
      </c>
      <c r="F532">
        <v>0</v>
      </c>
    </row>
    <row r="533" spans="4:7" x14ac:dyDescent="0.25">
      <c r="D533" t="s">
        <v>144</v>
      </c>
      <c r="E533" s="24">
        <v>45081</v>
      </c>
      <c r="F533">
        <v>1</v>
      </c>
    </row>
    <row r="534" spans="4:7" x14ac:dyDescent="0.25">
      <c r="D534" t="s">
        <v>145</v>
      </c>
      <c r="E534" s="24">
        <v>45081</v>
      </c>
      <c r="F534">
        <v>1</v>
      </c>
    </row>
    <row r="535" spans="4:7" x14ac:dyDescent="0.25">
      <c r="D535" t="s">
        <v>146</v>
      </c>
      <c r="E535" s="24">
        <v>45081</v>
      </c>
      <c r="F535">
        <v>1</v>
      </c>
    </row>
    <row r="536" spans="4:7" x14ac:dyDescent="0.25">
      <c r="D536" t="s">
        <v>20</v>
      </c>
      <c r="E536" s="24">
        <v>45081</v>
      </c>
      <c r="F536">
        <v>1</v>
      </c>
    </row>
    <row r="537" spans="4:7" x14ac:dyDescent="0.25">
      <c r="D537" t="s">
        <v>47</v>
      </c>
      <c r="E537" s="24">
        <v>45081</v>
      </c>
      <c r="F537">
        <v>0</v>
      </c>
    </row>
    <row r="538" spans="4:7" x14ac:dyDescent="0.25">
      <c r="D538" t="s">
        <v>48</v>
      </c>
      <c r="E538" s="24">
        <v>45081</v>
      </c>
      <c r="F538">
        <v>1</v>
      </c>
    </row>
    <row r="539" spans="4:7" x14ac:dyDescent="0.25">
      <c r="D539" t="s">
        <v>49</v>
      </c>
      <c r="E539" s="24">
        <v>45081</v>
      </c>
      <c r="F539">
        <v>0</v>
      </c>
    </row>
    <row r="540" spans="4:7" x14ac:dyDescent="0.25">
      <c r="D540" t="s">
        <v>50</v>
      </c>
      <c r="E540" s="24">
        <v>45081</v>
      </c>
      <c r="F540">
        <v>1</v>
      </c>
    </row>
    <row r="541" spans="4:7" x14ac:dyDescent="0.25">
      <c r="D541" t="s">
        <v>51</v>
      </c>
      <c r="E541" s="24">
        <v>45081</v>
      </c>
      <c r="F541">
        <v>1</v>
      </c>
      <c r="G541">
        <v>0</v>
      </c>
    </row>
    <row r="542" spans="4:7" x14ac:dyDescent="0.25">
      <c r="D542" t="s">
        <v>52</v>
      </c>
      <c r="E542" s="24">
        <v>45081</v>
      </c>
      <c r="F542">
        <v>0</v>
      </c>
    </row>
    <row r="543" spans="4:7" x14ac:dyDescent="0.25">
      <c r="D543" t="s">
        <v>53</v>
      </c>
      <c r="E543" s="24">
        <v>45081</v>
      </c>
      <c r="F543">
        <v>0</v>
      </c>
    </row>
    <row r="544" spans="4:7" x14ac:dyDescent="0.25">
      <c r="D544" t="s">
        <v>54</v>
      </c>
      <c r="E544" s="24">
        <v>45081</v>
      </c>
      <c r="F544">
        <v>0</v>
      </c>
    </row>
    <row r="545" spans="4:6" x14ac:dyDescent="0.25">
      <c r="D545" t="s">
        <v>55</v>
      </c>
      <c r="E545" s="24">
        <v>45081</v>
      </c>
      <c r="F545">
        <v>0</v>
      </c>
    </row>
    <row r="546" spans="4:6" x14ac:dyDescent="0.25">
      <c r="D546" t="s">
        <v>56</v>
      </c>
      <c r="E546" s="24">
        <v>45081</v>
      </c>
      <c r="F546">
        <v>1</v>
      </c>
    </row>
    <row r="547" spans="4:6" x14ac:dyDescent="0.25">
      <c r="D547" t="s">
        <v>57</v>
      </c>
      <c r="E547" s="24">
        <v>45081</v>
      </c>
    </row>
    <row r="548" spans="4:6" x14ac:dyDescent="0.25">
      <c r="D548" t="s">
        <v>58</v>
      </c>
      <c r="E548" s="24">
        <v>45081</v>
      </c>
    </row>
    <row r="549" spans="4:6" x14ac:dyDescent="0.25">
      <c r="D549" t="s">
        <v>59</v>
      </c>
      <c r="E549" s="24">
        <v>45081</v>
      </c>
    </row>
    <row r="550" spans="4:6" x14ac:dyDescent="0.25">
      <c r="D550" t="s">
        <v>60</v>
      </c>
      <c r="E550" s="24">
        <v>45081</v>
      </c>
    </row>
    <row r="551" spans="4:6" x14ac:dyDescent="0.25">
      <c r="D551" t="s">
        <v>61</v>
      </c>
      <c r="E551" s="24">
        <v>45081</v>
      </c>
    </row>
    <row r="552" spans="4:6" x14ac:dyDescent="0.25">
      <c r="D552" t="s">
        <v>62</v>
      </c>
      <c r="E552" s="24">
        <v>45081</v>
      </c>
    </row>
    <row r="553" spans="4:6" x14ac:dyDescent="0.25">
      <c r="D553" t="s">
        <v>63</v>
      </c>
      <c r="E553" s="24">
        <v>45081</v>
      </c>
    </row>
    <row r="554" spans="4:6" x14ac:dyDescent="0.25">
      <c r="D554" t="s">
        <v>64</v>
      </c>
      <c r="E554" s="24">
        <v>45081</v>
      </c>
    </row>
    <row r="555" spans="4:6" x14ac:dyDescent="0.25">
      <c r="D555" t="s">
        <v>65</v>
      </c>
      <c r="E555" s="24">
        <v>45081</v>
      </c>
    </row>
    <row r="556" spans="4:6" x14ac:dyDescent="0.25">
      <c r="D556" t="s">
        <v>66</v>
      </c>
      <c r="E556" s="24">
        <v>45081</v>
      </c>
    </row>
    <row r="557" spans="4:6" x14ac:dyDescent="0.25">
      <c r="D557" t="s">
        <v>67</v>
      </c>
      <c r="E557" s="24">
        <v>45081</v>
      </c>
    </row>
    <row r="558" spans="4:6" x14ac:dyDescent="0.25">
      <c r="D558" t="s">
        <v>68</v>
      </c>
      <c r="E558" s="24">
        <v>45081</v>
      </c>
    </row>
    <row r="559" spans="4:6" x14ac:dyDescent="0.25">
      <c r="D559" t="s">
        <v>69</v>
      </c>
      <c r="E559" s="24">
        <v>45081</v>
      </c>
    </row>
    <row r="560" spans="4:6" x14ac:dyDescent="0.25">
      <c r="D560" t="s">
        <v>70</v>
      </c>
      <c r="E560" s="24">
        <v>45081</v>
      </c>
    </row>
    <row r="561" spans="4:5" x14ac:dyDescent="0.25">
      <c r="D561" t="s">
        <v>71</v>
      </c>
      <c r="E561" s="24">
        <v>45081</v>
      </c>
    </row>
    <row r="562" spans="4:5" x14ac:dyDescent="0.25">
      <c r="D562" t="s">
        <v>72</v>
      </c>
      <c r="E562" s="24">
        <v>45081</v>
      </c>
    </row>
    <row r="563" spans="4:5" x14ac:dyDescent="0.25">
      <c r="D563" t="s">
        <v>73</v>
      </c>
      <c r="E563" s="24">
        <v>45081</v>
      </c>
    </row>
    <row r="564" spans="4:5" x14ac:dyDescent="0.25">
      <c r="D564" t="s">
        <v>74</v>
      </c>
      <c r="E564" s="24">
        <v>45081</v>
      </c>
    </row>
    <row r="565" spans="4:5" x14ac:dyDescent="0.25">
      <c r="D565" t="s">
        <v>75</v>
      </c>
      <c r="E565" s="24">
        <v>45081</v>
      </c>
    </row>
    <row r="566" spans="4:5" x14ac:dyDescent="0.25">
      <c r="D566" t="s">
        <v>76</v>
      </c>
      <c r="E566" s="24">
        <v>45081</v>
      </c>
    </row>
    <row r="567" spans="4:5" x14ac:dyDescent="0.25">
      <c r="D567" t="s">
        <v>77</v>
      </c>
      <c r="E567" s="24">
        <v>45081</v>
      </c>
    </row>
    <row r="568" spans="4:5" x14ac:dyDescent="0.25">
      <c r="D568" t="s">
        <v>78</v>
      </c>
      <c r="E568" s="24">
        <v>45081</v>
      </c>
    </row>
    <row r="569" spans="4:5" x14ac:dyDescent="0.25">
      <c r="D569" t="s">
        <v>79</v>
      </c>
      <c r="E569" s="24">
        <v>45081</v>
      </c>
    </row>
    <row r="570" spans="4:5" x14ac:dyDescent="0.25">
      <c r="D570" t="s">
        <v>80</v>
      </c>
      <c r="E570" s="24">
        <v>45081</v>
      </c>
    </row>
    <row r="571" spans="4:5" x14ac:dyDescent="0.25">
      <c r="D571" t="s">
        <v>81</v>
      </c>
      <c r="E571" s="24">
        <v>45081</v>
      </c>
    </row>
    <row r="572" spans="4:5" x14ac:dyDescent="0.25">
      <c r="D572" t="s">
        <v>82</v>
      </c>
      <c r="E572" s="24">
        <v>45081</v>
      </c>
    </row>
    <row r="573" spans="4:5" x14ac:dyDescent="0.25">
      <c r="D573" t="s">
        <v>83</v>
      </c>
      <c r="E573" s="24">
        <v>45081</v>
      </c>
    </row>
    <row r="574" spans="4:5" x14ac:dyDescent="0.25">
      <c r="D574" t="s">
        <v>84</v>
      </c>
      <c r="E574" s="24">
        <v>45081</v>
      </c>
    </row>
    <row r="575" spans="4:5" x14ac:dyDescent="0.25">
      <c r="D575" t="s">
        <v>85</v>
      </c>
      <c r="E575" s="24">
        <v>45081</v>
      </c>
    </row>
    <row r="576" spans="4:5" x14ac:dyDescent="0.25">
      <c r="D576" t="s">
        <v>86</v>
      </c>
      <c r="E576" s="24">
        <v>45081</v>
      </c>
    </row>
    <row r="577" spans="4:5" x14ac:dyDescent="0.25">
      <c r="D577" t="s">
        <v>87</v>
      </c>
      <c r="E577" s="24">
        <v>45081</v>
      </c>
    </row>
    <row r="578" spans="4:5" x14ac:dyDescent="0.25">
      <c r="D578" t="s">
        <v>88</v>
      </c>
      <c r="E578" s="24">
        <v>45081</v>
      </c>
    </row>
    <row r="579" spans="4:5" x14ac:dyDescent="0.25">
      <c r="D579" t="s">
        <v>89</v>
      </c>
      <c r="E579" s="24">
        <v>45081</v>
      </c>
    </row>
    <row r="580" spans="4:5" x14ac:dyDescent="0.25">
      <c r="D580" t="s">
        <v>90</v>
      </c>
      <c r="E580" s="24">
        <v>45081</v>
      </c>
    </row>
    <row r="581" spans="4:5" x14ac:dyDescent="0.25">
      <c r="D581" t="s">
        <v>91</v>
      </c>
      <c r="E581" s="24">
        <v>45081</v>
      </c>
    </row>
    <row r="582" spans="4:5" x14ac:dyDescent="0.25">
      <c r="D582" t="s">
        <v>92</v>
      </c>
      <c r="E582" s="24">
        <v>45081</v>
      </c>
    </row>
    <row r="583" spans="4:5" x14ac:dyDescent="0.25">
      <c r="D583" t="s">
        <v>93</v>
      </c>
      <c r="E583" s="24">
        <v>45081</v>
      </c>
    </row>
    <row r="584" spans="4:5" x14ac:dyDescent="0.25">
      <c r="D584" t="s">
        <v>94</v>
      </c>
      <c r="E584" s="24">
        <v>45081</v>
      </c>
    </row>
    <row r="585" spans="4:5" x14ac:dyDescent="0.25">
      <c r="D585" t="s">
        <v>95</v>
      </c>
      <c r="E585" s="24">
        <v>45081</v>
      </c>
    </row>
    <row r="586" spans="4:5" x14ac:dyDescent="0.25">
      <c r="D586" t="s">
        <v>96</v>
      </c>
      <c r="E586" s="24">
        <v>45081</v>
      </c>
    </row>
    <row r="587" spans="4:5" x14ac:dyDescent="0.25">
      <c r="D587" t="s">
        <v>97</v>
      </c>
      <c r="E587" s="24">
        <v>45081</v>
      </c>
    </row>
    <row r="588" spans="4:5" x14ac:dyDescent="0.25">
      <c r="D588" t="s">
        <v>98</v>
      </c>
      <c r="E588" s="24">
        <v>45081</v>
      </c>
    </row>
    <row r="589" spans="4:5" x14ac:dyDescent="0.25">
      <c r="D589" t="s">
        <v>99</v>
      </c>
      <c r="E589" s="24">
        <v>45081</v>
      </c>
    </row>
    <row r="590" spans="4:5" x14ac:dyDescent="0.25">
      <c r="D590" t="s">
        <v>100</v>
      </c>
      <c r="E590" s="24">
        <v>45081</v>
      </c>
    </row>
    <row r="591" spans="4:5" x14ac:dyDescent="0.25">
      <c r="D591" t="s">
        <v>101</v>
      </c>
      <c r="E591" s="24">
        <v>45081</v>
      </c>
    </row>
    <row r="592" spans="4:5" x14ac:dyDescent="0.25">
      <c r="D592" t="s">
        <v>102</v>
      </c>
      <c r="E592" s="24">
        <v>45081</v>
      </c>
    </row>
    <row r="593" spans="4:5" x14ac:dyDescent="0.25">
      <c r="D593" t="s">
        <v>103</v>
      </c>
      <c r="E593" s="24">
        <v>45081</v>
      </c>
    </row>
    <row r="594" spans="4:5" x14ac:dyDescent="0.25">
      <c r="D594" t="s">
        <v>104</v>
      </c>
      <c r="E594" s="24">
        <v>45081</v>
      </c>
    </row>
    <row r="595" spans="4:5" x14ac:dyDescent="0.25">
      <c r="D595" t="s">
        <v>105</v>
      </c>
      <c r="E595" s="24">
        <v>45081</v>
      </c>
    </row>
    <row r="596" spans="4:5" x14ac:dyDescent="0.25">
      <c r="D596" t="s">
        <v>106</v>
      </c>
      <c r="E596" s="24">
        <v>45081</v>
      </c>
    </row>
    <row r="597" spans="4:5" x14ac:dyDescent="0.25">
      <c r="D597" t="s">
        <v>107</v>
      </c>
      <c r="E597" s="24">
        <v>45081</v>
      </c>
    </row>
    <row r="598" spans="4:5" x14ac:dyDescent="0.25">
      <c r="D598" t="s">
        <v>108</v>
      </c>
      <c r="E598" s="24">
        <v>45081</v>
      </c>
    </row>
    <row r="599" spans="4:5" x14ac:dyDescent="0.25">
      <c r="D599" t="s">
        <v>109</v>
      </c>
      <c r="E599" s="24">
        <v>45081</v>
      </c>
    </row>
    <row r="600" spans="4:5" x14ac:dyDescent="0.25">
      <c r="D600" t="s">
        <v>110</v>
      </c>
      <c r="E600" s="24">
        <v>45081</v>
      </c>
    </row>
    <row r="601" spans="4:5" x14ac:dyDescent="0.25">
      <c r="D601" t="s">
        <v>111</v>
      </c>
      <c r="E601" s="24">
        <v>45081</v>
      </c>
    </row>
    <row r="602" spans="4:5" x14ac:dyDescent="0.25">
      <c r="D602" t="s">
        <v>112</v>
      </c>
      <c r="E602" s="24">
        <v>45081</v>
      </c>
    </row>
    <row r="603" spans="4:5" x14ac:dyDescent="0.25">
      <c r="D603" t="s">
        <v>113</v>
      </c>
      <c r="E603" s="24">
        <v>45081</v>
      </c>
    </row>
    <row r="604" spans="4:5" x14ac:dyDescent="0.25">
      <c r="D604" t="s">
        <v>114</v>
      </c>
      <c r="E604" s="24">
        <v>45081</v>
      </c>
    </row>
    <row r="605" spans="4:5" x14ac:dyDescent="0.25">
      <c r="D605" t="s">
        <v>115</v>
      </c>
      <c r="E605" s="24">
        <v>45081</v>
      </c>
    </row>
    <row r="606" spans="4:5" x14ac:dyDescent="0.25">
      <c r="D606" t="s">
        <v>116</v>
      </c>
      <c r="E606" s="24">
        <v>45081</v>
      </c>
    </row>
    <row r="607" spans="4:5" x14ac:dyDescent="0.25">
      <c r="D607" t="s">
        <v>117</v>
      </c>
      <c r="E607" s="24">
        <v>45081</v>
      </c>
    </row>
    <row r="608" spans="4:5" x14ac:dyDescent="0.25">
      <c r="D608" t="s">
        <v>118</v>
      </c>
      <c r="E608" s="24">
        <v>45081</v>
      </c>
    </row>
    <row r="609" spans="4:6" x14ac:dyDescent="0.25">
      <c r="D609" t="s">
        <v>119</v>
      </c>
      <c r="E609" s="24">
        <v>45081</v>
      </c>
    </row>
    <row r="610" spans="4:6" x14ac:dyDescent="0.25">
      <c r="D610" t="s">
        <v>120</v>
      </c>
      <c r="E610" s="24">
        <v>45081</v>
      </c>
    </row>
    <row r="611" spans="4:6" x14ac:dyDescent="0.25">
      <c r="D611" t="s">
        <v>121</v>
      </c>
      <c r="E611" s="24">
        <v>45081</v>
      </c>
    </row>
    <row r="612" spans="4:6" x14ac:dyDescent="0.25">
      <c r="D612" t="s">
        <v>122</v>
      </c>
      <c r="E612" s="24">
        <v>45081</v>
      </c>
    </row>
    <row r="613" spans="4:6" x14ac:dyDescent="0.25">
      <c r="D613" t="s">
        <v>123</v>
      </c>
      <c r="E613" s="24">
        <v>45081</v>
      </c>
    </row>
    <row r="614" spans="4:6" x14ac:dyDescent="0.25">
      <c r="D614" t="s">
        <v>124</v>
      </c>
      <c r="E614" s="24">
        <v>45081</v>
      </c>
    </row>
    <row r="615" spans="4:6" x14ac:dyDescent="0.25">
      <c r="D615" t="s">
        <v>125</v>
      </c>
      <c r="E615" s="24">
        <v>45081</v>
      </c>
      <c r="F615">
        <v>1</v>
      </c>
    </row>
    <row r="616" spans="4:6" x14ac:dyDescent="0.25">
      <c r="D616" t="s">
        <v>126</v>
      </c>
      <c r="E616" s="24">
        <v>45081</v>
      </c>
    </row>
    <row r="617" spans="4:6" x14ac:dyDescent="0.25">
      <c r="D617" t="s">
        <v>127</v>
      </c>
      <c r="E617" s="24">
        <v>45081</v>
      </c>
    </row>
    <row r="618" spans="4:6" x14ac:dyDescent="0.25">
      <c r="D618" t="s">
        <v>128</v>
      </c>
      <c r="E618" s="24">
        <v>45081</v>
      </c>
    </row>
    <row r="619" spans="4:6" x14ac:dyDescent="0.25">
      <c r="D619" t="s">
        <v>129</v>
      </c>
      <c r="E619" s="24">
        <v>45081</v>
      </c>
    </row>
    <row r="620" spans="4:6" x14ac:dyDescent="0.25">
      <c r="D620" t="s">
        <v>130</v>
      </c>
      <c r="E620" s="24">
        <v>45081</v>
      </c>
    </row>
    <row r="621" spans="4:6" x14ac:dyDescent="0.25">
      <c r="D621" t="s">
        <v>131</v>
      </c>
      <c r="E621" s="24">
        <v>45081</v>
      </c>
    </row>
    <row r="622" spans="4:6" x14ac:dyDescent="0.25">
      <c r="D622" t="s">
        <v>132</v>
      </c>
      <c r="E622" s="24">
        <v>45081</v>
      </c>
    </row>
    <row r="623" spans="4:6" x14ac:dyDescent="0.25">
      <c r="D623" t="s">
        <v>133</v>
      </c>
      <c r="E623" s="24">
        <v>45081</v>
      </c>
    </row>
    <row r="624" spans="4:6" x14ac:dyDescent="0.25">
      <c r="D624" t="s">
        <v>134</v>
      </c>
      <c r="E624" s="24">
        <v>45081</v>
      </c>
    </row>
    <row r="625" spans="4:6" x14ac:dyDescent="0.25">
      <c r="D625" t="s">
        <v>135</v>
      </c>
      <c r="E625" s="24">
        <v>45081</v>
      </c>
    </row>
    <row r="626" spans="4:6" x14ac:dyDescent="0.25">
      <c r="D626" t="s">
        <v>136</v>
      </c>
      <c r="E626" s="24">
        <v>45081</v>
      </c>
    </row>
    <row r="627" spans="4:6" x14ac:dyDescent="0.25">
      <c r="D627" t="s">
        <v>137</v>
      </c>
      <c r="E627" s="24">
        <v>45081</v>
      </c>
    </row>
    <row r="628" spans="4:6" x14ac:dyDescent="0.25">
      <c r="D628" t="s">
        <v>138</v>
      </c>
      <c r="E628" s="24">
        <v>45081</v>
      </c>
    </row>
    <row r="629" spans="4:6" x14ac:dyDescent="0.25">
      <c r="D629" t="s">
        <v>139</v>
      </c>
      <c r="E629" s="24">
        <v>45081</v>
      </c>
    </row>
    <row r="630" spans="4:6" x14ac:dyDescent="0.25">
      <c r="D630" t="s">
        <v>140</v>
      </c>
      <c r="E630" s="24">
        <v>45081</v>
      </c>
    </row>
    <row r="631" spans="4:6" x14ac:dyDescent="0.25">
      <c r="D631" t="s">
        <v>141</v>
      </c>
      <c r="E631" s="24">
        <v>45081</v>
      </c>
    </row>
    <row r="632" spans="4:6" x14ac:dyDescent="0.25">
      <c r="D632" t="s">
        <v>142</v>
      </c>
      <c r="E632" s="24">
        <v>45081</v>
      </c>
    </row>
    <row r="633" spans="4:6" x14ac:dyDescent="0.25">
      <c r="D633" t="s">
        <v>143</v>
      </c>
      <c r="E633" s="24">
        <v>45081</v>
      </c>
    </row>
    <row r="634" spans="4:6" x14ac:dyDescent="0.25">
      <c r="D634" t="s">
        <v>147</v>
      </c>
      <c r="E634" s="24">
        <v>45082</v>
      </c>
      <c r="F634">
        <v>1</v>
      </c>
    </row>
    <row r="635" spans="4:6" x14ac:dyDescent="0.25">
      <c r="D635" t="s">
        <v>148</v>
      </c>
      <c r="E635" s="24">
        <v>45082</v>
      </c>
      <c r="F635">
        <v>1</v>
      </c>
    </row>
    <row r="636" spans="4:6" x14ac:dyDescent="0.25">
      <c r="D636" t="s">
        <v>149</v>
      </c>
      <c r="E636" s="24">
        <v>45082</v>
      </c>
      <c r="F636">
        <v>1</v>
      </c>
    </row>
    <row r="637" spans="4:6" x14ac:dyDescent="0.25">
      <c r="D637" t="s">
        <v>150</v>
      </c>
      <c r="E637" s="24">
        <v>45082</v>
      </c>
      <c r="F637">
        <v>1</v>
      </c>
    </row>
    <row r="638" spans="4:6" x14ac:dyDescent="0.25">
      <c r="D638" t="s">
        <v>151</v>
      </c>
      <c r="E638" s="24">
        <v>45082</v>
      </c>
      <c r="F638">
        <v>0</v>
      </c>
    </row>
    <row r="639" spans="4:6" x14ac:dyDescent="0.25">
      <c r="D639" t="s">
        <v>152</v>
      </c>
      <c r="E639" s="24">
        <v>45082</v>
      </c>
      <c r="F639">
        <v>1</v>
      </c>
    </row>
    <row r="640" spans="4:6" x14ac:dyDescent="0.25">
      <c r="D640" t="s">
        <v>153</v>
      </c>
      <c r="E640" s="24">
        <v>45082</v>
      </c>
      <c r="F640">
        <v>0</v>
      </c>
    </row>
    <row r="641" spans="4:6" x14ac:dyDescent="0.25">
      <c r="D641" t="s">
        <v>154</v>
      </c>
      <c r="E641" s="24">
        <v>45082</v>
      </c>
      <c r="F641">
        <v>0</v>
      </c>
    </row>
    <row r="642" spans="4:6" x14ac:dyDescent="0.25">
      <c r="D642" t="s">
        <v>155</v>
      </c>
      <c r="E642" s="24">
        <v>45082</v>
      </c>
    </row>
    <row r="643" spans="4:6" x14ac:dyDescent="0.25">
      <c r="D643" t="s">
        <v>156</v>
      </c>
      <c r="E643" s="24">
        <v>45082</v>
      </c>
    </row>
    <row r="644" spans="4:6" x14ac:dyDescent="0.25">
      <c r="D644" t="s">
        <v>157</v>
      </c>
      <c r="E644" s="24">
        <v>45082</v>
      </c>
    </row>
    <row r="645" spans="4:6" x14ac:dyDescent="0.25">
      <c r="D645" t="s">
        <v>158</v>
      </c>
      <c r="E645" s="24">
        <v>45082</v>
      </c>
    </row>
    <row r="646" spans="4:6" x14ac:dyDescent="0.25">
      <c r="D646" t="s">
        <v>159</v>
      </c>
      <c r="E646" s="24">
        <v>45082</v>
      </c>
    </row>
    <row r="647" spans="4:6" x14ac:dyDescent="0.25">
      <c r="D647" t="s">
        <v>160</v>
      </c>
      <c r="E647" s="24">
        <v>45082</v>
      </c>
    </row>
    <row r="648" spans="4:6" x14ac:dyDescent="0.25">
      <c r="D648" t="s">
        <v>161</v>
      </c>
      <c r="E648" s="24">
        <v>45082</v>
      </c>
    </row>
    <row r="649" spans="4:6" x14ac:dyDescent="0.25">
      <c r="D649" t="s">
        <v>162</v>
      </c>
      <c r="E649" s="24">
        <v>45082</v>
      </c>
    </row>
    <row r="650" spans="4:6" x14ac:dyDescent="0.25">
      <c r="D650" t="s">
        <v>163</v>
      </c>
      <c r="E650" s="24">
        <v>45082</v>
      </c>
    </row>
    <row r="651" spans="4:6" x14ac:dyDescent="0.25">
      <c r="D651" t="s">
        <v>164</v>
      </c>
      <c r="E651" s="24">
        <v>45082</v>
      </c>
    </row>
    <row r="652" spans="4:6" x14ac:dyDescent="0.25">
      <c r="D652" t="s">
        <v>165</v>
      </c>
      <c r="E652" s="24">
        <v>45082</v>
      </c>
    </row>
    <row r="653" spans="4:6" x14ac:dyDescent="0.25">
      <c r="D653" t="s">
        <v>166</v>
      </c>
      <c r="E653" s="24">
        <v>45082</v>
      </c>
    </row>
    <row r="654" spans="4:6" x14ac:dyDescent="0.25">
      <c r="D654" t="s">
        <v>167</v>
      </c>
      <c r="E654" s="24">
        <v>45082</v>
      </c>
    </row>
    <row r="655" spans="4:6" x14ac:dyDescent="0.25">
      <c r="D655" t="s">
        <v>168</v>
      </c>
      <c r="E655" s="24">
        <v>45082</v>
      </c>
    </row>
    <row r="656" spans="4:6" x14ac:dyDescent="0.25">
      <c r="D656" t="s">
        <v>169</v>
      </c>
      <c r="E656" s="24">
        <v>45082</v>
      </c>
    </row>
    <row r="657" spans="4:5" x14ac:dyDescent="0.25">
      <c r="D657" t="s">
        <v>170</v>
      </c>
      <c r="E657" s="24">
        <v>45082</v>
      </c>
    </row>
    <row r="658" spans="4:5" x14ac:dyDescent="0.25">
      <c r="D658" t="s">
        <v>171</v>
      </c>
      <c r="E658" s="24">
        <v>45082</v>
      </c>
    </row>
    <row r="659" spans="4:5" x14ac:dyDescent="0.25">
      <c r="D659" t="s">
        <v>172</v>
      </c>
      <c r="E659" s="24">
        <v>45082</v>
      </c>
    </row>
    <row r="660" spans="4:5" x14ac:dyDescent="0.25">
      <c r="D660" t="s">
        <v>173</v>
      </c>
      <c r="E660" s="24">
        <v>45082</v>
      </c>
    </row>
    <row r="661" spans="4:5" x14ac:dyDescent="0.25">
      <c r="D661" t="s">
        <v>174</v>
      </c>
      <c r="E661" s="24">
        <v>45082</v>
      </c>
    </row>
    <row r="662" spans="4:5" x14ac:dyDescent="0.25">
      <c r="D662" t="s">
        <v>175</v>
      </c>
      <c r="E662" s="24">
        <v>45082</v>
      </c>
    </row>
    <row r="663" spans="4:5" x14ac:dyDescent="0.25">
      <c r="D663" t="s">
        <v>176</v>
      </c>
      <c r="E663" s="24">
        <v>45082</v>
      </c>
    </row>
    <row r="664" spans="4:5" x14ac:dyDescent="0.25">
      <c r="D664" t="s">
        <v>177</v>
      </c>
      <c r="E664" s="24">
        <v>45082</v>
      </c>
    </row>
    <row r="665" spans="4:5" x14ac:dyDescent="0.25">
      <c r="D665" t="s">
        <v>178</v>
      </c>
      <c r="E665" s="24">
        <v>45082</v>
      </c>
    </row>
    <row r="666" spans="4:5" x14ac:dyDescent="0.25">
      <c r="D666" t="s">
        <v>179</v>
      </c>
      <c r="E666" s="24">
        <v>45082</v>
      </c>
    </row>
    <row r="667" spans="4:5" x14ac:dyDescent="0.25">
      <c r="D667" t="s">
        <v>180</v>
      </c>
      <c r="E667" s="24">
        <v>45082</v>
      </c>
    </row>
    <row r="668" spans="4:5" x14ac:dyDescent="0.25">
      <c r="D668" t="s">
        <v>181</v>
      </c>
      <c r="E668" s="24">
        <v>45082</v>
      </c>
    </row>
    <row r="669" spans="4:5" x14ac:dyDescent="0.25">
      <c r="D669" t="s">
        <v>182</v>
      </c>
      <c r="E669" s="24">
        <v>45082</v>
      </c>
    </row>
    <row r="670" spans="4:5" x14ac:dyDescent="0.25">
      <c r="D670" t="s">
        <v>183</v>
      </c>
      <c r="E670" s="24">
        <v>45082</v>
      </c>
    </row>
    <row r="671" spans="4:5" x14ac:dyDescent="0.25">
      <c r="D671" t="s">
        <v>184</v>
      </c>
      <c r="E671" s="24">
        <v>45082</v>
      </c>
    </row>
    <row r="672" spans="4:5" x14ac:dyDescent="0.25">
      <c r="D672" t="s">
        <v>185</v>
      </c>
      <c r="E672" s="24">
        <v>45082</v>
      </c>
    </row>
    <row r="673" spans="4:5" x14ac:dyDescent="0.25">
      <c r="D673" t="s">
        <v>186</v>
      </c>
      <c r="E673" s="24">
        <v>45082</v>
      </c>
    </row>
    <row r="674" spans="4:5" x14ac:dyDescent="0.25">
      <c r="D674" t="s">
        <v>187</v>
      </c>
      <c r="E674" s="24">
        <v>45082</v>
      </c>
    </row>
    <row r="675" spans="4:5" x14ac:dyDescent="0.25">
      <c r="D675" t="s">
        <v>188</v>
      </c>
      <c r="E675" s="24">
        <v>45082</v>
      </c>
    </row>
    <row r="676" spans="4:5" x14ac:dyDescent="0.25">
      <c r="D676" t="s">
        <v>189</v>
      </c>
      <c r="E676" s="24">
        <v>45082</v>
      </c>
    </row>
    <row r="677" spans="4:5" x14ac:dyDescent="0.25">
      <c r="D677" t="s">
        <v>190</v>
      </c>
      <c r="E677" s="24">
        <v>45082</v>
      </c>
    </row>
    <row r="678" spans="4:5" x14ac:dyDescent="0.25">
      <c r="D678" t="s">
        <v>191</v>
      </c>
      <c r="E678" s="24">
        <v>45082</v>
      </c>
    </row>
    <row r="679" spans="4:5" x14ac:dyDescent="0.25">
      <c r="D679" t="s">
        <v>192</v>
      </c>
      <c r="E679" s="24">
        <v>45082</v>
      </c>
    </row>
    <row r="680" spans="4:5" x14ac:dyDescent="0.25">
      <c r="D680" t="s">
        <v>193</v>
      </c>
      <c r="E680" s="24">
        <v>45082</v>
      </c>
    </row>
    <row r="681" spans="4:5" x14ac:dyDescent="0.25">
      <c r="D681" t="s">
        <v>194</v>
      </c>
      <c r="E681" s="24">
        <v>45082</v>
      </c>
    </row>
    <row r="682" spans="4:5" x14ac:dyDescent="0.25">
      <c r="D682" t="s">
        <v>195</v>
      </c>
      <c r="E682" s="24">
        <v>45082</v>
      </c>
    </row>
    <row r="683" spans="4:5" x14ac:dyDescent="0.25">
      <c r="D683" t="s">
        <v>196</v>
      </c>
      <c r="E683" s="24">
        <v>45082</v>
      </c>
    </row>
    <row r="684" spans="4:5" x14ac:dyDescent="0.25">
      <c r="D684" t="s">
        <v>197</v>
      </c>
      <c r="E684" s="24">
        <v>45082</v>
      </c>
    </row>
    <row r="685" spans="4:5" x14ac:dyDescent="0.25">
      <c r="D685" t="s">
        <v>198</v>
      </c>
      <c r="E685" s="24">
        <v>45082</v>
      </c>
    </row>
    <row r="686" spans="4:5" x14ac:dyDescent="0.25">
      <c r="D686" t="s">
        <v>199</v>
      </c>
      <c r="E686" s="24">
        <v>45082</v>
      </c>
    </row>
    <row r="687" spans="4:5" x14ac:dyDescent="0.25">
      <c r="D687" t="s">
        <v>200</v>
      </c>
      <c r="E687" s="24">
        <v>45082</v>
      </c>
    </row>
    <row r="688" spans="4:5" x14ac:dyDescent="0.25">
      <c r="D688" t="s">
        <v>201</v>
      </c>
      <c r="E688" s="24">
        <v>45082</v>
      </c>
    </row>
    <row r="689" spans="4:5" x14ac:dyDescent="0.25">
      <c r="D689" t="s">
        <v>202</v>
      </c>
      <c r="E689" s="24">
        <v>45082</v>
      </c>
    </row>
    <row r="690" spans="4:5" x14ac:dyDescent="0.25">
      <c r="D690" t="s">
        <v>203</v>
      </c>
      <c r="E690" s="24">
        <v>45082</v>
      </c>
    </row>
    <row r="691" spans="4:5" x14ac:dyDescent="0.25">
      <c r="D691" t="s">
        <v>144</v>
      </c>
      <c r="E691" s="24">
        <v>45082</v>
      </c>
    </row>
    <row r="692" spans="4:5" x14ac:dyDescent="0.25">
      <c r="D692" t="s">
        <v>145</v>
      </c>
      <c r="E692" s="24">
        <v>45082</v>
      </c>
    </row>
    <row r="693" spans="4:5" x14ac:dyDescent="0.25">
      <c r="D693" t="s">
        <v>146</v>
      </c>
      <c r="E693" s="24">
        <v>45082</v>
      </c>
    </row>
    <row r="694" spans="4:5" x14ac:dyDescent="0.25">
      <c r="D694" t="s">
        <v>20</v>
      </c>
      <c r="E694" s="24">
        <v>45082</v>
      </c>
    </row>
    <row r="695" spans="4:5" x14ac:dyDescent="0.25">
      <c r="D695" t="s">
        <v>47</v>
      </c>
      <c r="E695" s="24">
        <v>45082</v>
      </c>
    </row>
    <row r="696" spans="4:5" x14ac:dyDescent="0.25">
      <c r="D696" t="s">
        <v>48</v>
      </c>
      <c r="E696" s="24">
        <v>45082</v>
      </c>
    </row>
    <row r="697" spans="4:5" x14ac:dyDescent="0.25">
      <c r="D697" t="s">
        <v>49</v>
      </c>
      <c r="E697" s="24">
        <v>45082</v>
      </c>
    </row>
    <row r="698" spans="4:5" x14ac:dyDescent="0.25">
      <c r="D698" t="s">
        <v>50</v>
      </c>
      <c r="E698" s="24">
        <v>45082</v>
      </c>
    </row>
    <row r="699" spans="4:5" x14ac:dyDescent="0.25">
      <c r="D699" t="s">
        <v>51</v>
      </c>
      <c r="E699" s="24">
        <v>45082</v>
      </c>
    </row>
    <row r="700" spans="4:5" x14ac:dyDescent="0.25">
      <c r="D700" t="s">
        <v>52</v>
      </c>
      <c r="E700" s="24">
        <v>45082</v>
      </c>
    </row>
    <row r="701" spans="4:5" x14ac:dyDescent="0.25">
      <c r="D701" t="s">
        <v>53</v>
      </c>
      <c r="E701" s="24">
        <v>45082</v>
      </c>
    </row>
    <row r="702" spans="4:5" x14ac:dyDescent="0.25">
      <c r="D702" t="s">
        <v>54</v>
      </c>
      <c r="E702" s="24">
        <v>45082</v>
      </c>
    </row>
    <row r="703" spans="4:5" x14ac:dyDescent="0.25">
      <c r="D703" t="s">
        <v>55</v>
      </c>
      <c r="E703" s="24">
        <v>45082</v>
      </c>
    </row>
    <row r="704" spans="4:5" x14ac:dyDescent="0.25">
      <c r="D704" t="s">
        <v>56</v>
      </c>
      <c r="E704" s="24">
        <v>45082</v>
      </c>
    </row>
    <row r="705" spans="4:5" x14ac:dyDescent="0.25">
      <c r="D705" t="s">
        <v>57</v>
      </c>
      <c r="E705" s="24">
        <v>45082</v>
      </c>
    </row>
    <row r="706" spans="4:5" x14ac:dyDescent="0.25">
      <c r="D706" t="s">
        <v>58</v>
      </c>
      <c r="E706" s="24">
        <v>45082</v>
      </c>
    </row>
    <row r="707" spans="4:5" x14ac:dyDescent="0.25">
      <c r="D707" t="s">
        <v>59</v>
      </c>
      <c r="E707" s="24">
        <v>45082</v>
      </c>
    </row>
    <row r="708" spans="4:5" x14ac:dyDescent="0.25">
      <c r="D708" t="s">
        <v>60</v>
      </c>
      <c r="E708" s="24">
        <v>45082</v>
      </c>
    </row>
    <row r="709" spans="4:5" x14ac:dyDescent="0.25">
      <c r="D709" t="s">
        <v>61</v>
      </c>
      <c r="E709" s="24">
        <v>45082</v>
      </c>
    </row>
    <row r="710" spans="4:5" x14ac:dyDescent="0.25">
      <c r="D710" t="s">
        <v>62</v>
      </c>
      <c r="E710" s="24">
        <v>45082</v>
      </c>
    </row>
    <row r="711" spans="4:5" x14ac:dyDescent="0.25">
      <c r="D711" t="s">
        <v>63</v>
      </c>
      <c r="E711" s="24">
        <v>45082</v>
      </c>
    </row>
    <row r="712" spans="4:5" x14ac:dyDescent="0.25">
      <c r="D712" t="s">
        <v>64</v>
      </c>
      <c r="E712" s="24">
        <v>45082</v>
      </c>
    </row>
    <row r="713" spans="4:5" x14ac:dyDescent="0.25">
      <c r="D713" t="s">
        <v>65</v>
      </c>
      <c r="E713" s="24">
        <v>45082</v>
      </c>
    </row>
    <row r="714" spans="4:5" x14ac:dyDescent="0.25">
      <c r="D714" t="s">
        <v>66</v>
      </c>
      <c r="E714" s="24">
        <v>45082</v>
      </c>
    </row>
    <row r="715" spans="4:5" x14ac:dyDescent="0.25">
      <c r="D715" t="s">
        <v>67</v>
      </c>
      <c r="E715" s="24">
        <v>45082</v>
      </c>
    </row>
    <row r="716" spans="4:5" x14ac:dyDescent="0.25">
      <c r="D716" t="s">
        <v>68</v>
      </c>
      <c r="E716" s="24">
        <v>45082</v>
      </c>
    </row>
    <row r="717" spans="4:5" x14ac:dyDescent="0.25">
      <c r="D717" t="s">
        <v>69</v>
      </c>
      <c r="E717" s="24">
        <v>45082</v>
      </c>
    </row>
    <row r="718" spans="4:5" x14ac:dyDescent="0.25">
      <c r="D718" t="s">
        <v>70</v>
      </c>
      <c r="E718" s="24">
        <v>45082</v>
      </c>
    </row>
    <row r="719" spans="4:5" x14ac:dyDescent="0.25">
      <c r="D719" t="s">
        <v>71</v>
      </c>
      <c r="E719" s="24">
        <v>45082</v>
      </c>
    </row>
    <row r="720" spans="4:5" x14ac:dyDescent="0.25">
      <c r="D720" t="s">
        <v>72</v>
      </c>
      <c r="E720" s="24">
        <v>45082</v>
      </c>
    </row>
    <row r="721" spans="4:5" x14ac:dyDescent="0.25">
      <c r="D721" t="s">
        <v>73</v>
      </c>
      <c r="E721" s="24">
        <v>45082</v>
      </c>
    </row>
    <row r="722" spans="4:5" x14ac:dyDescent="0.25">
      <c r="D722" t="s">
        <v>74</v>
      </c>
      <c r="E722" s="24">
        <v>45082</v>
      </c>
    </row>
    <row r="723" spans="4:5" x14ac:dyDescent="0.25">
      <c r="D723" t="s">
        <v>75</v>
      </c>
      <c r="E723" s="24">
        <v>45082</v>
      </c>
    </row>
    <row r="724" spans="4:5" x14ac:dyDescent="0.25">
      <c r="D724" t="s">
        <v>76</v>
      </c>
      <c r="E724" s="24">
        <v>45082</v>
      </c>
    </row>
    <row r="725" spans="4:5" x14ac:dyDescent="0.25">
      <c r="D725" t="s">
        <v>77</v>
      </c>
      <c r="E725" s="24">
        <v>45082</v>
      </c>
    </row>
    <row r="726" spans="4:5" x14ac:dyDescent="0.25">
      <c r="D726" t="s">
        <v>78</v>
      </c>
      <c r="E726" s="24">
        <v>45082</v>
      </c>
    </row>
    <row r="727" spans="4:5" x14ac:dyDescent="0.25">
      <c r="D727" t="s">
        <v>79</v>
      </c>
      <c r="E727" s="24">
        <v>45082</v>
      </c>
    </row>
    <row r="728" spans="4:5" x14ac:dyDescent="0.25">
      <c r="D728" t="s">
        <v>80</v>
      </c>
      <c r="E728" s="24">
        <v>45082</v>
      </c>
    </row>
    <row r="729" spans="4:5" x14ac:dyDescent="0.25">
      <c r="D729" t="s">
        <v>81</v>
      </c>
      <c r="E729" s="24">
        <v>45082</v>
      </c>
    </row>
    <row r="730" spans="4:5" x14ac:dyDescent="0.25">
      <c r="D730" t="s">
        <v>82</v>
      </c>
      <c r="E730" s="24">
        <v>45082</v>
      </c>
    </row>
    <row r="731" spans="4:5" x14ac:dyDescent="0.25">
      <c r="D731" t="s">
        <v>83</v>
      </c>
      <c r="E731" s="24">
        <v>45082</v>
      </c>
    </row>
    <row r="732" spans="4:5" x14ac:dyDescent="0.25">
      <c r="D732" t="s">
        <v>84</v>
      </c>
      <c r="E732" s="24">
        <v>45082</v>
      </c>
    </row>
    <row r="733" spans="4:5" x14ac:dyDescent="0.25">
      <c r="D733" t="s">
        <v>85</v>
      </c>
      <c r="E733" s="24">
        <v>45082</v>
      </c>
    </row>
    <row r="734" spans="4:5" x14ac:dyDescent="0.25">
      <c r="D734" t="s">
        <v>86</v>
      </c>
      <c r="E734" s="24">
        <v>45082</v>
      </c>
    </row>
    <row r="735" spans="4:5" x14ac:dyDescent="0.25">
      <c r="D735" t="s">
        <v>87</v>
      </c>
      <c r="E735" s="24">
        <v>45082</v>
      </c>
    </row>
    <row r="736" spans="4:5" x14ac:dyDescent="0.25">
      <c r="D736" t="s">
        <v>88</v>
      </c>
      <c r="E736" s="24">
        <v>45082</v>
      </c>
    </row>
    <row r="737" spans="4:5" x14ac:dyDescent="0.25">
      <c r="D737" t="s">
        <v>89</v>
      </c>
      <c r="E737" s="24">
        <v>45082</v>
      </c>
    </row>
    <row r="738" spans="4:5" x14ac:dyDescent="0.25">
      <c r="D738" t="s">
        <v>90</v>
      </c>
      <c r="E738" s="24">
        <v>45082</v>
      </c>
    </row>
    <row r="739" spans="4:5" x14ac:dyDescent="0.25">
      <c r="D739" t="s">
        <v>91</v>
      </c>
      <c r="E739" s="24">
        <v>45082</v>
      </c>
    </row>
    <row r="740" spans="4:5" x14ac:dyDescent="0.25">
      <c r="D740" t="s">
        <v>92</v>
      </c>
      <c r="E740" s="24">
        <v>45082</v>
      </c>
    </row>
    <row r="741" spans="4:5" x14ac:dyDescent="0.25">
      <c r="D741" t="s">
        <v>93</v>
      </c>
      <c r="E741" s="24">
        <v>45082</v>
      </c>
    </row>
    <row r="742" spans="4:5" x14ac:dyDescent="0.25">
      <c r="D742" t="s">
        <v>94</v>
      </c>
      <c r="E742" s="24">
        <v>45082</v>
      </c>
    </row>
    <row r="743" spans="4:5" x14ac:dyDescent="0.25">
      <c r="D743" t="s">
        <v>95</v>
      </c>
      <c r="E743" s="24">
        <v>45082</v>
      </c>
    </row>
    <row r="744" spans="4:5" x14ac:dyDescent="0.25">
      <c r="D744" t="s">
        <v>96</v>
      </c>
      <c r="E744" s="24">
        <v>45082</v>
      </c>
    </row>
    <row r="745" spans="4:5" x14ac:dyDescent="0.25">
      <c r="D745" t="s">
        <v>97</v>
      </c>
      <c r="E745" s="24">
        <v>45082</v>
      </c>
    </row>
    <row r="746" spans="4:5" x14ac:dyDescent="0.25">
      <c r="D746" t="s">
        <v>98</v>
      </c>
      <c r="E746" s="24">
        <v>45082</v>
      </c>
    </row>
    <row r="747" spans="4:5" x14ac:dyDescent="0.25">
      <c r="D747" t="s">
        <v>99</v>
      </c>
      <c r="E747" s="24">
        <v>45082</v>
      </c>
    </row>
    <row r="748" spans="4:5" x14ac:dyDescent="0.25">
      <c r="D748" t="s">
        <v>100</v>
      </c>
      <c r="E748" s="24">
        <v>45082</v>
      </c>
    </row>
    <row r="749" spans="4:5" x14ac:dyDescent="0.25">
      <c r="D749" t="s">
        <v>101</v>
      </c>
      <c r="E749" s="24">
        <v>45082</v>
      </c>
    </row>
    <row r="750" spans="4:5" x14ac:dyDescent="0.25">
      <c r="D750" t="s">
        <v>102</v>
      </c>
      <c r="E750" s="24">
        <v>45082</v>
      </c>
    </row>
    <row r="751" spans="4:5" x14ac:dyDescent="0.25">
      <c r="D751" t="s">
        <v>103</v>
      </c>
      <c r="E751" s="24">
        <v>45082</v>
      </c>
    </row>
    <row r="752" spans="4:5" x14ac:dyDescent="0.25">
      <c r="D752" t="s">
        <v>104</v>
      </c>
      <c r="E752" s="24">
        <v>45082</v>
      </c>
    </row>
    <row r="753" spans="4:5" x14ac:dyDescent="0.25">
      <c r="D753" t="s">
        <v>105</v>
      </c>
      <c r="E753" s="24">
        <v>45082</v>
      </c>
    </row>
    <row r="754" spans="4:5" x14ac:dyDescent="0.25">
      <c r="D754" t="s">
        <v>106</v>
      </c>
      <c r="E754" s="24">
        <v>45082</v>
      </c>
    </row>
    <row r="755" spans="4:5" x14ac:dyDescent="0.25">
      <c r="D755" t="s">
        <v>107</v>
      </c>
      <c r="E755" s="24">
        <v>45082</v>
      </c>
    </row>
    <row r="756" spans="4:5" x14ac:dyDescent="0.25">
      <c r="D756" t="s">
        <v>108</v>
      </c>
      <c r="E756" s="24">
        <v>45082</v>
      </c>
    </row>
    <row r="757" spans="4:5" x14ac:dyDescent="0.25">
      <c r="D757" t="s">
        <v>109</v>
      </c>
      <c r="E757" s="24">
        <v>45082</v>
      </c>
    </row>
    <row r="758" spans="4:5" x14ac:dyDescent="0.25">
      <c r="D758" t="s">
        <v>110</v>
      </c>
      <c r="E758" s="24">
        <v>45082</v>
      </c>
    </row>
    <row r="759" spans="4:5" x14ac:dyDescent="0.25">
      <c r="D759" t="s">
        <v>111</v>
      </c>
      <c r="E759" s="24">
        <v>45082</v>
      </c>
    </row>
    <row r="760" spans="4:5" x14ac:dyDescent="0.25">
      <c r="D760" t="s">
        <v>112</v>
      </c>
      <c r="E760" s="24">
        <v>45082</v>
      </c>
    </row>
    <row r="761" spans="4:5" x14ac:dyDescent="0.25">
      <c r="D761" t="s">
        <v>113</v>
      </c>
      <c r="E761" s="24">
        <v>45082</v>
      </c>
    </row>
    <row r="762" spans="4:5" x14ac:dyDescent="0.25">
      <c r="D762" t="s">
        <v>114</v>
      </c>
      <c r="E762" s="24">
        <v>45082</v>
      </c>
    </row>
    <row r="763" spans="4:5" x14ac:dyDescent="0.25">
      <c r="D763" t="s">
        <v>115</v>
      </c>
      <c r="E763" s="24">
        <v>45082</v>
      </c>
    </row>
    <row r="764" spans="4:5" x14ac:dyDescent="0.25">
      <c r="D764" t="s">
        <v>116</v>
      </c>
      <c r="E764" s="24">
        <v>45082</v>
      </c>
    </row>
    <row r="765" spans="4:5" x14ac:dyDescent="0.25">
      <c r="D765" t="s">
        <v>117</v>
      </c>
      <c r="E765" s="24">
        <v>45082</v>
      </c>
    </row>
    <row r="766" spans="4:5" x14ac:dyDescent="0.25">
      <c r="D766" t="s">
        <v>118</v>
      </c>
      <c r="E766" s="24">
        <v>45082</v>
      </c>
    </row>
    <row r="767" spans="4:5" x14ac:dyDescent="0.25">
      <c r="D767" t="s">
        <v>119</v>
      </c>
      <c r="E767" s="24">
        <v>45082</v>
      </c>
    </row>
    <row r="768" spans="4:5" x14ac:dyDescent="0.25">
      <c r="D768" t="s">
        <v>120</v>
      </c>
      <c r="E768" s="24">
        <v>45082</v>
      </c>
    </row>
    <row r="769" spans="4:5" x14ac:dyDescent="0.25">
      <c r="D769" t="s">
        <v>121</v>
      </c>
      <c r="E769" s="24">
        <v>45082</v>
      </c>
    </row>
    <row r="770" spans="4:5" x14ac:dyDescent="0.25">
      <c r="D770" t="s">
        <v>122</v>
      </c>
      <c r="E770" s="24">
        <v>45082</v>
      </c>
    </row>
    <row r="771" spans="4:5" x14ac:dyDescent="0.25">
      <c r="D771" t="s">
        <v>123</v>
      </c>
      <c r="E771" s="24">
        <v>45082</v>
      </c>
    </row>
    <row r="772" spans="4:5" x14ac:dyDescent="0.25">
      <c r="D772" t="s">
        <v>124</v>
      </c>
      <c r="E772" s="24">
        <v>45082</v>
      </c>
    </row>
    <row r="773" spans="4:5" x14ac:dyDescent="0.25">
      <c r="D773" t="s">
        <v>125</v>
      </c>
      <c r="E773" s="24">
        <v>45082</v>
      </c>
    </row>
    <row r="774" spans="4:5" x14ac:dyDescent="0.25">
      <c r="D774" t="s">
        <v>126</v>
      </c>
      <c r="E774" s="24">
        <v>45082</v>
      </c>
    </row>
    <row r="775" spans="4:5" x14ac:dyDescent="0.25">
      <c r="D775" t="s">
        <v>127</v>
      </c>
      <c r="E775" s="24">
        <v>45082</v>
      </c>
    </row>
    <row r="776" spans="4:5" x14ac:dyDescent="0.25">
      <c r="D776" t="s">
        <v>128</v>
      </c>
      <c r="E776" s="24">
        <v>45082</v>
      </c>
    </row>
    <row r="777" spans="4:5" x14ac:dyDescent="0.25">
      <c r="D777" t="s">
        <v>129</v>
      </c>
      <c r="E777" s="24">
        <v>45082</v>
      </c>
    </row>
    <row r="778" spans="4:5" x14ac:dyDescent="0.25">
      <c r="D778" t="s">
        <v>130</v>
      </c>
      <c r="E778" s="24">
        <v>45082</v>
      </c>
    </row>
    <row r="779" spans="4:5" x14ac:dyDescent="0.25">
      <c r="D779" t="s">
        <v>131</v>
      </c>
      <c r="E779" s="24">
        <v>45082</v>
      </c>
    </row>
    <row r="780" spans="4:5" x14ac:dyDescent="0.25">
      <c r="D780" t="s">
        <v>132</v>
      </c>
      <c r="E780" s="24">
        <v>45082</v>
      </c>
    </row>
    <row r="781" spans="4:5" x14ac:dyDescent="0.25">
      <c r="D781" t="s">
        <v>133</v>
      </c>
      <c r="E781" s="24">
        <v>45082</v>
      </c>
    </row>
    <row r="782" spans="4:5" x14ac:dyDescent="0.25">
      <c r="D782" t="s">
        <v>134</v>
      </c>
      <c r="E782" s="24">
        <v>45082</v>
      </c>
    </row>
    <row r="783" spans="4:5" x14ac:dyDescent="0.25">
      <c r="D783" t="s">
        <v>135</v>
      </c>
      <c r="E783" s="24">
        <v>45082</v>
      </c>
    </row>
    <row r="784" spans="4:5" x14ac:dyDescent="0.25">
      <c r="D784" t="s">
        <v>136</v>
      </c>
      <c r="E784" s="24">
        <v>45082</v>
      </c>
    </row>
    <row r="785" spans="4:5" x14ac:dyDescent="0.25">
      <c r="D785" t="s">
        <v>137</v>
      </c>
      <c r="E785" s="24">
        <v>45082</v>
      </c>
    </row>
    <row r="786" spans="4:5" x14ac:dyDescent="0.25">
      <c r="D786" t="s">
        <v>138</v>
      </c>
      <c r="E786" s="24">
        <v>45082</v>
      </c>
    </row>
    <row r="787" spans="4:5" x14ac:dyDescent="0.25">
      <c r="D787" t="s">
        <v>139</v>
      </c>
      <c r="E787" s="24">
        <v>45082</v>
      </c>
    </row>
    <row r="788" spans="4:5" x14ac:dyDescent="0.25">
      <c r="D788" t="s">
        <v>140</v>
      </c>
      <c r="E788" s="24">
        <v>45082</v>
      </c>
    </row>
    <row r="789" spans="4:5" x14ac:dyDescent="0.25">
      <c r="D789" t="s">
        <v>141</v>
      </c>
      <c r="E789" s="24">
        <v>45082</v>
      </c>
    </row>
    <row r="790" spans="4:5" x14ac:dyDescent="0.25">
      <c r="D790" t="s">
        <v>142</v>
      </c>
      <c r="E790" s="24">
        <v>45082</v>
      </c>
    </row>
    <row r="791" spans="4:5" x14ac:dyDescent="0.25">
      <c r="D791" t="s">
        <v>143</v>
      </c>
      <c r="E791" s="24">
        <v>45082</v>
      </c>
    </row>
    <row r="792" spans="4:5" x14ac:dyDescent="0.25">
      <c r="E792" s="24"/>
    </row>
    <row r="793" spans="4:5" x14ac:dyDescent="0.25">
      <c r="E793" s="24"/>
    </row>
    <row r="794" spans="4:5" x14ac:dyDescent="0.25">
      <c r="E794" s="24"/>
    </row>
    <row r="795" spans="4:5" x14ac:dyDescent="0.25">
      <c r="E795" s="24"/>
    </row>
    <row r="796" spans="4:5" x14ac:dyDescent="0.25">
      <c r="E796" s="24"/>
    </row>
    <row r="797" spans="4:5" x14ac:dyDescent="0.25">
      <c r="E797" s="24"/>
    </row>
    <row r="798" spans="4:5" x14ac:dyDescent="0.25">
      <c r="E798" s="24"/>
    </row>
    <row r="799" spans="4:5" x14ac:dyDescent="0.25">
      <c r="E799" s="24"/>
    </row>
    <row r="800" spans="4:5" x14ac:dyDescent="0.25">
      <c r="E800" s="24"/>
    </row>
    <row r="801" spans="5:5" x14ac:dyDescent="0.25">
      <c r="E801" s="24"/>
    </row>
    <row r="802" spans="5:5" x14ac:dyDescent="0.25">
      <c r="E802" s="24"/>
    </row>
    <row r="803" spans="5:5" x14ac:dyDescent="0.25">
      <c r="E803" s="24"/>
    </row>
    <row r="804" spans="5:5" x14ac:dyDescent="0.25">
      <c r="E804" s="24"/>
    </row>
    <row r="805" spans="5:5" x14ac:dyDescent="0.25">
      <c r="E805" s="24"/>
    </row>
    <row r="806" spans="5:5" x14ac:dyDescent="0.25">
      <c r="E806" s="24"/>
    </row>
    <row r="807" spans="5:5" x14ac:dyDescent="0.25">
      <c r="E807" s="24"/>
    </row>
    <row r="808" spans="5:5" x14ac:dyDescent="0.25">
      <c r="E808" s="24"/>
    </row>
    <row r="809" spans="5:5" x14ac:dyDescent="0.25">
      <c r="E809" s="24"/>
    </row>
    <row r="810" spans="5:5" x14ac:dyDescent="0.25">
      <c r="E810" s="24"/>
    </row>
    <row r="811" spans="5:5" x14ac:dyDescent="0.25">
      <c r="E811" s="24"/>
    </row>
    <row r="812" spans="5:5" x14ac:dyDescent="0.25">
      <c r="E812" s="24"/>
    </row>
    <row r="813" spans="5:5" x14ac:dyDescent="0.25">
      <c r="E813" s="24"/>
    </row>
    <row r="814" spans="5:5" x14ac:dyDescent="0.25">
      <c r="E814" s="24"/>
    </row>
    <row r="815" spans="5:5" x14ac:dyDescent="0.25">
      <c r="E815" s="24"/>
    </row>
    <row r="816" spans="5:5" x14ac:dyDescent="0.25">
      <c r="E816" s="24"/>
    </row>
    <row r="817" spans="5:5" x14ac:dyDescent="0.25">
      <c r="E817" s="24"/>
    </row>
    <row r="818" spans="5:5" x14ac:dyDescent="0.25">
      <c r="E818" s="24"/>
    </row>
    <row r="819" spans="5:5" x14ac:dyDescent="0.25">
      <c r="E819" s="24"/>
    </row>
    <row r="820" spans="5:5" x14ac:dyDescent="0.25">
      <c r="E820" s="24"/>
    </row>
    <row r="821" spans="5:5" x14ac:dyDescent="0.25">
      <c r="E821" s="24"/>
    </row>
    <row r="822" spans="5:5" x14ac:dyDescent="0.25">
      <c r="E822" s="24"/>
    </row>
    <row r="823" spans="5:5" x14ac:dyDescent="0.25">
      <c r="E823" s="24"/>
    </row>
    <row r="824" spans="5:5" x14ac:dyDescent="0.25">
      <c r="E824" s="24"/>
    </row>
    <row r="825" spans="5:5" x14ac:dyDescent="0.25">
      <c r="E825" s="24"/>
    </row>
    <row r="826" spans="5:5" x14ac:dyDescent="0.25">
      <c r="E826" s="24"/>
    </row>
    <row r="827" spans="5:5" x14ac:dyDescent="0.25">
      <c r="E827" s="24"/>
    </row>
    <row r="828" spans="5:5" x14ac:dyDescent="0.25">
      <c r="E828" s="24"/>
    </row>
    <row r="829" spans="5:5" x14ac:dyDescent="0.25">
      <c r="E829" s="24"/>
    </row>
    <row r="830" spans="5:5" x14ac:dyDescent="0.25">
      <c r="E830" s="24"/>
    </row>
    <row r="831" spans="5:5" x14ac:dyDescent="0.25">
      <c r="E831" s="24"/>
    </row>
    <row r="832" spans="5:5" x14ac:dyDescent="0.25">
      <c r="E832" s="24"/>
    </row>
    <row r="833" spans="5:5" x14ac:dyDescent="0.25">
      <c r="E833" s="24"/>
    </row>
    <row r="834" spans="5:5" x14ac:dyDescent="0.25">
      <c r="E834" s="24"/>
    </row>
    <row r="835" spans="5:5" x14ac:dyDescent="0.25">
      <c r="E835" s="24"/>
    </row>
    <row r="836" spans="5:5" x14ac:dyDescent="0.25">
      <c r="E836" s="24"/>
    </row>
    <row r="837" spans="5:5" x14ac:dyDescent="0.25">
      <c r="E837" s="24"/>
    </row>
    <row r="838" spans="5:5" x14ac:dyDescent="0.25">
      <c r="E838" s="24"/>
    </row>
    <row r="839" spans="5:5" x14ac:dyDescent="0.25">
      <c r="E839" s="24"/>
    </row>
    <row r="840" spans="5:5" x14ac:dyDescent="0.25">
      <c r="E840" s="24"/>
    </row>
    <row r="841" spans="5:5" x14ac:dyDescent="0.25">
      <c r="E841" s="24"/>
    </row>
    <row r="842" spans="5:5" x14ac:dyDescent="0.25">
      <c r="E842" s="24"/>
    </row>
    <row r="843" spans="5:5" x14ac:dyDescent="0.25">
      <c r="E843" s="24"/>
    </row>
    <row r="844" spans="5:5" x14ac:dyDescent="0.25">
      <c r="E844" s="24"/>
    </row>
    <row r="845" spans="5:5" x14ac:dyDescent="0.25">
      <c r="E845" s="24"/>
    </row>
    <row r="846" spans="5:5" x14ac:dyDescent="0.25">
      <c r="E846" s="24"/>
    </row>
    <row r="847" spans="5:5" x14ac:dyDescent="0.25">
      <c r="E847" s="24"/>
    </row>
    <row r="848" spans="5:5" x14ac:dyDescent="0.25">
      <c r="E848" s="24"/>
    </row>
    <row r="849" spans="5:5" x14ac:dyDescent="0.25">
      <c r="E849" s="24"/>
    </row>
    <row r="850" spans="5:5" x14ac:dyDescent="0.25">
      <c r="E850" s="24"/>
    </row>
    <row r="851" spans="5:5" x14ac:dyDescent="0.25">
      <c r="E851" s="24"/>
    </row>
    <row r="852" spans="5:5" x14ac:dyDescent="0.25">
      <c r="E852" s="24"/>
    </row>
    <row r="853" spans="5:5" x14ac:dyDescent="0.25">
      <c r="E853" s="24"/>
    </row>
    <row r="854" spans="5:5" x14ac:dyDescent="0.25">
      <c r="E854" s="24"/>
    </row>
    <row r="855" spans="5:5" x14ac:dyDescent="0.25">
      <c r="E855" s="24"/>
    </row>
    <row r="856" spans="5:5" x14ac:dyDescent="0.25">
      <c r="E856" s="24"/>
    </row>
    <row r="857" spans="5:5" x14ac:dyDescent="0.25">
      <c r="E857" s="24"/>
    </row>
    <row r="858" spans="5:5" x14ac:dyDescent="0.25">
      <c r="E858" s="24"/>
    </row>
    <row r="859" spans="5:5" x14ac:dyDescent="0.25">
      <c r="E859" s="24"/>
    </row>
    <row r="860" spans="5:5" x14ac:dyDescent="0.25">
      <c r="E860" s="24"/>
    </row>
    <row r="861" spans="5:5" x14ac:dyDescent="0.25">
      <c r="E861" s="24"/>
    </row>
    <row r="862" spans="5:5" x14ac:dyDescent="0.25">
      <c r="E862" s="24"/>
    </row>
    <row r="863" spans="5:5" x14ac:dyDescent="0.25">
      <c r="E863" s="24"/>
    </row>
    <row r="864" spans="5:5" x14ac:dyDescent="0.25">
      <c r="E864" s="24"/>
    </row>
    <row r="865" spans="5:5" x14ac:dyDescent="0.25">
      <c r="E865" s="24"/>
    </row>
    <row r="866" spans="5:5" x14ac:dyDescent="0.25">
      <c r="E866" s="24"/>
    </row>
    <row r="867" spans="5:5" x14ac:dyDescent="0.25">
      <c r="E867" s="24"/>
    </row>
    <row r="868" spans="5:5" x14ac:dyDescent="0.25">
      <c r="E868" s="24"/>
    </row>
    <row r="869" spans="5:5" x14ac:dyDescent="0.25">
      <c r="E869" s="24"/>
    </row>
    <row r="870" spans="5:5" x14ac:dyDescent="0.25">
      <c r="E870" s="24"/>
    </row>
    <row r="871" spans="5:5" x14ac:dyDescent="0.25">
      <c r="E871" s="24"/>
    </row>
    <row r="872" spans="5:5" x14ac:dyDescent="0.25">
      <c r="E872" s="24"/>
    </row>
    <row r="873" spans="5:5" x14ac:dyDescent="0.25">
      <c r="E873" s="24"/>
    </row>
    <row r="874" spans="5:5" x14ac:dyDescent="0.25">
      <c r="E874" s="24"/>
    </row>
    <row r="875" spans="5:5" x14ac:dyDescent="0.25">
      <c r="E875" s="24"/>
    </row>
    <row r="876" spans="5:5" x14ac:dyDescent="0.25">
      <c r="E876" s="24"/>
    </row>
    <row r="877" spans="5:5" x14ac:dyDescent="0.25">
      <c r="E877" s="24"/>
    </row>
    <row r="878" spans="5:5" x14ac:dyDescent="0.25">
      <c r="E878" s="24"/>
    </row>
    <row r="879" spans="5:5" x14ac:dyDescent="0.25">
      <c r="E879" s="24"/>
    </row>
    <row r="880" spans="5:5" x14ac:dyDescent="0.25">
      <c r="E880" s="24"/>
    </row>
    <row r="881" spans="5:5" x14ac:dyDescent="0.25">
      <c r="E881" s="24"/>
    </row>
    <row r="882" spans="5:5" x14ac:dyDescent="0.25">
      <c r="E882" s="24"/>
    </row>
    <row r="883" spans="5:5" x14ac:dyDescent="0.25">
      <c r="E883" s="24"/>
    </row>
    <row r="884" spans="5:5" x14ac:dyDescent="0.25">
      <c r="E884" s="24"/>
    </row>
    <row r="885" spans="5:5" x14ac:dyDescent="0.25">
      <c r="E885" s="24"/>
    </row>
    <row r="886" spans="5:5" x14ac:dyDescent="0.25">
      <c r="E886" s="24"/>
    </row>
    <row r="887" spans="5:5" x14ac:dyDescent="0.25">
      <c r="E887" s="24"/>
    </row>
    <row r="888" spans="5:5" x14ac:dyDescent="0.25">
      <c r="E888" s="24"/>
    </row>
    <row r="889" spans="5:5" x14ac:dyDescent="0.25">
      <c r="E889" s="24"/>
    </row>
    <row r="890" spans="5:5" x14ac:dyDescent="0.25">
      <c r="E890" s="24"/>
    </row>
    <row r="891" spans="5:5" x14ac:dyDescent="0.25">
      <c r="E891" s="24"/>
    </row>
    <row r="892" spans="5:5" x14ac:dyDescent="0.25">
      <c r="E892" s="24"/>
    </row>
    <row r="893" spans="5:5" x14ac:dyDescent="0.25">
      <c r="E893" s="24"/>
    </row>
    <row r="894" spans="5:5" x14ac:dyDescent="0.25">
      <c r="E894" s="24"/>
    </row>
    <row r="895" spans="5:5" x14ac:dyDescent="0.25">
      <c r="E895" s="24"/>
    </row>
    <row r="896" spans="5:5" x14ac:dyDescent="0.25">
      <c r="E896" s="24"/>
    </row>
    <row r="897" spans="5:5" x14ac:dyDescent="0.25">
      <c r="E897" s="24"/>
    </row>
    <row r="898" spans="5:5" x14ac:dyDescent="0.25">
      <c r="E898" s="24"/>
    </row>
    <row r="899" spans="5:5" x14ac:dyDescent="0.25">
      <c r="E899" s="24"/>
    </row>
    <row r="900" spans="5:5" x14ac:dyDescent="0.25">
      <c r="E900" s="24"/>
    </row>
    <row r="901" spans="5:5" x14ac:dyDescent="0.25">
      <c r="E901" s="24"/>
    </row>
    <row r="902" spans="5:5" x14ac:dyDescent="0.25">
      <c r="E902" s="24"/>
    </row>
    <row r="903" spans="5:5" x14ac:dyDescent="0.25">
      <c r="E903" s="24"/>
    </row>
    <row r="904" spans="5:5" x14ac:dyDescent="0.25">
      <c r="E904" s="24"/>
    </row>
    <row r="905" spans="5:5" x14ac:dyDescent="0.25">
      <c r="E905" s="24"/>
    </row>
    <row r="906" spans="5:5" x14ac:dyDescent="0.25">
      <c r="E906" s="24"/>
    </row>
    <row r="907" spans="5:5" x14ac:dyDescent="0.25">
      <c r="E907" s="24"/>
    </row>
    <row r="908" spans="5:5" x14ac:dyDescent="0.25">
      <c r="E908" s="24"/>
    </row>
    <row r="909" spans="5:5" x14ac:dyDescent="0.25">
      <c r="E909" s="24"/>
    </row>
    <row r="910" spans="5:5" x14ac:dyDescent="0.25">
      <c r="E910" s="24"/>
    </row>
    <row r="911" spans="5:5" x14ac:dyDescent="0.25">
      <c r="E911" s="24"/>
    </row>
    <row r="912" spans="5:5" x14ac:dyDescent="0.25">
      <c r="E912" s="24"/>
    </row>
    <row r="913" spans="5:5" x14ac:dyDescent="0.25">
      <c r="E913" s="24"/>
    </row>
    <row r="914" spans="5:5" x14ac:dyDescent="0.25">
      <c r="E914" s="24"/>
    </row>
    <row r="915" spans="5:5" x14ac:dyDescent="0.25">
      <c r="E915" s="24"/>
    </row>
    <row r="916" spans="5:5" x14ac:dyDescent="0.25">
      <c r="E916" s="24"/>
    </row>
    <row r="917" spans="5:5" x14ac:dyDescent="0.25">
      <c r="E917" s="24"/>
    </row>
    <row r="918" spans="5:5" x14ac:dyDescent="0.25">
      <c r="E918" s="24"/>
    </row>
    <row r="919" spans="5:5" x14ac:dyDescent="0.25">
      <c r="E919" s="24"/>
    </row>
    <row r="920" spans="5:5" x14ac:dyDescent="0.25">
      <c r="E920" s="24"/>
    </row>
    <row r="921" spans="5:5" x14ac:dyDescent="0.25">
      <c r="E921" s="24"/>
    </row>
    <row r="922" spans="5:5" x14ac:dyDescent="0.25">
      <c r="E922" s="24"/>
    </row>
    <row r="923" spans="5:5" x14ac:dyDescent="0.25">
      <c r="E923" s="24"/>
    </row>
    <row r="924" spans="5:5" x14ac:dyDescent="0.25">
      <c r="E924" s="24"/>
    </row>
    <row r="925" spans="5:5" x14ac:dyDescent="0.25">
      <c r="E925" s="24"/>
    </row>
    <row r="926" spans="5:5" x14ac:dyDescent="0.25">
      <c r="E926" s="24"/>
    </row>
    <row r="927" spans="5:5" x14ac:dyDescent="0.25">
      <c r="E927" s="24"/>
    </row>
    <row r="928" spans="5:5" x14ac:dyDescent="0.25">
      <c r="E928" s="24"/>
    </row>
    <row r="929" spans="5:5" x14ac:dyDescent="0.25">
      <c r="E929" s="24"/>
    </row>
    <row r="930" spans="5:5" x14ac:dyDescent="0.25">
      <c r="E930" s="24"/>
    </row>
    <row r="931" spans="5:5" x14ac:dyDescent="0.25">
      <c r="E931" s="24"/>
    </row>
    <row r="932" spans="5:5" x14ac:dyDescent="0.25">
      <c r="E932" s="24"/>
    </row>
    <row r="933" spans="5:5" x14ac:dyDescent="0.25">
      <c r="E933" s="24"/>
    </row>
    <row r="934" spans="5:5" x14ac:dyDescent="0.25">
      <c r="E934" s="24"/>
    </row>
    <row r="935" spans="5:5" x14ac:dyDescent="0.25">
      <c r="E935" s="24"/>
    </row>
    <row r="936" spans="5:5" x14ac:dyDescent="0.25">
      <c r="E936" s="24"/>
    </row>
    <row r="937" spans="5:5" x14ac:dyDescent="0.25">
      <c r="E937" s="24"/>
    </row>
    <row r="938" spans="5:5" x14ac:dyDescent="0.25">
      <c r="E938" s="24"/>
    </row>
    <row r="939" spans="5:5" x14ac:dyDescent="0.25">
      <c r="E939" s="24"/>
    </row>
    <row r="940" spans="5:5" x14ac:dyDescent="0.25">
      <c r="E940" s="24"/>
    </row>
    <row r="941" spans="5:5" x14ac:dyDescent="0.25">
      <c r="E941" s="24"/>
    </row>
    <row r="942" spans="5:5" x14ac:dyDescent="0.25">
      <c r="E942" s="24"/>
    </row>
    <row r="943" spans="5:5" x14ac:dyDescent="0.25">
      <c r="E943" s="24"/>
    </row>
    <row r="944" spans="5:5" x14ac:dyDescent="0.25">
      <c r="E944" s="24"/>
    </row>
    <row r="945" spans="5:5" x14ac:dyDescent="0.25">
      <c r="E945" s="24"/>
    </row>
    <row r="946" spans="5:5" x14ac:dyDescent="0.25">
      <c r="E946" s="24"/>
    </row>
    <row r="947" spans="5:5" x14ac:dyDescent="0.25">
      <c r="E947" s="24"/>
    </row>
    <row r="948" spans="5:5" x14ac:dyDescent="0.25">
      <c r="E948" s="24"/>
    </row>
    <row r="949" spans="5:5" x14ac:dyDescent="0.25">
      <c r="E949" s="24"/>
    </row>
    <row r="950" spans="5:5" x14ac:dyDescent="0.25">
      <c r="E950" s="24"/>
    </row>
    <row r="951" spans="5:5" x14ac:dyDescent="0.25">
      <c r="E951" s="24"/>
    </row>
    <row r="952" spans="5:5" x14ac:dyDescent="0.25">
      <c r="E952" s="24"/>
    </row>
    <row r="953" spans="5:5" x14ac:dyDescent="0.25">
      <c r="E953" s="24"/>
    </row>
    <row r="954" spans="5:5" x14ac:dyDescent="0.25">
      <c r="E954" s="24"/>
    </row>
    <row r="955" spans="5:5" x14ac:dyDescent="0.25">
      <c r="E955" s="24"/>
    </row>
    <row r="956" spans="5:5" x14ac:dyDescent="0.25">
      <c r="E956" s="24"/>
    </row>
    <row r="957" spans="5:5" x14ac:dyDescent="0.25">
      <c r="E957" s="24"/>
    </row>
    <row r="958" spans="5:5" x14ac:dyDescent="0.25">
      <c r="E958" s="24"/>
    </row>
    <row r="959" spans="5:5" x14ac:dyDescent="0.25">
      <c r="E959" s="24"/>
    </row>
    <row r="960" spans="5:5" x14ac:dyDescent="0.25">
      <c r="E960" s="24"/>
    </row>
    <row r="961" spans="5:5" x14ac:dyDescent="0.25">
      <c r="E961" s="24"/>
    </row>
    <row r="962" spans="5:5" x14ac:dyDescent="0.25">
      <c r="E962" s="24"/>
    </row>
    <row r="963" spans="5:5" x14ac:dyDescent="0.25">
      <c r="E963" s="24"/>
    </row>
    <row r="964" spans="5:5" x14ac:dyDescent="0.25">
      <c r="E964" s="24"/>
    </row>
    <row r="965" spans="5:5" x14ac:dyDescent="0.25">
      <c r="E965" s="24"/>
    </row>
    <row r="966" spans="5:5" x14ac:dyDescent="0.25">
      <c r="E966" s="24"/>
    </row>
    <row r="967" spans="5:5" x14ac:dyDescent="0.25">
      <c r="E967" s="24"/>
    </row>
    <row r="968" spans="5:5" x14ac:dyDescent="0.25">
      <c r="E968" s="24"/>
    </row>
    <row r="969" spans="5:5" x14ac:dyDescent="0.25">
      <c r="E969" s="24"/>
    </row>
    <row r="970" spans="5:5" x14ac:dyDescent="0.25">
      <c r="E970" s="24"/>
    </row>
    <row r="971" spans="5:5" x14ac:dyDescent="0.25">
      <c r="E971" s="24"/>
    </row>
    <row r="972" spans="5:5" x14ac:dyDescent="0.25">
      <c r="E972" s="24"/>
    </row>
    <row r="973" spans="5:5" x14ac:dyDescent="0.25">
      <c r="E973" s="24"/>
    </row>
    <row r="974" spans="5:5" x14ac:dyDescent="0.25">
      <c r="E974" s="24"/>
    </row>
    <row r="975" spans="5:5" x14ac:dyDescent="0.25">
      <c r="E975" s="24"/>
    </row>
    <row r="976" spans="5:5" x14ac:dyDescent="0.25">
      <c r="E976" s="24"/>
    </row>
    <row r="977" spans="5:5" x14ac:dyDescent="0.25">
      <c r="E977" s="24"/>
    </row>
    <row r="978" spans="5:5" x14ac:dyDescent="0.25">
      <c r="E978" s="24"/>
    </row>
    <row r="979" spans="5:5" x14ac:dyDescent="0.25">
      <c r="E979" s="24"/>
    </row>
    <row r="980" spans="5:5" x14ac:dyDescent="0.25">
      <c r="E980" s="24"/>
    </row>
    <row r="981" spans="5:5" x14ac:dyDescent="0.25">
      <c r="E981" s="24"/>
    </row>
    <row r="982" spans="5:5" x14ac:dyDescent="0.25">
      <c r="E982" s="24"/>
    </row>
    <row r="983" spans="5:5" x14ac:dyDescent="0.25">
      <c r="E983" s="24"/>
    </row>
    <row r="984" spans="5:5" x14ac:dyDescent="0.25">
      <c r="E984" s="24"/>
    </row>
    <row r="985" spans="5:5" x14ac:dyDescent="0.25">
      <c r="E985" s="24"/>
    </row>
    <row r="986" spans="5:5" x14ac:dyDescent="0.25">
      <c r="E986" s="24"/>
    </row>
    <row r="987" spans="5:5" x14ac:dyDescent="0.25">
      <c r="E987" s="24"/>
    </row>
    <row r="988" spans="5:5" x14ac:dyDescent="0.25">
      <c r="E988" s="24"/>
    </row>
    <row r="989" spans="5:5" x14ac:dyDescent="0.25">
      <c r="E989" s="24"/>
    </row>
    <row r="990" spans="5:5" x14ac:dyDescent="0.25">
      <c r="E990" s="24"/>
    </row>
    <row r="991" spans="5:5" x14ac:dyDescent="0.25">
      <c r="E991" s="24"/>
    </row>
    <row r="992" spans="5:5" x14ac:dyDescent="0.25">
      <c r="E992" s="24"/>
    </row>
    <row r="993" spans="5:5" x14ac:dyDescent="0.25">
      <c r="E993" s="24"/>
    </row>
    <row r="994" spans="5:5" x14ac:dyDescent="0.25">
      <c r="E994" s="24"/>
    </row>
    <row r="995" spans="5:5" x14ac:dyDescent="0.25">
      <c r="E995" s="24"/>
    </row>
    <row r="996" spans="5:5" x14ac:dyDescent="0.25">
      <c r="E996" s="24"/>
    </row>
    <row r="997" spans="5:5" x14ac:dyDescent="0.25">
      <c r="E997" s="24"/>
    </row>
    <row r="998" spans="5:5" x14ac:dyDescent="0.25">
      <c r="E998" s="24"/>
    </row>
    <row r="999" spans="5:5" x14ac:dyDescent="0.25">
      <c r="E999" s="24"/>
    </row>
    <row r="1000" spans="5:5" x14ac:dyDescent="0.25">
      <c r="E1000" s="24"/>
    </row>
    <row r="1001" spans="5:5" x14ac:dyDescent="0.25">
      <c r="E1001" s="24"/>
    </row>
    <row r="1002" spans="5:5" x14ac:dyDescent="0.25">
      <c r="E1002" s="24"/>
    </row>
    <row r="1003" spans="5:5" x14ac:dyDescent="0.25">
      <c r="E1003" s="24"/>
    </row>
    <row r="1004" spans="5:5" x14ac:dyDescent="0.25">
      <c r="E1004" s="24"/>
    </row>
    <row r="1005" spans="5:5" x14ac:dyDescent="0.25">
      <c r="E1005" s="24"/>
    </row>
    <row r="1006" spans="5:5" x14ac:dyDescent="0.25">
      <c r="E1006" s="24"/>
    </row>
    <row r="1007" spans="5:5" x14ac:dyDescent="0.25">
      <c r="E1007" s="24"/>
    </row>
    <row r="1008" spans="5:5" x14ac:dyDescent="0.25">
      <c r="E1008" s="24"/>
    </row>
    <row r="1009" spans="5:5" x14ac:dyDescent="0.25">
      <c r="E1009" s="24"/>
    </row>
    <row r="1010" spans="5:5" x14ac:dyDescent="0.25">
      <c r="E1010" s="24"/>
    </row>
    <row r="1011" spans="5:5" x14ac:dyDescent="0.25">
      <c r="E1011" s="24"/>
    </row>
    <row r="1012" spans="5:5" x14ac:dyDescent="0.25">
      <c r="E1012" s="24"/>
    </row>
    <row r="1013" spans="5:5" x14ac:dyDescent="0.25">
      <c r="E1013" s="24"/>
    </row>
    <row r="1014" spans="5:5" x14ac:dyDescent="0.25">
      <c r="E1014" s="24"/>
    </row>
    <row r="1015" spans="5:5" x14ac:dyDescent="0.25">
      <c r="E1015" s="24"/>
    </row>
    <row r="1016" spans="5:5" x14ac:dyDescent="0.25">
      <c r="E1016" s="24"/>
    </row>
    <row r="1017" spans="5:5" x14ac:dyDescent="0.25">
      <c r="E1017" s="24"/>
    </row>
    <row r="1018" spans="5:5" x14ac:dyDescent="0.25">
      <c r="E1018" s="24"/>
    </row>
    <row r="1019" spans="5:5" x14ac:dyDescent="0.25">
      <c r="E1019" s="24"/>
    </row>
    <row r="1020" spans="5:5" x14ac:dyDescent="0.25">
      <c r="E1020" s="24"/>
    </row>
    <row r="1021" spans="5:5" x14ac:dyDescent="0.25">
      <c r="E1021" s="24"/>
    </row>
    <row r="1022" spans="5:5" x14ac:dyDescent="0.25">
      <c r="E1022" s="24"/>
    </row>
    <row r="1023" spans="5:5" x14ac:dyDescent="0.25">
      <c r="E1023" s="24"/>
    </row>
    <row r="1024" spans="5:5" x14ac:dyDescent="0.25">
      <c r="E1024" s="24"/>
    </row>
    <row r="1025" spans="5:5" x14ac:dyDescent="0.25">
      <c r="E1025" s="24"/>
    </row>
    <row r="1026" spans="5:5" x14ac:dyDescent="0.25">
      <c r="E1026" s="24"/>
    </row>
    <row r="1027" spans="5:5" x14ac:dyDescent="0.25">
      <c r="E1027" s="24"/>
    </row>
    <row r="1028" spans="5:5" x14ac:dyDescent="0.25">
      <c r="E1028" s="24"/>
    </row>
    <row r="1029" spans="5:5" x14ac:dyDescent="0.25">
      <c r="E1029" s="24"/>
    </row>
    <row r="1030" spans="5:5" x14ac:dyDescent="0.25">
      <c r="E1030" s="24"/>
    </row>
    <row r="1031" spans="5:5" x14ac:dyDescent="0.25">
      <c r="E1031" s="24"/>
    </row>
    <row r="1032" spans="5:5" x14ac:dyDescent="0.25">
      <c r="E1032" s="24"/>
    </row>
    <row r="1033" spans="5:5" x14ac:dyDescent="0.25">
      <c r="E1033" s="24"/>
    </row>
    <row r="1034" spans="5:5" x14ac:dyDescent="0.25">
      <c r="E1034" s="24"/>
    </row>
    <row r="1035" spans="5:5" x14ac:dyDescent="0.25">
      <c r="E1035" s="24"/>
    </row>
    <row r="1036" spans="5:5" x14ac:dyDescent="0.25">
      <c r="E1036" s="24"/>
    </row>
    <row r="1037" spans="5:5" x14ac:dyDescent="0.25">
      <c r="E1037" s="24"/>
    </row>
    <row r="1038" spans="5:5" x14ac:dyDescent="0.25">
      <c r="E1038" s="24"/>
    </row>
    <row r="1039" spans="5:5" x14ac:dyDescent="0.25">
      <c r="E1039" s="24"/>
    </row>
    <row r="1040" spans="5:5" x14ac:dyDescent="0.25">
      <c r="E1040" s="24"/>
    </row>
    <row r="1041" spans="5:5" x14ac:dyDescent="0.25">
      <c r="E1041" s="24"/>
    </row>
    <row r="1042" spans="5:5" x14ac:dyDescent="0.25">
      <c r="E1042" s="24"/>
    </row>
    <row r="1043" spans="5:5" x14ac:dyDescent="0.25">
      <c r="E1043" s="24"/>
    </row>
    <row r="1044" spans="5:5" x14ac:dyDescent="0.25">
      <c r="E1044" s="24"/>
    </row>
    <row r="1045" spans="5:5" x14ac:dyDescent="0.25">
      <c r="E1045" s="24"/>
    </row>
    <row r="1046" spans="5:5" x14ac:dyDescent="0.25">
      <c r="E1046" s="24"/>
    </row>
    <row r="1047" spans="5:5" x14ac:dyDescent="0.25">
      <c r="E1047" s="24"/>
    </row>
    <row r="1048" spans="5:5" x14ac:dyDescent="0.25">
      <c r="E1048" s="24"/>
    </row>
    <row r="1049" spans="5:5" x14ac:dyDescent="0.25">
      <c r="E1049" s="24"/>
    </row>
    <row r="1050" spans="5:5" x14ac:dyDescent="0.25">
      <c r="E1050" s="24"/>
    </row>
    <row r="1051" spans="5:5" x14ac:dyDescent="0.25">
      <c r="E1051" s="24"/>
    </row>
    <row r="1052" spans="5:5" x14ac:dyDescent="0.25">
      <c r="E1052" s="24"/>
    </row>
    <row r="1053" spans="5:5" x14ac:dyDescent="0.25">
      <c r="E1053" s="24"/>
    </row>
    <row r="1054" spans="5:5" x14ac:dyDescent="0.25">
      <c r="E1054" s="24"/>
    </row>
    <row r="1055" spans="5:5" x14ac:dyDescent="0.25">
      <c r="E1055" s="24"/>
    </row>
    <row r="1056" spans="5:5" x14ac:dyDescent="0.25">
      <c r="E1056" s="24"/>
    </row>
    <row r="1057" spans="5:5" x14ac:dyDescent="0.25">
      <c r="E1057" s="24"/>
    </row>
    <row r="1058" spans="5:5" x14ac:dyDescent="0.25">
      <c r="E1058" s="24"/>
    </row>
    <row r="1059" spans="5:5" x14ac:dyDescent="0.25">
      <c r="E1059" s="24"/>
    </row>
    <row r="1060" spans="5:5" x14ac:dyDescent="0.25">
      <c r="E1060" s="24"/>
    </row>
    <row r="1061" spans="5:5" x14ac:dyDescent="0.25">
      <c r="E1061" s="24"/>
    </row>
    <row r="1062" spans="5:5" x14ac:dyDescent="0.25">
      <c r="E1062" s="24"/>
    </row>
    <row r="1063" spans="5:5" x14ac:dyDescent="0.25">
      <c r="E1063" s="24"/>
    </row>
    <row r="1064" spans="5:5" x14ac:dyDescent="0.25">
      <c r="E1064" s="24"/>
    </row>
    <row r="1065" spans="5:5" x14ac:dyDescent="0.25">
      <c r="E1065" s="24"/>
    </row>
    <row r="1066" spans="5:5" x14ac:dyDescent="0.25">
      <c r="E1066" s="24"/>
    </row>
    <row r="1067" spans="5:5" x14ac:dyDescent="0.25">
      <c r="E1067" s="24"/>
    </row>
    <row r="1068" spans="5:5" x14ac:dyDescent="0.25">
      <c r="E1068" s="24"/>
    </row>
    <row r="1069" spans="5:5" x14ac:dyDescent="0.25">
      <c r="E1069" s="24"/>
    </row>
    <row r="1070" spans="5:5" x14ac:dyDescent="0.25">
      <c r="E1070" s="24"/>
    </row>
    <row r="1071" spans="5:5" x14ac:dyDescent="0.25">
      <c r="E1071" s="24"/>
    </row>
    <row r="1072" spans="5:5" x14ac:dyDescent="0.25">
      <c r="E1072" s="24"/>
    </row>
    <row r="1073" spans="5:5" x14ac:dyDescent="0.25">
      <c r="E1073" s="24"/>
    </row>
    <row r="1074" spans="5:5" x14ac:dyDescent="0.25">
      <c r="E1074" s="24"/>
    </row>
    <row r="1075" spans="5:5" x14ac:dyDescent="0.25">
      <c r="E1075" s="24"/>
    </row>
    <row r="1076" spans="5:5" x14ac:dyDescent="0.25">
      <c r="E1076" s="24"/>
    </row>
    <row r="1077" spans="5:5" x14ac:dyDescent="0.25">
      <c r="E1077" s="24"/>
    </row>
    <row r="1078" spans="5:5" x14ac:dyDescent="0.25">
      <c r="E1078" s="24"/>
    </row>
    <row r="1079" spans="5:5" x14ac:dyDescent="0.25">
      <c r="E1079" s="24"/>
    </row>
    <row r="1080" spans="5:5" x14ac:dyDescent="0.25">
      <c r="E1080" s="24"/>
    </row>
    <row r="1081" spans="5:5" x14ac:dyDescent="0.25">
      <c r="E1081" s="24"/>
    </row>
    <row r="1082" spans="5:5" x14ac:dyDescent="0.25">
      <c r="E1082" s="24"/>
    </row>
    <row r="1083" spans="5:5" x14ac:dyDescent="0.25">
      <c r="E1083" s="24"/>
    </row>
    <row r="1084" spans="5:5" x14ac:dyDescent="0.25">
      <c r="E1084" s="24"/>
    </row>
    <row r="1085" spans="5:5" x14ac:dyDescent="0.25">
      <c r="E1085" s="24"/>
    </row>
    <row r="1086" spans="5:5" x14ac:dyDescent="0.25">
      <c r="E1086" s="24"/>
    </row>
    <row r="1087" spans="5:5" x14ac:dyDescent="0.25">
      <c r="E1087" s="24"/>
    </row>
    <row r="1088" spans="5:5" x14ac:dyDescent="0.25">
      <c r="E1088" s="24"/>
    </row>
    <row r="1089" spans="5:5" x14ac:dyDescent="0.25">
      <c r="E1089" s="24"/>
    </row>
    <row r="1090" spans="5:5" x14ac:dyDescent="0.25">
      <c r="E1090" s="24"/>
    </row>
    <row r="1091" spans="5:5" x14ac:dyDescent="0.25">
      <c r="E1091" s="24"/>
    </row>
    <row r="1092" spans="5:5" x14ac:dyDescent="0.25">
      <c r="E1092" s="24"/>
    </row>
    <row r="1093" spans="5:5" x14ac:dyDescent="0.25">
      <c r="E1093" s="24"/>
    </row>
    <row r="1094" spans="5:5" x14ac:dyDescent="0.25">
      <c r="E1094" s="24"/>
    </row>
    <row r="1095" spans="5:5" x14ac:dyDescent="0.25">
      <c r="E1095" s="24"/>
    </row>
    <row r="1096" spans="5:5" x14ac:dyDescent="0.25">
      <c r="E1096" s="24"/>
    </row>
    <row r="1097" spans="5:5" x14ac:dyDescent="0.25">
      <c r="E1097" s="24"/>
    </row>
    <row r="1098" spans="5:5" x14ac:dyDescent="0.25">
      <c r="E1098" s="24"/>
    </row>
    <row r="1099" spans="5:5" x14ac:dyDescent="0.25">
      <c r="E1099" s="24"/>
    </row>
    <row r="1100" spans="5:5" x14ac:dyDescent="0.25">
      <c r="E1100" s="24"/>
    </row>
    <row r="1101" spans="5:5" x14ac:dyDescent="0.25">
      <c r="E1101" s="24"/>
    </row>
    <row r="1102" spans="5:5" x14ac:dyDescent="0.25">
      <c r="E1102" s="24"/>
    </row>
    <row r="1103" spans="5:5" x14ac:dyDescent="0.25">
      <c r="E1103" s="24"/>
    </row>
    <row r="1104" spans="5:5" x14ac:dyDescent="0.25">
      <c r="E1104" s="24"/>
    </row>
    <row r="1105" spans="5:5" x14ac:dyDescent="0.25">
      <c r="E1105" s="24"/>
    </row>
    <row r="1106" spans="5:5" x14ac:dyDescent="0.25">
      <c r="E1106" s="24"/>
    </row>
    <row r="1107" spans="5:5" x14ac:dyDescent="0.25">
      <c r="E1107" s="24"/>
    </row>
    <row r="1108" spans="5:5" x14ac:dyDescent="0.25">
      <c r="E1108" s="24"/>
    </row>
    <row r="1109" spans="5:5" x14ac:dyDescent="0.25">
      <c r="E1109" s="24"/>
    </row>
    <row r="1110" spans="5:5" x14ac:dyDescent="0.25">
      <c r="E1110" s="24"/>
    </row>
    <row r="1111" spans="5:5" x14ac:dyDescent="0.25">
      <c r="E1111" s="24"/>
    </row>
    <row r="1112" spans="5:5" x14ac:dyDescent="0.25">
      <c r="E1112" s="24"/>
    </row>
    <row r="1113" spans="5:5" x14ac:dyDescent="0.25">
      <c r="E1113" s="24"/>
    </row>
    <row r="1114" spans="5:5" x14ac:dyDescent="0.25">
      <c r="E1114" s="24"/>
    </row>
    <row r="1115" spans="5:5" x14ac:dyDescent="0.25">
      <c r="E1115" s="24"/>
    </row>
    <row r="1116" spans="5:5" x14ac:dyDescent="0.25">
      <c r="E1116" s="24"/>
    </row>
    <row r="1117" spans="5:5" x14ac:dyDescent="0.25">
      <c r="E1117" s="24"/>
    </row>
    <row r="1118" spans="5:5" x14ac:dyDescent="0.25">
      <c r="E1118" s="24"/>
    </row>
    <row r="1119" spans="5:5" x14ac:dyDescent="0.25">
      <c r="E1119" s="24"/>
    </row>
    <row r="1120" spans="5:5" x14ac:dyDescent="0.25">
      <c r="E1120" s="24"/>
    </row>
    <row r="1121" spans="5:5" x14ac:dyDescent="0.25">
      <c r="E1121" s="24"/>
    </row>
    <row r="1122" spans="5:5" x14ac:dyDescent="0.25">
      <c r="E1122" s="24"/>
    </row>
    <row r="1123" spans="5:5" x14ac:dyDescent="0.25">
      <c r="E1123" s="24"/>
    </row>
    <row r="1124" spans="5:5" x14ac:dyDescent="0.25">
      <c r="E1124" s="24"/>
    </row>
    <row r="1125" spans="5:5" x14ac:dyDescent="0.25">
      <c r="E1125" s="24"/>
    </row>
    <row r="1126" spans="5:5" x14ac:dyDescent="0.25">
      <c r="E1126" s="24"/>
    </row>
    <row r="1127" spans="5:5" x14ac:dyDescent="0.25">
      <c r="E1127" s="24"/>
    </row>
    <row r="1128" spans="5:5" x14ac:dyDescent="0.25">
      <c r="E1128" s="24"/>
    </row>
    <row r="1129" spans="5:5" x14ac:dyDescent="0.25">
      <c r="E1129" s="24"/>
    </row>
    <row r="1130" spans="5:5" x14ac:dyDescent="0.25">
      <c r="E1130" s="24"/>
    </row>
    <row r="1131" spans="5:5" x14ac:dyDescent="0.25">
      <c r="E1131" s="24"/>
    </row>
    <row r="1132" spans="5:5" x14ac:dyDescent="0.25">
      <c r="E1132" s="24"/>
    </row>
    <row r="1133" spans="5:5" x14ac:dyDescent="0.25">
      <c r="E1133" s="24"/>
    </row>
    <row r="1134" spans="5:5" x14ac:dyDescent="0.25">
      <c r="E1134" s="24"/>
    </row>
    <row r="1135" spans="5:5" x14ac:dyDescent="0.25">
      <c r="E1135" s="24"/>
    </row>
    <row r="1136" spans="5:5" x14ac:dyDescent="0.25">
      <c r="E1136" s="24"/>
    </row>
    <row r="1137" spans="5:5" x14ac:dyDescent="0.25">
      <c r="E1137" s="24"/>
    </row>
    <row r="1138" spans="5:5" x14ac:dyDescent="0.25">
      <c r="E1138" s="24"/>
    </row>
    <row r="1139" spans="5:5" x14ac:dyDescent="0.25">
      <c r="E1139" s="24"/>
    </row>
    <row r="1140" spans="5:5" x14ac:dyDescent="0.25">
      <c r="E1140" s="24"/>
    </row>
    <row r="1141" spans="5:5" x14ac:dyDescent="0.25">
      <c r="E1141" s="24"/>
    </row>
    <row r="1142" spans="5:5" x14ac:dyDescent="0.25">
      <c r="E1142" s="24"/>
    </row>
    <row r="1143" spans="5:5" x14ac:dyDescent="0.25">
      <c r="E1143" s="24"/>
    </row>
    <row r="1144" spans="5:5" x14ac:dyDescent="0.25">
      <c r="E1144" s="24"/>
    </row>
    <row r="1145" spans="5:5" x14ac:dyDescent="0.25">
      <c r="E1145" s="24"/>
    </row>
    <row r="1146" spans="5:5" x14ac:dyDescent="0.25">
      <c r="E1146" s="24"/>
    </row>
    <row r="1147" spans="5:5" x14ac:dyDescent="0.25">
      <c r="E1147" s="24"/>
    </row>
    <row r="1148" spans="5:5" x14ac:dyDescent="0.25">
      <c r="E1148" s="24"/>
    </row>
    <row r="1149" spans="5:5" x14ac:dyDescent="0.25">
      <c r="E1149" s="24"/>
    </row>
    <row r="1150" spans="5:5" x14ac:dyDescent="0.25">
      <c r="E1150" s="24"/>
    </row>
    <row r="1151" spans="5:5" x14ac:dyDescent="0.25">
      <c r="E1151" s="24"/>
    </row>
    <row r="1152" spans="5:5" x14ac:dyDescent="0.25">
      <c r="E1152" s="24"/>
    </row>
    <row r="1153" spans="5:5" x14ac:dyDescent="0.25">
      <c r="E1153" s="24"/>
    </row>
    <row r="1154" spans="5:5" x14ac:dyDescent="0.25">
      <c r="E1154" s="24"/>
    </row>
    <row r="1155" spans="5:5" x14ac:dyDescent="0.25">
      <c r="E1155" s="24"/>
    </row>
    <row r="1156" spans="5:5" x14ac:dyDescent="0.25">
      <c r="E1156" s="24"/>
    </row>
    <row r="1157" spans="5:5" x14ac:dyDescent="0.25">
      <c r="E1157" s="24"/>
    </row>
    <row r="1158" spans="5:5" x14ac:dyDescent="0.25">
      <c r="E1158" s="24"/>
    </row>
    <row r="1159" spans="5:5" x14ac:dyDescent="0.25">
      <c r="E1159" s="24"/>
    </row>
    <row r="1160" spans="5:5" x14ac:dyDescent="0.25">
      <c r="E1160" s="24"/>
    </row>
    <row r="1161" spans="5:5" x14ac:dyDescent="0.25">
      <c r="E1161" s="24"/>
    </row>
    <row r="1162" spans="5:5" x14ac:dyDescent="0.25">
      <c r="E1162" s="24"/>
    </row>
    <row r="1163" spans="5:5" x14ac:dyDescent="0.25">
      <c r="E1163" s="24"/>
    </row>
    <row r="1164" spans="5:5" x14ac:dyDescent="0.25">
      <c r="E1164" s="24"/>
    </row>
    <row r="1165" spans="5:5" x14ac:dyDescent="0.25">
      <c r="E1165" s="24"/>
    </row>
    <row r="1166" spans="5:5" x14ac:dyDescent="0.25">
      <c r="E1166" s="24"/>
    </row>
    <row r="1167" spans="5:5" x14ac:dyDescent="0.25">
      <c r="E1167" s="24"/>
    </row>
    <row r="1168" spans="5:5" x14ac:dyDescent="0.25">
      <c r="E1168" s="24"/>
    </row>
    <row r="1169" spans="5:5" x14ac:dyDescent="0.25">
      <c r="E1169" s="24"/>
    </row>
    <row r="1170" spans="5:5" x14ac:dyDescent="0.25">
      <c r="E1170" s="24"/>
    </row>
    <row r="1171" spans="5:5" x14ac:dyDescent="0.25">
      <c r="E1171" s="24"/>
    </row>
    <row r="1172" spans="5:5" x14ac:dyDescent="0.25">
      <c r="E1172" s="24"/>
    </row>
    <row r="1173" spans="5:5" x14ac:dyDescent="0.25">
      <c r="E1173" s="24"/>
    </row>
    <row r="1174" spans="5:5" x14ac:dyDescent="0.25">
      <c r="E1174" s="24"/>
    </row>
    <row r="1175" spans="5:5" x14ac:dyDescent="0.25">
      <c r="E1175" s="24"/>
    </row>
    <row r="1176" spans="5:5" x14ac:dyDescent="0.25">
      <c r="E1176" s="24"/>
    </row>
    <row r="1177" spans="5:5" x14ac:dyDescent="0.25">
      <c r="E1177" s="24"/>
    </row>
    <row r="1178" spans="5:5" x14ac:dyDescent="0.25">
      <c r="E1178" s="24"/>
    </row>
    <row r="1179" spans="5:5" x14ac:dyDescent="0.25">
      <c r="E1179" s="24"/>
    </row>
    <row r="1180" spans="5:5" x14ac:dyDescent="0.25">
      <c r="E1180" s="24"/>
    </row>
    <row r="1181" spans="5:5" x14ac:dyDescent="0.25">
      <c r="E1181" s="24"/>
    </row>
    <row r="1182" spans="5:5" x14ac:dyDescent="0.25">
      <c r="E1182" s="24"/>
    </row>
    <row r="1183" spans="5:5" x14ac:dyDescent="0.25">
      <c r="E1183" s="24"/>
    </row>
    <row r="1184" spans="5:5" x14ac:dyDescent="0.25">
      <c r="E1184" s="24"/>
    </row>
    <row r="1185" spans="5:5" x14ac:dyDescent="0.25">
      <c r="E1185" s="24"/>
    </row>
    <row r="1186" spans="5:5" x14ac:dyDescent="0.25">
      <c r="E1186" s="24"/>
    </row>
    <row r="1187" spans="5:5" x14ac:dyDescent="0.25">
      <c r="E1187" s="24"/>
    </row>
    <row r="1188" spans="5:5" x14ac:dyDescent="0.25">
      <c r="E1188" s="24"/>
    </row>
    <row r="1189" spans="5:5" x14ac:dyDescent="0.25">
      <c r="E1189" s="24"/>
    </row>
    <row r="1190" spans="5:5" x14ac:dyDescent="0.25">
      <c r="E1190" s="24"/>
    </row>
    <row r="1191" spans="5:5" x14ac:dyDescent="0.25">
      <c r="E1191" s="24"/>
    </row>
    <row r="1192" spans="5:5" x14ac:dyDescent="0.25">
      <c r="E1192" s="24"/>
    </row>
    <row r="1193" spans="5:5" x14ac:dyDescent="0.25">
      <c r="E1193" s="24"/>
    </row>
    <row r="1194" spans="5:5" x14ac:dyDescent="0.25">
      <c r="E1194" s="24"/>
    </row>
    <row r="1195" spans="5:5" x14ac:dyDescent="0.25">
      <c r="E1195" s="24"/>
    </row>
    <row r="1196" spans="5:5" x14ac:dyDescent="0.25">
      <c r="E1196" s="24"/>
    </row>
    <row r="1197" spans="5:5" x14ac:dyDescent="0.25">
      <c r="E1197" s="24"/>
    </row>
    <row r="1198" spans="5:5" x14ac:dyDescent="0.25">
      <c r="E1198" s="24"/>
    </row>
    <row r="1199" spans="5:5" x14ac:dyDescent="0.25">
      <c r="E1199" s="24"/>
    </row>
    <row r="1200" spans="5:5" x14ac:dyDescent="0.25">
      <c r="E1200" s="24"/>
    </row>
    <row r="1201" spans="5:5" x14ac:dyDescent="0.25">
      <c r="E1201" s="24"/>
    </row>
    <row r="1202" spans="5:5" x14ac:dyDescent="0.25">
      <c r="E1202" s="24"/>
    </row>
    <row r="1203" spans="5:5" x14ac:dyDescent="0.25">
      <c r="E1203" s="24"/>
    </row>
    <row r="1204" spans="5:5" x14ac:dyDescent="0.25">
      <c r="E1204" s="24"/>
    </row>
    <row r="1205" spans="5:5" x14ac:dyDescent="0.25">
      <c r="E1205" s="24"/>
    </row>
    <row r="1206" spans="5:5" x14ac:dyDescent="0.25">
      <c r="E1206" s="24"/>
    </row>
    <row r="1207" spans="5:5" x14ac:dyDescent="0.25">
      <c r="E1207" s="24"/>
    </row>
    <row r="1208" spans="5:5" x14ac:dyDescent="0.25">
      <c r="E1208" s="24"/>
    </row>
    <row r="1209" spans="5:5" x14ac:dyDescent="0.25">
      <c r="E1209" s="24"/>
    </row>
    <row r="1210" spans="5:5" x14ac:dyDescent="0.25">
      <c r="E1210" s="24"/>
    </row>
    <row r="1211" spans="5:5" x14ac:dyDescent="0.25">
      <c r="E1211" s="24"/>
    </row>
    <row r="1212" spans="5:5" x14ac:dyDescent="0.25">
      <c r="E1212" s="24"/>
    </row>
    <row r="1213" spans="5:5" x14ac:dyDescent="0.25">
      <c r="E1213" s="24"/>
    </row>
    <row r="1214" spans="5:5" x14ac:dyDescent="0.25">
      <c r="E1214" s="24"/>
    </row>
    <row r="1215" spans="5:5" x14ac:dyDescent="0.25">
      <c r="E1215" s="24"/>
    </row>
    <row r="1216" spans="5:5" x14ac:dyDescent="0.25">
      <c r="E1216" s="24"/>
    </row>
    <row r="1217" spans="5:5" x14ac:dyDescent="0.25">
      <c r="E1217" s="24"/>
    </row>
    <row r="1218" spans="5:5" x14ac:dyDescent="0.25">
      <c r="E1218" s="24"/>
    </row>
    <row r="1219" spans="5:5" x14ac:dyDescent="0.25">
      <c r="E1219" s="24"/>
    </row>
    <row r="1220" spans="5:5" x14ac:dyDescent="0.25">
      <c r="E1220" s="24"/>
    </row>
    <row r="1221" spans="5:5" x14ac:dyDescent="0.25">
      <c r="E1221" s="24"/>
    </row>
    <row r="1222" spans="5:5" x14ac:dyDescent="0.25">
      <c r="E1222" s="24"/>
    </row>
    <row r="1223" spans="5:5" x14ac:dyDescent="0.25">
      <c r="E1223" s="24"/>
    </row>
    <row r="1224" spans="5:5" x14ac:dyDescent="0.25">
      <c r="E1224" s="24"/>
    </row>
    <row r="1225" spans="5:5" x14ac:dyDescent="0.25">
      <c r="E1225" s="24"/>
    </row>
    <row r="1226" spans="5:5" x14ac:dyDescent="0.25">
      <c r="E1226" s="24"/>
    </row>
    <row r="1227" spans="5:5" x14ac:dyDescent="0.25">
      <c r="E1227" s="24"/>
    </row>
    <row r="1228" spans="5:5" x14ac:dyDescent="0.25">
      <c r="E1228" s="24"/>
    </row>
    <row r="1229" spans="5:5" x14ac:dyDescent="0.25">
      <c r="E1229" s="24"/>
    </row>
    <row r="1230" spans="5:5" x14ac:dyDescent="0.25">
      <c r="E1230" s="24"/>
    </row>
    <row r="1231" spans="5:5" x14ac:dyDescent="0.25">
      <c r="E1231" s="24"/>
    </row>
    <row r="1232" spans="5:5" x14ac:dyDescent="0.25">
      <c r="E1232" s="24"/>
    </row>
    <row r="1233" spans="5:5" x14ac:dyDescent="0.25">
      <c r="E1233" s="24"/>
    </row>
    <row r="1234" spans="5:5" x14ac:dyDescent="0.25">
      <c r="E1234" s="24"/>
    </row>
    <row r="1235" spans="5:5" x14ac:dyDescent="0.25">
      <c r="E1235" s="24"/>
    </row>
    <row r="1236" spans="5:5" x14ac:dyDescent="0.25">
      <c r="E1236" s="24"/>
    </row>
    <row r="1237" spans="5:5" x14ac:dyDescent="0.25">
      <c r="E1237" s="24"/>
    </row>
    <row r="1238" spans="5:5" x14ac:dyDescent="0.25">
      <c r="E1238" s="24"/>
    </row>
    <row r="1239" spans="5:5" x14ac:dyDescent="0.25">
      <c r="E1239" s="24"/>
    </row>
    <row r="1240" spans="5:5" x14ac:dyDescent="0.25">
      <c r="E1240" s="24"/>
    </row>
    <row r="1241" spans="5:5" x14ac:dyDescent="0.25">
      <c r="E1241" s="24"/>
    </row>
    <row r="1242" spans="5:5" x14ac:dyDescent="0.25">
      <c r="E1242" s="24"/>
    </row>
    <row r="1243" spans="5:5" x14ac:dyDescent="0.25">
      <c r="E1243" s="24"/>
    </row>
    <row r="1244" spans="5:5" x14ac:dyDescent="0.25">
      <c r="E1244" s="24"/>
    </row>
    <row r="1245" spans="5:5" x14ac:dyDescent="0.25">
      <c r="E1245" s="24"/>
    </row>
    <row r="1246" spans="5:5" x14ac:dyDescent="0.25">
      <c r="E1246" s="24"/>
    </row>
    <row r="1247" spans="5:5" x14ac:dyDescent="0.25">
      <c r="E1247" s="24"/>
    </row>
    <row r="1248" spans="5:5" x14ac:dyDescent="0.25">
      <c r="E1248" s="24"/>
    </row>
    <row r="1249" spans="5:5" x14ac:dyDescent="0.25">
      <c r="E1249" s="24"/>
    </row>
    <row r="1250" spans="5:5" x14ac:dyDescent="0.25">
      <c r="E1250" s="24"/>
    </row>
    <row r="1251" spans="5:5" x14ac:dyDescent="0.25">
      <c r="E1251" s="24"/>
    </row>
    <row r="1252" spans="5:5" x14ac:dyDescent="0.25">
      <c r="E1252" s="24"/>
    </row>
    <row r="1253" spans="5:5" x14ac:dyDescent="0.25">
      <c r="E1253" s="24"/>
    </row>
    <row r="1254" spans="5:5" x14ac:dyDescent="0.25">
      <c r="E1254" s="24"/>
    </row>
    <row r="1255" spans="5:5" x14ac:dyDescent="0.25">
      <c r="E1255" s="24"/>
    </row>
    <row r="1256" spans="5:5" x14ac:dyDescent="0.25">
      <c r="E1256" s="24"/>
    </row>
    <row r="1257" spans="5:5" x14ac:dyDescent="0.25">
      <c r="E1257" s="24"/>
    </row>
    <row r="1258" spans="5:5" x14ac:dyDescent="0.25">
      <c r="E1258" s="24"/>
    </row>
    <row r="1259" spans="5:5" x14ac:dyDescent="0.25">
      <c r="E1259" s="24"/>
    </row>
    <row r="1260" spans="5:5" x14ac:dyDescent="0.25">
      <c r="E1260" s="24"/>
    </row>
    <row r="1261" spans="5:5" x14ac:dyDescent="0.25">
      <c r="E1261" s="24"/>
    </row>
    <row r="1262" spans="5:5" x14ac:dyDescent="0.25">
      <c r="E1262" s="24"/>
    </row>
    <row r="1263" spans="5:5" x14ac:dyDescent="0.25">
      <c r="E1263" s="24"/>
    </row>
    <row r="1264" spans="5:5" x14ac:dyDescent="0.25">
      <c r="E1264" s="24"/>
    </row>
    <row r="1265" spans="5:5" x14ac:dyDescent="0.25">
      <c r="E1265" s="24"/>
    </row>
    <row r="1266" spans="5:5" x14ac:dyDescent="0.25">
      <c r="E1266" s="24"/>
    </row>
    <row r="1267" spans="5:5" x14ac:dyDescent="0.25">
      <c r="E1267" s="24"/>
    </row>
    <row r="1268" spans="5:5" x14ac:dyDescent="0.25">
      <c r="E1268" s="24"/>
    </row>
    <row r="1269" spans="5:5" x14ac:dyDescent="0.25">
      <c r="E1269" s="24"/>
    </row>
    <row r="1270" spans="5:5" x14ac:dyDescent="0.25">
      <c r="E1270" s="24"/>
    </row>
    <row r="1271" spans="5:5" x14ac:dyDescent="0.25">
      <c r="E1271" s="24"/>
    </row>
    <row r="1272" spans="5:5" x14ac:dyDescent="0.25">
      <c r="E1272" s="24"/>
    </row>
    <row r="1273" spans="5:5" x14ac:dyDescent="0.25">
      <c r="E1273" s="24"/>
    </row>
    <row r="1274" spans="5:5" x14ac:dyDescent="0.25">
      <c r="E1274" s="24"/>
    </row>
    <row r="1275" spans="5:5" x14ac:dyDescent="0.25">
      <c r="E1275" s="24"/>
    </row>
    <row r="1276" spans="5:5" x14ac:dyDescent="0.25">
      <c r="E1276" s="24"/>
    </row>
    <row r="1277" spans="5:5" x14ac:dyDescent="0.25">
      <c r="E1277" s="24"/>
    </row>
    <row r="1278" spans="5:5" x14ac:dyDescent="0.25">
      <c r="E1278" s="24"/>
    </row>
    <row r="1279" spans="5:5" x14ac:dyDescent="0.25">
      <c r="E1279" s="24"/>
    </row>
    <row r="1280" spans="5:5" x14ac:dyDescent="0.25">
      <c r="E1280" s="24"/>
    </row>
    <row r="1281" spans="5:5" x14ac:dyDescent="0.25">
      <c r="E1281" s="24"/>
    </row>
    <row r="1282" spans="5:5" x14ac:dyDescent="0.25">
      <c r="E1282" s="24"/>
    </row>
    <row r="1283" spans="5:5" x14ac:dyDescent="0.25">
      <c r="E1283" s="24"/>
    </row>
    <row r="1284" spans="5:5" x14ac:dyDescent="0.25">
      <c r="E1284" s="24"/>
    </row>
    <row r="1285" spans="5:5" x14ac:dyDescent="0.25">
      <c r="E1285" s="24"/>
    </row>
    <row r="1286" spans="5:5" x14ac:dyDescent="0.25">
      <c r="E1286" s="24"/>
    </row>
    <row r="1287" spans="5:5" x14ac:dyDescent="0.25">
      <c r="E1287" s="24"/>
    </row>
    <row r="1288" spans="5:5" x14ac:dyDescent="0.25">
      <c r="E1288" s="24"/>
    </row>
    <row r="1289" spans="5:5" x14ac:dyDescent="0.25">
      <c r="E1289" s="24"/>
    </row>
    <row r="1290" spans="5:5" x14ac:dyDescent="0.25">
      <c r="E1290" s="24"/>
    </row>
    <row r="1291" spans="5:5" x14ac:dyDescent="0.25">
      <c r="E1291" s="24"/>
    </row>
    <row r="1292" spans="5:5" x14ac:dyDescent="0.25">
      <c r="E1292" s="24"/>
    </row>
    <row r="1293" spans="5:5" x14ac:dyDescent="0.25">
      <c r="E1293" s="24"/>
    </row>
    <row r="1294" spans="5:5" x14ac:dyDescent="0.25">
      <c r="E1294" s="24"/>
    </row>
    <row r="1295" spans="5:5" x14ac:dyDescent="0.25">
      <c r="E1295" s="24"/>
    </row>
    <row r="1296" spans="5:5" x14ac:dyDescent="0.25">
      <c r="E1296" s="24"/>
    </row>
    <row r="1297" spans="5:5" x14ac:dyDescent="0.25">
      <c r="E1297" s="24"/>
    </row>
    <row r="1298" spans="5:5" x14ac:dyDescent="0.25">
      <c r="E1298" s="24"/>
    </row>
    <row r="1299" spans="5:5" x14ac:dyDescent="0.25">
      <c r="E1299" s="24"/>
    </row>
    <row r="1300" spans="5:5" x14ac:dyDescent="0.25">
      <c r="E1300" s="24"/>
    </row>
    <row r="1301" spans="5:5" x14ac:dyDescent="0.25">
      <c r="E1301" s="24"/>
    </row>
    <row r="1302" spans="5:5" x14ac:dyDescent="0.25">
      <c r="E1302" s="24"/>
    </row>
    <row r="1303" spans="5:5" x14ac:dyDescent="0.25">
      <c r="E1303" s="24"/>
    </row>
    <row r="1304" spans="5:5" x14ac:dyDescent="0.25">
      <c r="E1304" s="24"/>
    </row>
    <row r="1305" spans="5:5" x14ac:dyDescent="0.25">
      <c r="E1305" s="24"/>
    </row>
    <row r="1306" spans="5:5" x14ac:dyDescent="0.25">
      <c r="E1306" s="24"/>
    </row>
    <row r="1307" spans="5:5" x14ac:dyDescent="0.25">
      <c r="E1307" s="24"/>
    </row>
    <row r="1308" spans="5:5" x14ac:dyDescent="0.25">
      <c r="E1308" s="24"/>
    </row>
    <row r="1309" spans="5:5" x14ac:dyDescent="0.25">
      <c r="E1309" s="24"/>
    </row>
    <row r="1310" spans="5:5" x14ac:dyDescent="0.25">
      <c r="E1310" s="24"/>
    </row>
    <row r="1311" spans="5:5" x14ac:dyDescent="0.25">
      <c r="E1311" s="24"/>
    </row>
    <row r="1312" spans="5:5" x14ac:dyDescent="0.25">
      <c r="E1312" s="24"/>
    </row>
    <row r="1313" spans="5:5" x14ac:dyDescent="0.25">
      <c r="E1313" s="24"/>
    </row>
    <row r="1314" spans="5:5" x14ac:dyDescent="0.25">
      <c r="E1314" s="24"/>
    </row>
    <row r="1315" spans="5:5" x14ac:dyDescent="0.25">
      <c r="E1315" s="24"/>
    </row>
    <row r="1316" spans="5:5" x14ac:dyDescent="0.25">
      <c r="E1316" s="24"/>
    </row>
    <row r="1317" spans="5:5" x14ac:dyDescent="0.25">
      <c r="E1317" s="24"/>
    </row>
    <row r="1318" spans="5:5" x14ac:dyDescent="0.25">
      <c r="E1318" s="24"/>
    </row>
    <row r="1319" spans="5:5" x14ac:dyDescent="0.25">
      <c r="E1319" s="24"/>
    </row>
    <row r="1320" spans="5:5" x14ac:dyDescent="0.25">
      <c r="E1320" s="24"/>
    </row>
    <row r="1321" spans="5:5" x14ac:dyDescent="0.25">
      <c r="E1321" s="24"/>
    </row>
    <row r="1322" spans="5:5" x14ac:dyDescent="0.25">
      <c r="E1322" s="24"/>
    </row>
    <row r="1323" spans="5:5" x14ac:dyDescent="0.25">
      <c r="E1323" s="24"/>
    </row>
    <row r="1324" spans="5:5" x14ac:dyDescent="0.25">
      <c r="E1324" s="24"/>
    </row>
    <row r="1325" spans="5:5" x14ac:dyDescent="0.25">
      <c r="E1325" s="24"/>
    </row>
    <row r="1326" spans="5:5" x14ac:dyDescent="0.25">
      <c r="E1326" s="24"/>
    </row>
    <row r="1327" spans="5:5" x14ac:dyDescent="0.25">
      <c r="E1327" s="24"/>
    </row>
    <row r="1328" spans="5:5" x14ac:dyDescent="0.25">
      <c r="E1328" s="24"/>
    </row>
    <row r="1329" spans="5:5" x14ac:dyDescent="0.25">
      <c r="E1329" s="24"/>
    </row>
    <row r="1330" spans="5:5" x14ac:dyDescent="0.25">
      <c r="E1330" s="24"/>
    </row>
    <row r="1331" spans="5:5" x14ac:dyDescent="0.25">
      <c r="E1331" s="24"/>
    </row>
    <row r="1332" spans="5:5" x14ac:dyDescent="0.25">
      <c r="E1332" s="24"/>
    </row>
    <row r="1333" spans="5:5" x14ac:dyDescent="0.25">
      <c r="E1333" s="24"/>
    </row>
    <row r="1334" spans="5:5" x14ac:dyDescent="0.25">
      <c r="E1334" s="24"/>
    </row>
    <row r="1335" spans="5:5" x14ac:dyDescent="0.25">
      <c r="E1335" s="24"/>
    </row>
    <row r="1336" spans="5:5" x14ac:dyDescent="0.25">
      <c r="E1336" s="24"/>
    </row>
    <row r="1337" spans="5:5" x14ac:dyDescent="0.25">
      <c r="E1337" s="24"/>
    </row>
    <row r="1338" spans="5:5" x14ac:dyDescent="0.25">
      <c r="E1338" s="24"/>
    </row>
    <row r="1339" spans="5:5" x14ac:dyDescent="0.25">
      <c r="E1339" s="24"/>
    </row>
    <row r="1340" spans="5:5" x14ac:dyDescent="0.25">
      <c r="E1340" s="24"/>
    </row>
    <row r="1341" spans="5:5" x14ac:dyDescent="0.25">
      <c r="E1341" s="24"/>
    </row>
    <row r="1342" spans="5:5" x14ac:dyDescent="0.25">
      <c r="E1342" s="24"/>
    </row>
    <row r="1343" spans="5:5" x14ac:dyDescent="0.25">
      <c r="E1343" s="24"/>
    </row>
    <row r="1344" spans="5:5" x14ac:dyDescent="0.25">
      <c r="E1344" s="24"/>
    </row>
    <row r="1345" spans="5:5" x14ac:dyDescent="0.25">
      <c r="E1345" s="24"/>
    </row>
    <row r="1346" spans="5:5" x14ac:dyDescent="0.25">
      <c r="E1346" s="24"/>
    </row>
    <row r="1347" spans="5:5" x14ac:dyDescent="0.25">
      <c r="E1347" s="24"/>
    </row>
    <row r="1348" spans="5:5" x14ac:dyDescent="0.25">
      <c r="E1348" s="24"/>
    </row>
    <row r="1349" spans="5:5" x14ac:dyDescent="0.25">
      <c r="E1349" s="24"/>
    </row>
    <row r="1350" spans="5:5" x14ac:dyDescent="0.25">
      <c r="E1350" s="24"/>
    </row>
    <row r="1351" spans="5:5" x14ac:dyDescent="0.25">
      <c r="E1351" s="24"/>
    </row>
    <row r="1352" spans="5:5" x14ac:dyDescent="0.25">
      <c r="E1352" s="24"/>
    </row>
    <row r="1353" spans="5:5" x14ac:dyDescent="0.25">
      <c r="E1353" s="24"/>
    </row>
    <row r="1354" spans="5:5" x14ac:dyDescent="0.25">
      <c r="E1354" s="24"/>
    </row>
    <row r="1355" spans="5:5" x14ac:dyDescent="0.25">
      <c r="E1355" s="24"/>
    </row>
    <row r="1356" spans="5:5" x14ac:dyDescent="0.25">
      <c r="E1356" s="24"/>
    </row>
    <row r="1357" spans="5:5" x14ac:dyDescent="0.25">
      <c r="E1357" s="24"/>
    </row>
    <row r="1358" spans="5:5" x14ac:dyDescent="0.25">
      <c r="E1358" s="24"/>
    </row>
    <row r="1359" spans="5:5" x14ac:dyDescent="0.25">
      <c r="E1359" s="24"/>
    </row>
    <row r="1360" spans="5:5" x14ac:dyDescent="0.25">
      <c r="E1360" s="24"/>
    </row>
    <row r="1361" spans="5:5" x14ac:dyDescent="0.25">
      <c r="E1361" s="24"/>
    </row>
    <row r="1362" spans="5:5" x14ac:dyDescent="0.25">
      <c r="E1362" s="24"/>
    </row>
    <row r="1363" spans="5:5" x14ac:dyDescent="0.25">
      <c r="E1363" s="24"/>
    </row>
    <row r="1364" spans="5:5" x14ac:dyDescent="0.25">
      <c r="E1364" s="24"/>
    </row>
    <row r="1365" spans="5:5" x14ac:dyDescent="0.25">
      <c r="E1365" s="24"/>
    </row>
    <row r="1366" spans="5:5" x14ac:dyDescent="0.25">
      <c r="E1366" s="24"/>
    </row>
    <row r="1367" spans="5:5" x14ac:dyDescent="0.25">
      <c r="E1367" s="24"/>
    </row>
    <row r="1368" spans="5:5" x14ac:dyDescent="0.25">
      <c r="E1368" s="24"/>
    </row>
    <row r="1369" spans="5:5" x14ac:dyDescent="0.25">
      <c r="E1369" s="24"/>
    </row>
    <row r="1370" spans="5:5" x14ac:dyDescent="0.25">
      <c r="E1370" s="24"/>
    </row>
    <row r="1371" spans="5:5" x14ac:dyDescent="0.25">
      <c r="E1371" s="24"/>
    </row>
    <row r="1372" spans="5:5" x14ac:dyDescent="0.25">
      <c r="E1372" s="24"/>
    </row>
    <row r="1373" spans="5:5" x14ac:dyDescent="0.25">
      <c r="E1373" s="24"/>
    </row>
    <row r="1374" spans="5:5" x14ac:dyDescent="0.25">
      <c r="E1374" s="24"/>
    </row>
    <row r="1375" spans="5:5" x14ac:dyDescent="0.25">
      <c r="E1375" s="24"/>
    </row>
    <row r="1376" spans="5:5" x14ac:dyDescent="0.25">
      <c r="E1376" s="24"/>
    </row>
    <row r="1377" spans="5:5" x14ac:dyDescent="0.25">
      <c r="E1377" s="24"/>
    </row>
    <row r="1378" spans="5:5" x14ac:dyDescent="0.25">
      <c r="E1378" s="24"/>
    </row>
    <row r="1379" spans="5:5" x14ac:dyDescent="0.25">
      <c r="E1379" s="24"/>
    </row>
    <row r="1380" spans="5:5" x14ac:dyDescent="0.25">
      <c r="E1380" s="24"/>
    </row>
    <row r="1381" spans="5:5" x14ac:dyDescent="0.25">
      <c r="E1381" s="24"/>
    </row>
    <row r="1382" spans="5:5" x14ac:dyDescent="0.25">
      <c r="E1382" s="24"/>
    </row>
    <row r="1383" spans="5:5" x14ac:dyDescent="0.25">
      <c r="E1383" s="24"/>
    </row>
    <row r="1384" spans="5:5" x14ac:dyDescent="0.25">
      <c r="E1384" s="24"/>
    </row>
    <row r="1385" spans="5:5" x14ac:dyDescent="0.25">
      <c r="E1385" s="24"/>
    </row>
    <row r="1386" spans="5:5" x14ac:dyDescent="0.25">
      <c r="E1386" s="24"/>
    </row>
    <row r="1387" spans="5:5" x14ac:dyDescent="0.25">
      <c r="E1387" s="24"/>
    </row>
    <row r="1388" spans="5:5" x14ac:dyDescent="0.25">
      <c r="E1388" s="24"/>
    </row>
    <row r="1389" spans="5:5" x14ac:dyDescent="0.25">
      <c r="E1389" s="24"/>
    </row>
    <row r="1390" spans="5:5" x14ac:dyDescent="0.25">
      <c r="E1390" s="24"/>
    </row>
    <row r="1391" spans="5:5" x14ac:dyDescent="0.25">
      <c r="E1391" s="24"/>
    </row>
    <row r="1392" spans="5:5" x14ac:dyDescent="0.25">
      <c r="E1392" s="24"/>
    </row>
    <row r="1393" spans="5:5" x14ac:dyDescent="0.25">
      <c r="E1393" s="24"/>
    </row>
    <row r="1394" spans="5:5" x14ac:dyDescent="0.25">
      <c r="E1394" s="24"/>
    </row>
    <row r="1395" spans="5:5" x14ac:dyDescent="0.25">
      <c r="E1395" s="24"/>
    </row>
    <row r="1396" spans="5:5" x14ac:dyDescent="0.25">
      <c r="E1396" s="24"/>
    </row>
    <row r="1397" spans="5:5" x14ac:dyDescent="0.25">
      <c r="E1397" s="24"/>
    </row>
    <row r="1398" spans="5:5" x14ac:dyDescent="0.25">
      <c r="E1398" s="24"/>
    </row>
    <row r="1399" spans="5:5" x14ac:dyDescent="0.25">
      <c r="E1399" s="24"/>
    </row>
    <row r="1400" spans="5:5" x14ac:dyDescent="0.25">
      <c r="E1400" s="24"/>
    </row>
    <row r="1401" spans="5:5" x14ac:dyDescent="0.25">
      <c r="E1401" s="24"/>
    </row>
    <row r="1402" spans="5:5" x14ac:dyDescent="0.25">
      <c r="E1402" s="24"/>
    </row>
    <row r="1403" spans="5:5" x14ac:dyDescent="0.25">
      <c r="E1403" s="24"/>
    </row>
    <row r="1404" spans="5:5" x14ac:dyDescent="0.25">
      <c r="E1404" s="24"/>
    </row>
    <row r="1405" spans="5:5" x14ac:dyDescent="0.25">
      <c r="E1405" s="24"/>
    </row>
    <row r="1406" spans="5:5" x14ac:dyDescent="0.25">
      <c r="E1406" s="24"/>
    </row>
    <row r="1407" spans="5:5" x14ac:dyDescent="0.25">
      <c r="E1407" s="24"/>
    </row>
    <row r="1408" spans="5:5" x14ac:dyDescent="0.25">
      <c r="E1408" s="24"/>
    </row>
    <row r="1409" spans="5:5" x14ac:dyDescent="0.25">
      <c r="E1409" s="24"/>
    </row>
    <row r="1410" spans="5:5" x14ac:dyDescent="0.25">
      <c r="E1410" s="24"/>
    </row>
    <row r="1411" spans="5:5" x14ac:dyDescent="0.25">
      <c r="E1411" s="24"/>
    </row>
    <row r="1412" spans="5:5" x14ac:dyDescent="0.25">
      <c r="E1412" s="24"/>
    </row>
    <row r="1413" spans="5:5" x14ac:dyDescent="0.25">
      <c r="E1413" s="24"/>
    </row>
    <row r="1414" spans="5:5" x14ac:dyDescent="0.25">
      <c r="E1414" s="24"/>
    </row>
    <row r="1415" spans="5:5" x14ac:dyDescent="0.25">
      <c r="E1415" s="24"/>
    </row>
    <row r="1416" spans="5:5" x14ac:dyDescent="0.25">
      <c r="E1416" s="24"/>
    </row>
    <row r="1417" spans="5:5" x14ac:dyDescent="0.25">
      <c r="E1417" s="24"/>
    </row>
    <row r="1418" spans="5:5" x14ac:dyDescent="0.25">
      <c r="E1418" s="24"/>
    </row>
    <row r="1419" spans="5:5" x14ac:dyDescent="0.25">
      <c r="E1419" s="24"/>
    </row>
    <row r="1420" spans="5:5" x14ac:dyDescent="0.25">
      <c r="E1420" s="24"/>
    </row>
    <row r="1421" spans="5:5" x14ac:dyDescent="0.25">
      <c r="E1421" s="24"/>
    </row>
    <row r="1422" spans="5:5" x14ac:dyDescent="0.25">
      <c r="E1422" s="24"/>
    </row>
    <row r="1423" spans="5:5" x14ac:dyDescent="0.25">
      <c r="E1423" s="24"/>
    </row>
    <row r="1424" spans="5:5" x14ac:dyDescent="0.25">
      <c r="E1424" s="24"/>
    </row>
    <row r="1425" spans="5:5" x14ac:dyDescent="0.25">
      <c r="E1425" s="24"/>
    </row>
    <row r="1426" spans="5:5" x14ac:dyDescent="0.25">
      <c r="E1426" s="24"/>
    </row>
    <row r="1427" spans="5:5" x14ac:dyDescent="0.25">
      <c r="E1427" s="24"/>
    </row>
    <row r="1428" spans="5:5" x14ac:dyDescent="0.25">
      <c r="E1428" s="24"/>
    </row>
    <row r="1429" spans="5:5" x14ac:dyDescent="0.25">
      <c r="E1429" s="24"/>
    </row>
    <row r="1430" spans="5:5" x14ac:dyDescent="0.25">
      <c r="E1430" s="24"/>
    </row>
    <row r="1431" spans="5:5" x14ac:dyDescent="0.25">
      <c r="E1431" s="24"/>
    </row>
    <row r="1432" spans="5:5" x14ac:dyDescent="0.25">
      <c r="E1432" s="24"/>
    </row>
    <row r="1433" spans="5:5" x14ac:dyDescent="0.25">
      <c r="E1433" s="24"/>
    </row>
    <row r="1434" spans="5:5" x14ac:dyDescent="0.25">
      <c r="E1434" s="24"/>
    </row>
    <row r="1435" spans="5:5" x14ac:dyDescent="0.25">
      <c r="E1435" s="24"/>
    </row>
    <row r="1436" spans="5:5" x14ac:dyDescent="0.25">
      <c r="E1436" s="24"/>
    </row>
    <row r="1437" spans="5:5" x14ac:dyDescent="0.25">
      <c r="E1437" s="24"/>
    </row>
    <row r="1438" spans="5:5" x14ac:dyDescent="0.25">
      <c r="E1438" s="24"/>
    </row>
    <row r="1439" spans="5:5" x14ac:dyDescent="0.25">
      <c r="E1439" s="24"/>
    </row>
    <row r="1440" spans="5:5" x14ac:dyDescent="0.25">
      <c r="E1440" s="24"/>
    </row>
    <row r="1441" spans="5:5" x14ac:dyDescent="0.25">
      <c r="E1441" s="24"/>
    </row>
    <row r="1442" spans="5:5" x14ac:dyDescent="0.25">
      <c r="E1442" s="24"/>
    </row>
    <row r="1443" spans="5:5" x14ac:dyDescent="0.25">
      <c r="E1443" s="24"/>
    </row>
    <row r="1444" spans="5:5" x14ac:dyDescent="0.25">
      <c r="E1444" s="24"/>
    </row>
    <row r="1445" spans="5:5" x14ac:dyDescent="0.25">
      <c r="E1445" s="24"/>
    </row>
    <row r="1446" spans="5:5" x14ac:dyDescent="0.25">
      <c r="E1446" s="24"/>
    </row>
    <row r="1447" spans="5:5" x14ac:dyDescent="0.25">
      <c r="E1447" s="24"/>
    </row>
    <row r="1448" spans="5:5" x14ac:dyDescent="0.25">
      <c r="E1448" s="24"/>
    </row>
    <row r="1449" spans="5:5" x14ac:dyDescent="0.25">
      <c r="E1449" s="24"/>
    </row>
    <row r="1450" spans="5:5" x14ac:dyDescent="0.25">
      <c r="E1450" s="24"/>
    </row>
    <row r="1451" spans="5:5" x14ac:dyDescent="0.25">
      <c r="E1451" s="24"/>
    </row>
    <row r="1452" spans="5:5" x14ac:dyDescent="0.25">
      <c r="E1452" s="24"/>
    </row>
    <row r="1453" spans="5:5" x14ac:dyDescent="0.25">
      <c r="E1453" s="24"/>
    </row>
    <row r="1454" spans="5:5" x14ac:dyDescent="0.25">
      <c r="E1454" s="24"/>
    </row>
    <row r="1455" spans="5:5" x14ac:dyDescent="0.25">
      <c r="E1455" s="24"/>
    </row>
    <row r="1456" spans="5:5" x14ac:dyDescent="0.25">
      <c r="E1456" s="24"/>
    </row>
    <row r="1457" spans="5:5" x14ac:dyDescent="0.25">
      <c r="E1457" s="24"/>
    </row>
    <row r="1458" spans="5:5" x14ac:dyDescent="0.25">
      <c r="E1458" s="24"/>
    </row>
    <row r="1459" spans="5:5" x14ac:dyDescent="0.25">
      <c r="E1459" s="24"/>
    </row>
    <row r="1460" spans="5:5" x14ac:dyDescent="0.25">
      <c r="E1460" s="24"/>
    </row>
    <row r="1461" spans="5:5" x14ac:dyDescent="0.25">
      <c r="E1461" s="24"/>
    </row>
    <row r="1462" spans="5:5" x14ac:dyDescent="0.25">
      <c r="E1462" s="24"/>
    </row>
    <row r="1463" spans="5:5" x14ac:dyDescent="0.25">
      <c r="E1463" s="24"/>
    </row>
    <row r="1464" spans="5:5" x14ac:dyDescent="0.25">
      <c r="E1464" s="24"/>
    </row>
    <row r="1465" spans="5:5" x14ac:dyDescent="0.25">
      <c r="E1465" s="24"/>
    </row>
    <row r="1466" spans="5:5" x14ac:dyDescent="0.25">
      <c r="E1466" s="24"/>
    </row>
    <row r="1467" spans="5:5" x14ac:dyDescent="0.25">
      <c r="E1467" s="24"/>
    </row>
    <row r="1468" spans="5:5" x14ac:dyDescent="0.25">
      <c r="E1468" s="24"/>
    </row>
    <row r="1469" spans="5:5" x14ac:dyDescent="0.25">
      <c r="E1469" s="24"/>
    </row>
    <row r="1470" spans="5:5" x14ac:dyDescent="0.25">
      <c r="E1470" s="24"/>
    </row>
    <row r="1471" spans="5:5" x14ac:dyDescent="0.25">
      <c r="E1471" s="24"/>
    </row>
    <row r="1472" spans="5:5" x14ac:dyDescent="0.25">
      <c r="E1472" s="24"/>
    </row>
    <row r="1473" spans="5:5" x14ac:dyDescent="0.25">
      <c r="E1473" s="24"/>
    </row>
    <row r="1474" spans="5:5" x14ac:dyDescent="0.25">
      <c r="E1474" s="24"/>
    </row>
    <row r="1475" spans="5:5" x14ac:dyDescent="0.25">
      <c r="E1475" s="24"/>
    </row>
    <row r="1476" spans="5:5" x14ac:dyDescent="0.25">
      <c r="E1476" s="24"/>
    </row>
    <row r="1477" spans="5:5" x14ac:dyDescent="0.25">
      <c r="E1477" s="24"/>
    </row>
    <row r="1478" spans="5:5" x14ac:dyDescent="0.25">
      <c r="E1478" s="24"/>
    </row>
    <row r="1479" spans="5:5" x14ac:dyDescent="0.25">
      <c r="E1479" s="24"/>
    </row>
    <row r="1480" spans="5:5" x14ac:dyDescent="0.25">
      <c r="E1480" s="24"/>
    </row>
    <row r="1481" spans="5:5" x14ac:dyDescent="0.25">
      <c r="E1481" s="24"/>
    </row>
    <row r="1482" spans="5:5" x14ac:dyDescent="0.25">
      <c r="E1482" s="24"/>
    </row>
    <row r="1483" spans="5:5" x14ac:dyDescent="0.25">
      <c r="E1483" s="24"/>
    </row>
    <row r="1484" spans="5:5" x14ac:dyDescent="0.25">
      <c r="E1484" s="24"/>
    </row>
    <row r="1485" spans="5:5" x14ac:dyDescent="0.25">
      <c r="E1485" s="24"/>
    </row>
    <row r="1486" spans="5:5" x14ac:dyDescent="0.25">
      <c r="E1486" s="24"/>
    </row>
    <row r="1487" spans="5:5" x14ac:dyDescent="0.25">
      <c r="E1487" s="24"/>
    </row>
    <row r="1488" spans="5:5" x14ac:dyDescent="0.25">
      <c r="E1488" s="24"/>
    </row>
    <row r="1489" spans="5:5" x14ac:dyDescent="0.25">
      <c r="E1489" s="24"/>
    </row>
    <row r="1490" spans="5:5" x14ac:dyDescent="0.25">
      <c r="E1490" s="24"/>
    </row>
    <row r="1491" spans="5:5" x14ac:dyDescent="0.25">
      <c r="E1491" s="24"/>
    </row>
    <row r="1492" spans="5:5" x14ac:dyDescent="0.25">
      <c r="E1492" s="24"/>
    </row>
    <row r="1493" spans="5:5" x14ac:dyDescent="0.25">
      <c r="E1493" s="24"/>
    </row>
    <row r="1494" spans="5:5" x14ac:dyDescent="0.25">
      <c r="E1494" s="24"/>
    </row>
    <row r="1495" spans="5:5" x14ac:dyDescent="0.25">
      <c r="E1495" s="24"/>
    </row>
    <row r="1496" spans="5:5" x14ac:dyDescent="0.25">
      <c r="E1496" s="24"/>
    </row>
    <row r="1497" spans="5:5" x14ac:dyDescent="0.25">
      <c r="E1497" s="24"/>
    </row>
    <row r="1498" spans="5:5" x14ac:dyDescent="0.25">
      <c r="E1498" s="24"/>
    </row>
    <row r="1499" spans="5:5" x14ac:dyDescent="0.25">
      <c r="E1499" s="24"/>
    </row>
    <row r="1500" spans="5:5" x14ac:dyDescent="0.25">
      <c r="E1500" s="24"/>
    </row>
    <row r="1501" spans="5:5" x14ac:dyDescent="0.25">
      <c r="E1501" s="24"/>
    </row>
    <row r="1502" spans="5:5" x14ac:dyDescent="0.25">
      <c r="E1502" s="24"/>
    </row>
    <row r="1503" spans="5:5" x14ac:dyDescent="0.25">
      <c r="E1503" s="24"/>
    </row>
    <row r="1504" spans="5:5" x14ac:dyDescent="0.25">
      <c r="E1504" s="24"/>
    </row>
    <row r="1505" spans="5:5" x14ac:dyDescent="0.25">
      <c r="E1505" s="24"/>
    </row>
    <row r="1506" spans="5:5" x14ac:dyDescent="0.25">
      <c r="E1506" s="24"/>
    </row>
    <row r="1507" spans="5:5" x14ac:dyDescent="0.25">
      <c r="E1507" s="24"/>
    </row>
    <row r="1508" spans="5:5" x14ac:dyDescent="0.25">
      <c r="E1508" s="24"/>
    </row>
    <row r="1509" spans="5:5" x14ac:dyDescent="0.25">
      <c r="E1509" s="24"/>
    </row>
    <row r="1510" spans="5:5" x14ac:dyDescent="0.25">
      <c r="E1510" s="24"/>
    </row>
    <row r="1511" spans="5:5" x14ac:dyDescent="0.25">
      <c r="E1511" s="24"/>
    </row>
    <row r="1512" spans="5:5" x14ac:dyDescent="0.25">
      <c r="E1512" s="24"/>
    </row>
    <row r="1513" spans="5:5" x14ac:dyDescent="0.25">
      <c r="E1513" s="24"/>
    </row>
    <row r="1514" spans="5:5" x14ac:dyDescent="0.25">
      <c r="E1514" s="24"/>
    </row>
    <row r="1515" spans="5:5" x14ac:dyDescent="0.25">
      <c r="E1515" s="24"/>
    </row>
    <row r="1516" spans="5:5" x14ac:dyDescent="0.25">
      <c r="E1516" s="24"/>
    </row>
    <row r="1517" spans="5:5" x14ac:dyDescent="0.25">
      <c r="E1517" s="24"/>
    </row>
    <row r="1518" spans="5:5" x14ac:dyDescent="0.25">
      <c r="E1518" s="24"/>
    </row>
    <row r="1519" spans="5:5" x14ac:dyDescent="0.25">
      <c r="E1519" s="24"/>
    </row>
    <row r="1520" spans="5:5" x14ac:dyDescent="0.25">
      <c r="E1520" s="24"/>
    </row>
    <row r="1521" spans="5:5" x14ac:dyDescent="0.25">
      <c r="E1521" s="24"/>
    </row>
    <row r="1522" spans="5:5" x14ac:dyDescent="0.25">
      <c r="E1522" s="24"/>
    </row>
    <row r="1523" spans="5:5" x14ac:dyDescent="0.25">
      <c r="E1523" s="24"/>
    </row>
    <row r="1524" spans="5:5" x14ac:dyDescent="0.25">
      <c r="E1524" s="24"/>
    </row>
    <row r="1525" spans="5:5" x14ac:dyDescent="0.25">
      <c r="E1525" s="24"/>
    </row>
    <row r="1526" spans="5:5" x14ac:dyDescent="0.25">
      <c r="E1526" s="24"/>
    </row>
    <row r="1527" spans="5:5" x14ac:dyDescent="0.25">
      <c r="E1527" s="24"/>
    </row>
    <row r="1528" spans="5:5" x14ac:dyDescent="0.25">
      <c r="E1528" s="24"/>
    </row>
    <row r="1529" spans="5:5" x14ac:dyDescent="0.25">
      <c r="E1529" s="24"/>
    </row>
    <row r="1530" spans="5:5" x14ac:dyDescent="0.25">
      <c r="E1530" s="24"/>
    </row>
    <row r="1531" spans="5:5" x14ac:dyDescent="0.25">
      <c r="E1531" s="24"/>
    </row>
    <row r="1532" spans="5:5" x14ac:dyDescent="0.25">
      <c r="E1532" s="24"/>
    </row>
    <row r="1533" spans="5:5" x14ac:dyDescent="0.25">
      <c r="E1533" s="24"/>
    </row>
    <row r="1534" spans="5:5" x14ac:dyDescent="0.25">
      <c r="E1534" s="24"/>
    </row>
    <row r="1535" spans="5:5" x14ac:dyDescent="0.25">
      <c r="E1535" s="24"/>
    </row>
    <row r="1536" spans="5:5" x14ac:dyDescent="0.25">
      <c r="E1536" s="24"/>
    </row>
    <row r="1537" spans="5:5" x14ac:dyDescent="0.25">
      <c r="E1537" s="24"/>
    </row>
    <row r="1538" spans="5:5" x14ac:dyDescent="0.25">
      <c r="E1538" s="24"/>
    </row>
    <row r="1539" spans="5:5" x14ac:dyDescent="0.25">
      <c r="E1539" s="24"/>
    </row>
    <row r="1540" spans="5:5" x14ac:dyDescent="0.25">
      <c r="E1540" s="24"/>
    </row>
    <row r="1541" spans="5:5" x14ac:dyDescent="0.25">
      <c r="E1541" s="24"/>
    </row>
    <row r="1542" spans="5:5" x14ac:dyDescent="0.25">
      <c r="E1542" s="24"/>
    </row>
    <row r="1543" spans="5:5" x14ac:dyDescent="0.25">
      <c r="E1543" s="24"/>
    </row>
    <row r="1544" spans="5:5" x14ac:dyDescent="0.25">
      <c r="E1544" s="24"/>
    </row>
    <row r="1545" spans="5:5" x14ac:dyDescent="0.25">
      <c r="E1545" s="24"/>
    </row>
    <row r="1546" spans="5:5" x14ac:dyDescent="0.25">
      <c r="E1546" s="24"/>
    </row>
    <row r="1547" spans="5:5" x14ac:dyDescent="0.25">
      <c r="E1547" s="24"/>
    </row>
    <row r="1548" spans="5:5" x14ac:dyDescent="0.25">
      <c r="E1548" s="24"/>
    </row>
    <row r="1549" spans="5:5" x14ac:dyDescent="0.25">
      <c r="E1549" s="24"/>
    </row>
    <row r="1550" spans="5:5" x14ac:dyDescent="0.25">
      <c r="E1550" s="24"/>
    </row>
    <row r="1551" spans="5:5" x14ac:dyDescent="0.25">
      <c r="E1551" s="24"/>
    </row>
    <row r="1552" spans="5:5" x14ac:dyDescent="0.25">
      <c r="E1552" s="24"/>
    </row>
    <row r="1553" spans="5:5" x14ac:dyDescent="0.25">
      <c r="E1553" s="24"/>
    </row>
    <row r="1554" spans="5:5" x14ac:dyDescent="0.25">
      <c r="E1554" s="24"/>
    </row>
    <row r="1555" spans="5:5" x14ac:dyDescent="0.25">
      <c r="E1555" s="24"/>
    </row>
    <row r="1556" spans="5:5" x14ac:dyDescent="0.25">
      <c r="E1556" s="24"/>
    </row>
    <row r="1557" spans="5:5" x14ac:dyDescent="0.25">
      <c r="E1557" s="24"/>
    </row>
    <row r="1558" spans="5:5" x14ac:dyDescent="0.25">
      <c r="E1558" s="24"/>
    </row>
    <row r="1559" spans="5:5" x14ac:dyDescent="0.25">
      <c r="E1559" s="24"/>
    </row>
    <row r="1560" spans="5:5" x14ac:dyDescent="0.25">
      <c r="E1560" s="24"/>
    </row>
    <row r="1561" spans="5:5" x14ac:dyDescent="0.25">
      <c r="E1561" s="24"/>
    </row>
    <row r="1562" spans="5:5" x14ac:dyDescent="0.25">
      <c r="E1562" s="24"/>
    </row>
    <row r="1563" spans="5:5" x14ac:dyDescent="0.25">
      <c r="E1563" s="24"/>
    </row>
    <row r="1564" spans="5:5" x14ac:dyDescent="0.25">
      <c r="E1564" s="24"/>
    </row>
    <row r="1565" spans="5:5" x14ac:dyDescent="0.25">
      <c r="E1565" s="24"/>
    </row>
    <row r="1566" spans="5:5" x14ac:dyDescent="0.25">
      <c r="E1566" s="24"/>
    </row>
    <row r="1567" spans="5:5" x14ac:dyDescent="0.25">
      <c r="E1567" s="24"/>
    </row>
    <row r="1568" spans="5:5" x14ac:dyDescent="0.25">
      <c r="E1568" s="24"/>
    </row>
    <row r="1569" spans="5:5" x14ac:dyDescent="0.25">
      <c r="E1569" s="24"/>
    </row>
    <row r="1570" spans="5:5" x14ac:dyDescent="0.25">
      <c r="E1570" s="24"/>
    </row>
    <row r="1571" spans="5:5" x14ac:dyDescent="0.25">
      <c r="E1571" s="24"/>
    </row>
    <row r="1572" spans="5:5" x14ac:dyDescent="0.25">
      <c r="E1572" s="24"/>
    </row>
    <row r="1573" spans="5:5" x14ac:dyDescent="0.25">
      <c r="E1573" s="24"/>
    </row>
    <row r="1574" spans="5:5" x14ac:dyDescent="0.25">
      <c r="E1574" s="24"/>
    </row>
    <row r="1575" spans="5:5" x14ac:dyDescent="0.25">
      <c r="E1575" s="24"/>
    </row>
    <row r="1576" spans="5:5" x14ac:dyDescent="0.25">
      <c r="E1576" s="24"/>
    </row>
    <row r="1577" spans="5:5" x14ac:dyDescent="0.25">
      <c r="E1577" s="24"/>
    </row>
    <row r="1578" spans="5:5" x14ac:dyDescent="0.25">
      <c r="E1578" s="24"/>
    </row>
    <row r="1579" spans="5:5" x14ac:dyDescent="0.25">
      <c r="E1579" s="24"/>
    </row>
    <row r="1580" spans="5:5" x14ac:dyDescent="0.25">
      <c r="E1580" s="24"/>
    </row>
    <row r="1581" spans="5:5" x14ac:dyDescent="0.25">
      <c r="E1581" s="24"/>
    </row>
    <row r="1582" spans="5:5" x14ac:dyDescent="0.25">
      <c r="E1582" s="24"/>
    </row>
    <row r="1583" spans="5:5" x14ac:dyDescent="0.25">
      <c r="E1583" s="24"/>
    </row>
    <row r="1584" spans="5:5" x14ac:dyDescent="0.25">
      <c r="E1584" s="24"/>
    </row>
    <row r="1585" spans="5:5" x14ac:dyDescent="0.25">
      <c r="E1585" s="24"/>
    </row>
    <row r="1586" spans="5:5" x14ac:dyDescent="0.25">
      <c r="E1586" s="24"/>
    </row>
    <row r="1587" spans="5:5" x14ac:dyDescent="0.25">
      <c r="E1587" s="24"/>
    </row>
    <row r="1588" spans="5:5" x14ac:dyDescent="0.25">
      <c r="E1588" s="24"/>
    </row>
    <row r="1589" spans="5:5" x14ac:dyDescent="0.25">
      <c r="E1589" s="24"/>
    </row>
    <row r="1590" spans="5:5" x14ac:dyDescent="0.25">
      <c r="E1590" s="24"/>
    </row>
    <row r="1591" spans="5:5" x14ac:dyDescent="0.25">
      <c r="E1591" s="24"/>
    </row>
    <row r="1592" spans="5:5" x14ac:dyDescent="0.25">
      <c r="E1592" s="24"/>
    </row>
    <row r="1593" spans="5:5" x14ac:dyDescent="0.25">
      <c r="E1593" s="24"/>
    </row>
    <row r="1594" spans="5:5" x14ac:dyDescent="0.25">
      <c r="E1594" s="24"/>
    </row>
    <row r="1595" spans="5:5" x14ac:dyDescent="0.25">
      <c r="E1595" s="24"/>
    </row>
    <row r="1596" spans="5:5" x14ac:dyDescent="0.25">
      <c r="E1596" s="24"/>
    </row>
    <row r="1597" spans="5:5" x14ac:dyDescent="0.25">
      <c r="E1597" s="24"/>
    </row>
    <row r="1598" spans="5:5" x14ac:dyDescent="0.25">
      <c r="E1598" s="24"/>
    </row>
    <row r="1599" spans="5:5" x14ac:dyDescent="0.25">
      <c r="E1599" s="24"/>
    </row>
    <row r="1600" spans="5:5" x14ac:dyDescent="0.25">
      <c r="E1600" s="24"/>
    </row>
    <row r="1601" spans="5:5" x14ac:dyDescent="0.25">
      <c r="E1601" s="24"/>
    </row>
    <row r="1602" spans="5:5" x14ac:dyDescent="0.25">
      <c r="E1602" s="24"/>
    </row>
    <row r="1603" spans="5:5" x14ac:dyDescent="0.25">
      <c r="E1603" s="24"/>
    </row>
    <row r="1604" spans="5:5" x14ac:dyDescent="0.25">
      <c r="E1604" s="24"/>
    </row>
    <row r="1605" spans="5:5" x14ac:dyDescent="0.25">
      <c r="E1605" s="24"/>
    </row>
    <row r="1606" spans="5:5" x14ac:dyDescent="0.25">
      <c r="E1606" s="24"/>
    </row>
    <row r="1607" spans="5:5" x14ac:dyDescent="0.25">
      <c r="E1607" s="24"/>
    </row>
    <row r="1608" spans="5:5" x14ac:dyDescent="0.25">
      <c r="E1608" s="24"/>
    </row>
    <row r="1609" spans="5:5" x14ac:dyDescent="0.25">
      <c r="E1609" s="24"/>
    </row>
    <row r="1610" spans="5:5" x14ac:dyDescent="0.25">
      <c r="E1610" s="24"/>
    </row>
    <row r="1611" spans="5:5" x14ac:dyDescent="0.25">
      <c r="E1611" s="24"/>
    </row>
    <row r="1612" spans="5:5" x14ac:dyDescent="0.25">
      <c r="E1612" s="24"/>
    </row>
    <row r="1613" spans="5:5" x14ac:dyDescent="0.25">
      <c r="E1613" s="24"/>
    </row>
    <row r="1614" spans="5:5" x14ac:dyDescent="0.25">
      <c r="E1614" s="24"/>
    </row>
    <row r="1615" spans="5:5" x14ac:dyDescent="0.25">
      <c r="E1615" s="24"/>
    </row>
    <row r="1616" spans="5:5" x14ac:dyDescent="0.25">
      <c r="E1616" s="24"/>
    </row>
    <row r="1617" spans="5:5" x14ac:dyDescent="0.25">
      <c r="E1617" s="24"/>
    </row>
    <row r="1618" spans="5:5" x14ac:dyDescent="0.25">
      <c r="E1618" s="24"/>
    </row>
    <row r="1619" spans="5:5" x14ac:dyDescent="0.25">
      <c r="E1619" s="24"/>
    </row>
    <row r="1620" spans="5:5" x14ac:dyDescent="0.25">
      <c r="E1620" s="24"/>
    </row>
    <row r="1621" spans="5:5" x14ac:dyDescent="0.25">
      <c r="E1621" s="24"/>
    </row>
    <row r="1622" spans="5:5" x14ac:dyDescent="0.25">
      <c r="E1622" s="24"/>
    </row>
    <row r="1623" spans="5:5" x14ac:dyDescent="0.25">
      <c r="E1623" s="24"/>
    </row>
    <row r="1624" spans="5:5" x14ac:dyDescent="0.25">
      <c r="E1624" s="24"/>
    </row>
    <row r="1625" spans="5:5" x14ac:dyDescent="0.25">
      <c r="E1625" s="24"/>
    </row>
    <row r="1626" spans="5:5" x14ac:dyDescent="0.25">
      <c r="E1626" s="24"/>
    </row>
    <row r="1627" spans="5:5" x14ac:dyDescent="0.25">
      <c r="E1627" s="24"/>
    </row>
    <row r="1628" spans="5:5" x14ac:dyDescent="0.25">
      <c r="E1628" s="24"/>
    </row>
    <row r="1629" spans="5:5" x14ac:dyDescent="0.25">
      <c r="E1629" s="24"/>
    </row>
    <row r="1630" spans="5:5" x14ac:dyDescent="0.25">
      <c r="E1630" s="24"/>
    </row>
    <row r="1631" spans="5:5" x14ac:dyDescent="0.25">
      <c r="E1631" s="24"/>
    </row>
    <row r="1632" spans="5:5" x14ac:dyDescent="0.25">
      <c r="E1632" s="24"/>
    </row>
    <row r="1633" spans="5:5" x14ac:dyDescent="0.25">
      <c r="E1633" s="24"/>
    </row>
    <row r="1634" spans="5:5" x14ac:dyDescent="0.25">
      <c r="E1634" s="24"/>
    </row>
    <row r="1635" spans="5:5" x14ac:dyDescent="0.25">
      <c r="E1635" s="24"/>
    </row>
    <row r="1636" spans="5:5" x14ac:dyDescent="0.25">
      <c r="E1636" s="24"/>
    </row>
    <row r="1637" spans="5:5" x14ac:dyDescent="0.25">
      <c r="E1637" s="24"/>
    </row>
    <row r="1638" spans="5:5" x14ac:dyDescent="0.25">
      <c r="E1638" s="24"/>
    </row>
    <row r="1639" spans="5:5" x14ac:dyDescent="0.25">
      <c r="E1639" s="24"/>
    </row>
    <row r="1640" spans="5:5" x14ac:dyDescent="0.25">
      <c r="E1640" s="24"/>
    </row>
    <row r="1641" spans="5:5" x14ac:dyDescent="0.25">
      <c r="E1641" s="24"/>
    </row>
    <row r="1642" spans="5:5" x14ac:dyDescent="0.25">
      <c r="E1642" s="24"/>
    </row>
    <row r="1643" spans="5:5" x14ac:dyDescent="0.25">
      <c r="E1643" s="24"/>
    </row>
    <row r="1644" spans="5:5" x14ac:dyDescent="0.25">
      <c r="E1644" s="24"/>
    </row>
    <row r="1645" spans="5:5" x14ac:dyDescent="0.25">
      <c r="E1645" s="24"/>
    </row>
    <row r="1646" spans="5:5" x14ac:dyDescent="0.25">
      <c r="E1646" s="24"/>
    </row>
    <row r="1647" spans="5:5" x14ac:dyDescent="0.25">
      <c r="E1647" s="24"/>
    </row>
    <row r="1648" spans="5:5" x14ac:dyDescent="0.25">
      <c r="E1648" s="24"/>
    </row>
    <row r="1649" spans="5:5" x14ac:dyDescent="0.25">
      <c r="E1649" s="24"/>
    </row>
    <row r="1650" spans="5:5" x14ac:dyDescent="0.25">
      <c r="E1650" s="24"/>
    </row>
    <row r="1651" spans="5:5" x14ac:dyDescent="0.25">
      <c r="E1651" s="24"/>
    </row>
    <row r="1652" spans="5:5" x14ac:dyDescent="0.25">
      <c r="E1652" s="24"/>
    </row>
    <row r="1653" spans="5:5" x14ac:dyDescent="0.25">
      <c r="E1653" s="24"/>
    </row>
    <row r="1654" spans="5:5" x14ac:dyDescent="0.25">
      <c r="E1654" s="24"/>
    </row>
    <row r="1655" spans="5:5" x14ac:dyDescent="0.25">
      <c r="E1655" s="24"/>
    </row>
    <row r="1656" spans="5:5" x14ac:dyDescent="0.25">
      <c r="E1656" s="24"/>
    </row>
    <row r="1657" spans="5:5" x14ac:dyDescent="0.25">
      <c r="E1657" s="24"/>
    </row>
    <row r="1658" spans="5:5" x14ac:dyDescent="0.25">
      <c r="E1658" s="24"/>
    </row>
    <row r="1659" spans="5:5" x14ac:dyDescent="0.25">
      <c r="E1659" s="24"/>
    </row>
    <row r="1660" spans="5:5" x14ac:dyDescent="0.25">
      <c r="E1660" s="24"/>
    </row>
    <row r="1661" spans="5:5" x14ac:dyDescent="0.25">
      <c r="E1661" s="24"/>
    </row>
    <row r="1662" spans="5:5" x14ac:dyDescent="0.25">
      <c r="E1662" s="24"/>
    </row>
    <row r="1663" spans="5:5" x14ac:dyDescent="0.25">
      <c r="E1663" s="24"/>
    </row>
    <row r="1664" spans="5:5" x14ac:dyDescent="0.25">
      <c r="E1664" s="24"/>
    </row>
    <row r="1665" spans="5:5" x14ac:dyDescent="0.25">
      <c r="E1665" s="24"/>
    </row>
    <row r="1666" spans="5:5" x14ac:dyDescent="0.25">
      <c r="E1666" s="24"/>
    </row>
    <row r="1667" spans="5:5" x14ac:dyDescent="0.25">
      <c r="E1667" s="24"/>
    </row>
    <row r="1668" spans="5:5" x14ac:dyDescent="0.25">
      <c r="E1668" s="24"/>
    </row>
    <row r="1669" spans="5:5" x14ac:dyDescent="0.25">
      <c r="E1669" s="24"/>
    </row>
    <row r="1670" spans="5:5" x14ac:dyDescent="0.25">
      <c r="E1670" s="24"/>
    </row>
    <row r="1671" spans="5:5" x14ac:dyDescent="0.25">
      <c r="E1671" s="24"/>
    </row>
    <row r="1672" spans="5:5" x14ac:dyDescent="0.25">
      <c r="E1672" s="24"/>
    </row>
    <row r="1673" spans="5:5" x14ac:dyDescent="0.25">
      <c r="E1673" s="24"/>
    </row>
    <row r="1674" spans="5:5" x14ac:dyDescent="0.25">
      <c r="E1674" s="24"/>
    </row>
    <row r="1675" spans="5:5" x14ac:dyDescent="0.25">
      <c r="E1675" s="24"/>
    </row>
    <row r="1676" spans="5:5" x14ac:dyDescent="0.25">
      <c r="E1676" s="24"/>
    </row>
    <row r="1677" spans="5:5" x14ac:dyDescent="0.25">
      <c r="E1677" s="24"/>
    </row>
    <row r="1678" spans="5:5" x14ac:dyDescent="0.25">
      <c r="E1678" s="24"/>
    </row>
    <row r="1679" spans="5:5" x14ac:dyDescent="0.25">
      <c r="E1679" s="24"/>
    </row>
    <row r="1680" spans="5:5" x14ac:dyDescent="0.25">
      <c r="E1680" s="24"/>
    </row>
    <row r="1681" spans="5:5" x14ac:dyDescent="0.25">
      <c r="E1681" s="24"/>
    </row>
    <row r="1682" spans="5:5" x14ac:dyDescent="0.25">
      <c r="E1682" s="24"/>
    </row>
    <row r="1683" spans="5:5" x14ac:dyDescent="0.25">
      <c r="E1683" s="24"/>
    </row>
    <row r="1684" spans="5:5" x14ac:dyDescent="0.25">
      <c r="E1684" s="24"/>
    </row>
    <row r="1685" spans="5:5" x14ac:dyDescent="0.25">
      <c r="E1685" s="24"/>
    </row>
    <row r="1686" spans="5:5" x14ac:dyDescent="0.25">
      <c r="E1686" s="24"/>
    </row>
    <row r="1687" spans="5:5" x14ac:dyDescent="0.25">
      <c r="E1687" s="24"/>
    </row>
    <row r="1688" spans="5:5" x14ac:dyDescent="0.25">
      <c r="E1688" s="24"/>
    </row>
    <row r="1689" spans="5:5" x14ac:dyDescent="0.25">
      <c r="E1689" s="24"/>
    </row>
    <row r="1690" spans="5:5" x14ac:dyDescent="0.25">
      <c r="E1690" s="24"/>
    </row>
    <row r="1691" spans="5:5" x14ac:dyDescent="0.25">
      <c r="E1691" s="24"/>
    </row>
    <row r="1692" spans="5:5" x14ac:dyDescent="0.25">
      <c r="E1692" s="24"/>
    </row>
    <row r="1693" spans="5:5" x14ac:dyDescent="0.25">
      <c r="E1693" s="24"/>
    </row>
    <row r="1694" spans="5:5" x14ac:dyDescent="0.25">
      <c r="E1694" s="24"/>
    </row>
    <row r="1695" spans="5:5" x14ac:dyDescent="0.25">
      <c r="E1695" s="24"/>
    </row>
    <row r="1696" spans="5:5" x14ac:dyDescent="0.25">
      <c r="E1696" s="24"/>
    </row>
    <row r="1697" spans="5:5" x14ac:dyDescent="0.25">
      <c r="E1697" s="24"/>
    </row>
    <row r="1698" spans="5:5" x14ac:dyDescent="0.25">
      <c r="E1698" s="24"/>
    </row>
    <row r="1699" spans="5:5" x14ac:dyDescent="0.25">
      <c r="E1699" s="24"/>
    </row>
    <row r="1700" spans="5:5" x14ac:dyDescent="0.25">
      <c r="E1700" s="24"/>
    </row>
    <row r="1701" spans="5:5" x14ac:dyDescent="0.25">
      <c r="E1701" s="24"/>
    </row>
    <row r="1702" spans="5:5" x14ac:dyDescent="0.25">
      <c r="E1702" s="24"/>
    </row>
    <row r="1703" spans="5:5" x14ac:dyDescent="0.25">
      <c r="E1703" s="24"/>
    </row>
    <row r="1704" spans="5:5" x14ac:dyDescent="0.25">
      <c r="E1704" s="24"/>
    </row>
    <row r="1705" spans="5:5" x14ac:dyDescent="0.25">
      <c r="E1705" s="24"/>
    </row>
    <row r="1706" spans="5:5" x14ac:dyDescent="0.25">
      <c r="E1706" s="24"/>
    </row>
    <row r="1707" spans="5:5" x14ac:dyDescent="0.25">
      <c r="E1707" s="24"/>
    </row>
    <row r="1708" spans="5:5" x14ac:dyDescent="0.25">
      <c r="E1708" s="24"/>
    </row>
    <row r="1709" spans="5:5" x14ac:dyDescent="0.25">
      <c r="E1709" s="24"/>
    </row>
    <row r="1710" spans="5:5" x14ac:dyDescent="0.25">
      <c r="E1710" s="24"/>
    </row>
    <row r="1711" spans="5:5" x14ac:dyDescent="0.25">
      <c r="E1711" s="24"/>
    </row>
    <row r="1712" spans="5:5" x14ac:dyDescent="0.25">
      <c r="E1712" s="24"/>
    </row>
    <row r="1713" spans="5:5" x14ac:dyDescent="0.25">
      <c r="E1713" s="24"/>
    </row>
    <row r="1714" spans="5:5" x14ac:dyDescent="0.25">
      <c r="E1714" s="24"/>
    </row>
    <row r="1715" spans="5:5" x14ac:dyDescent="0.25">
      <c r="E1715" s="24"/>
    </row>
    <row r="1716" spans="5:5" x14ac:dyDescent="0.25">
      <c r="E1716" s="24"/>
    </row>
    <row r="1717" spans="5:5" x14ac:dyDescent="0.25">
      <c r="E1717" s="24"/>
    </row>
    <row r="1718" spans="5:5" x14ac:dyDescent="0.25">
      <c r="E1718" s="24"/>
    </row>
    <row r="1719" spans="5:5" x14ac:dyDescent="0.25">
      <c r="E1719" s="24"/>
    </row>
    <row r="1720" spans="5:5" x14ac:dyDescent="0.25">
      <c r="E1720" s="24"/>
    </row>
    <row r="1721" spans="5:5" x14ac:dyDescent="0.25">
      <c r="E1721" s="24"/>
    </row>
    <row r="1722" spans="5:5" x14ac:dyDescent="0.25">
      <c r="E1722" s="24"/>
    </row>
    <row r="1723" spans="5:5" x14ac:dyDescent="0.25">
      <c r="E1723" s="24"/>
    </row>
    <row r="1724" spans="5:5" x14ac:dyDescent="0.25">
      <c r="E1724" s="24"/>
    </row>
    <row r="1725" spans="5:5" x14ac:dyDescent="0.25">
      <c r="E1725" s="24"/>
    </row>
    <row r="1726" spans="5:5" x14ac:dyDescent="0.25">
      <c r="E1726" s="24"/>
    </row>
    <row r="1727" spans="5:5" x14ac:dyDescent="0.25">
      <c r="E1727" s="24"/>
    </row>
    <row r="1728" spans="5:5" x14ac:dyDescent="0.25">
      <c r="E1728" s="24"/>
    </row>
    <row r="1729" spans="5:5" x14ac:dyDescent="0.25">
      <c r="E1729" s="24"/>
    </row>
    <row r="1730" spans="5:5" x14ac:dyDescent="0.25">
      <c r="E1730" s="24"/>
    </row>
    <row r="1731" spans="5:5" x14ac:dyDescent="0.25">
      <c r="E1731" s="24"/>
    </row>
    <row r="1732" spans="5:5" x14ac:dyDescent="0.25">
      <c r="E1732" s="24"/>
    </row>
    <row r="1733" spans="5:5" x14ac:dyDescent="0.25">
      <c r="E1733" s="24"/>
    </row>
    <row r="1734" spans="5:5" x14ac:dyDescent="0.25">
      <c r="E1734" s="24"/>
    </row>
    <row r="1735" spans="5:5" x14ac:dyDescent="0.25">
      <c r="E1735" s="24"/>
    </row>
    <row r="1736" spans="5:5" x14ac:dyDescent="0.25">
      <c r="E1736" s="24"/>
    </row>
    <row r="1737" spans="5:5" x14ac:dyDescent="0.25">
      <c r="E1737" s="24"/>
    </row>
    <row r="1738" spans="5:5" x14ac:dyDescent="0.25">
      <c r="E1738" s="24"/>
    </row>
    <row r="1739" spans="5:5" x14ac:dyDescent="0.25">
      <c r="E1739" s="24"/>
    </row>
    <row r="1740" spans="5:5" x14ac:dyDescent="0.25">
      <c r="E1740" s="24"/>
    </row>
    <row r="1741" spans="5:5" x14ac:dyDescent="0.25">
      <c r="E1741" s="24"/>
    </row>
    <row r="1742" spans="5:5" x14ac:dyDescent="0.25">
      <c r="E1742" s="24"/>
    </row>
    <row r="1743" spans="5:5" x14ac:dyDescent="0.25">
      <c r="E1743" s="24"/>
    </row>
    <row r="1744" spans="5:5" x14ac:dyDescent="0.25">
      <c r="E1744" s="24"/>
    </row>
    <row r="1745" spans="5:5" x14ac:dyDescent="0.25">
      <c r="E1745" s="24"/>
    </row>
    <row r="1746" spans="5:5" x14ac:dyDescent="0.25">
      <c r="E1746" s="24"/>
    </row>
    <row r="1747" spans="5:5" x14ac:dyDescent="0.25">
      <c r="E1747" s="24"/>
    </row>
    <row r="1748" spans="5:5" x14ac:dyDescent="0.25">
      <c r="E1748" s="24"/>
    </row>
    <row r="1749" spans="5:5" x14ac:dyDescent="0.25">
      <c r="E1749" s="24"/>
    </row>
    <row r="1750" spans="5:5" x14ac:dyDescent="0.25">
      <c r="E1750" s="24"/>
    </row>
    <row r="1751" spans="5:5" x14ac:dyDescent="0.25">
      <c r="E1751" s="24"/>
    </row>
    <row r="1752" spans="5:5" x14ac:dyDescent="0.25">
      <c r="E1752" s="24"/>
    </row>
    <row r="1753" spans="5:5" x14ac:dyDescent="0.25">
      <c r="E1753" s="24"/>
    </row>
    <row r="1754" spans="5:5" x14ac:dyDescent="0.25">
      <c r="E1754" s="24"/>
    </row>
    <row r="1755" spans="5:5" x14ac:dyDescent="0.25">
      <c r="E1755" s="24"/>
    </row>
    <row r="1756" spans="5:5" x14ac:dyDescent="0.25">
      <c r="E1756" s="24"/>
    </row>
    <row r="1757" spans="5:5" x14ac:dyDescent="0.25">
      <c r="E1757" s="24"/>
    </row>
    <row r="1758" spans="5:5" x14ac:dyDescent="0.25">
      <c r="E1758" s="24"/>
    </row>
    <row r="1759" spans="5:5" x14ac:dyDescent="0.25">
      <c r="E1759" s="24"/>
    </row>
    <row r="1760" spans="5:5" x14ac:dyDescent="0.25">
      <c r="E1760" s="24"/>
    </row>
    <row r="1761" spans="5:5" x14ac:dyDescent="0.25">
      <c r="E1761" s="24"/>
    </row>
    <row r="1762" spans="5:5" x14ac:dyDescent="0.25">
      <c r="E1762" s="24"/>
    </row>
    <row r="1763" spans="5:5" x14ac:dyDescent="0.25">
      <c r="E1763" s="24"/>
    </row>
    <row r="1764" spans="5:5" x14ac:dyDescent="0.25">
      <c r="E1764" s="24"/>
    </row>
    <row r="1765" spans="5:5" x14ac:dyDescent="0.25">
      <c r="E1765" s="24"/>
    </row>
    <row r="1766" spans="5:5" x14ac:dyDescent="0.25">
      <c r="E1766" s="24"/>
    </row>
    <row r="1767" spans="5:5" x14ac:dyDescent="0.25">
      <c r="E1767" s="24"/>
    </row>
    <row r="1768" spans="5:5" x14ac:dyDescent="0.25">
      <c r="E1768" s="24"/>
    </row>
    <row r="1769" spans="5:5" x14ac:dyDescent="0.25">
      <c r="E1769" s="24"/>
    </row>
    <row r="1770" spans="5:5" x14ac:dyDescent="0.25">
      <c r="E1770" s="24"/>
    </row>
    <row r="1771" spans="5:5" x14ac:dyDescent="0.25">
      <c r="E1771" s="24"/>
    </row>
    <row r="1772" spans="5:5" x14ac:dyDescent="0.25">
      <c r="E1772" s="24"/>
    </row>
    <row r="1773" spans="5:5" x14ac:dyDescent="0.25">
      <c r="E1773" s="24"/>
    </row>
    <row r="1774" spans="5:5" x14ac:dyDescent="0.25">
      <c r="E1774" s="24"/>
    </row>
    <row r="1775" spans="5:5" x14ac:dyDescent="0.25">
      <c r="E1775" s="24"/>
    </row>
    <row r="1776" spans="5:5" x14ac:dyDescent="0.25">
      <c r="E1776" s="24"/>
    </row>
    <row r="1777" spans="5:5" x14ac:dyDescent="0.25">
      <c r="E1777" s="24"/>
    </row>
    <row r="1778" spans="5:5" x14ac:dyDescent="0.25">
      <c r="E1778" s="24"/>
    </row>
    <row r="1779" spans="5:5" x14ac:dyDescent="0.25">
      <c r="E1779" s="24"/>
    </row>
    <row r="1780" spans="5:5" x14ac:dyDescent="0.25">
      <c r="E1780" s="24"/>
    </row>
    <row r="1781" spans="5:5" x14ac:dyDescent="0.25">
      <c r="E1781" s="24"/>
    </row>
    <row r="1782" spans="5:5" x14ac:dyDescent="0.25">
      <c r="E1782" s="24"/>
    </row>
    <row r="1783" spans="5:5" x14ac:dyDescent="0.25">
      <c r="E1783" s="24"/>
    </row>
    <row r="1784" spans="5:5" x14ac:dyDescent="0.25">
      <c r="E1784" s="24"/>
    </row>
    <row r="1785" spans="5:5" x14ac:dyDescent="0.25">
      <c r="E1785" s="24"/>
    </row>
    <row r="1786" spans="5:5" x14ac:dyDescent="0.25">
      <c r="E1786" s="24"/>
    </row>
    <row r="1787" spans="5:5" x14ac:dyDescent="0.25">
      <c r="E1787" s="24"/>
    </row>
    <row r="1788" spans="5:5" x14ac:dyDescent="0.25">
      <c r="E1788" s="24"/>
    </row>
    <row r="1789" spans="5:5" x14ac:dyDescent="0.25">
      <c r="E1789" s="24"/>
    </row>
    <row r="1790" spans="5:5" x14ac:dyDescent="0.25">
      <c r="E1790" s="24"/>
    </row>
    <row r="1791" spans="5:5" x14ac:dyDescent="0.25">
      <c r="E1791" s="24"/>
    </row>
    <row r="1792" spans="5:5" x14ac:dyDescent="0.25">
      <c r="E1792" s="24"/>
    </row>
    <row r="1793" spans="5:5" x14ac:dyDescent="0.25">
      <c r="E1793" s="24"/>
    </row>
    <row r="1794" spans="5:5" x14ac:dyDescent="0.25">
      <c r="E1794" s="24"/>
    </row>
    <row r="1795" spans="5:5" x14ac:dyDescent="0.25">
      <c r="E1795" s="24"/>
    </row>
    <row r="1796" spans="5:5" x14ac:dyDescent="0.25">
      <c r="E1796" s="24"/>
    </row>
    <row r="1797" spans="5:5" x14ac:dyDescent="0.25">
      <c r="E1797" s="24"/>
    </row>
    <row r="1798" spans="5:5" x14ac:dyDescent="0.25">
      <c r="E1798" s="24"/>
    </row>
    <row r="1799" spans="5:5" x14ac:dyDescent="0.25">
      <c r="E1799" s="24"/>
    </row>
    <row r="1800" spans="5:5" x14ac:dyDescent="0.25">
      <c r="E1800" s="24"/>
    </row>
    <row r="1801" spans="5:5" x14ac:dyDescent="0.25">
      <c r="E1801" s="24"/>
    </row>
    <row r="1802" spans="5:5" x14ac:dyDescent="0.25">
      <c r="E1802" s="24"/>
    </row>
    <row r="1803" spans="5:5" x14ac:dyDescent="0.25">
      <c r="E1803" s="24"/>
    </row>
    <row r="1804" spans="5:5" x14ac:dyDescent="0.25">
      <c r="E1804" s="24"/>
    </row>
    <row r="1805" spans="5:5" x14ac:dyDescent="0.25">
      <c r="E1805" s="24"/>
    </row>
    <row r="1806" spans="5:5" x14ac:dyDescent="0.25">
      <c r="E1806" s="24"/>
    </row>
    <row r="1807" spans="5:5" x14ac:dyDescent="0.25">
      <c r="E1807" s="24"/>
    </row>
    <row r="1808" spans="5:5" x14ac:dyDescent="0.25">
      <c r="E1808" s="24"/>
    </row>
    <row r="1809" spans="5:5" x14ac:dyDescent="0.25">
      <c r="E1809" s="24"/>
    </row>
    <row r="1810" spans="5:5" x14ac:dyDescent="0.25">
      <c r="E1810" s="24"/>
    </row>
    <row r="1811" spans="5:5" x14ac:dyDescent="0.25">
      <c r="E1811" s="24"/>
    </row>
    <row r="1812" spans="5:5" x14ac:dyDescent="0.25">
      <c r="E1812" s="24"/>
    </row>
    <row r="1813" spans="5:5" x14ac:dyDescent="0.25">
      <c r="E1813" s="24"/>
    </row>
    <row r="1814" spans="5:5" x14ac:dyDescent="0.25">
      <c r="E1814" s="24"/>
    </row>
    <row r="1815" spans="5:5" x14ac:dyDescent="0.25">
      <c r="E1815" s="24"/>
    </row>
    <row r="1816" spans="5:5" x14ac:dyDescent="0.25">
      <c r="E1816" s="24"/>
    </row>
    <row r="1817" spans="5:5" x14ac:dyDescent="0.25">
      <c r="E1817" s="24"/>
    </row>
    <row r="1818" spans="5:5" x14ac:dyDescent="0.25">
      <c r="E1818" s="24"/>
    </row>
    <row r="1819" spans="5:5" x14ac:dyDescent="0.25">
      <c r="E1819" s="24"/>
    </row>
    <row r="1820" spans="5:5" x14ac:dyDescent="0.25">
      <c r="E1820" s="24"/>
    </row>
    <row r="1821" spans="5:5" x14ac:dyDescent="0.25">
      <c r="E1821" s="24"/>
    </row>
    <row r="1822" spans="5:5" x14ac:dyDescent="0.25">
      <c r="E1822" s="24"/>
    </row>
    <row r="1823" spans="5:5" x14ac:dyDescent="0.25">
      <c r="E1823" s="24"/>
    </row>
    <row r="1824" spans="5:5" x14ac:dyDescent="0.25">
      <c r="E1824" s="24"/>
    </row>
    <row r="1825" spans="5:5" x14ac:dyDescent="0.25">
      <c r="E1825" s="24"/>
    </row>
    <row r="1826" spans="5:5" x14ac:dyDescent="0.25">
      <c r="E1826" s="24"/>
    </row>
    <row r="1827" spans="5:5" x14ac:dyDescent="0.25">
      <c r="E1827" s="24"/>
    </row>
    <row r="1828" spans="5:5" x14ac:dyDescent="0.25">
      <c r="E1828" s="24"/>
    </row>
    <row r="1829" spans="5:5" x14ac:dyDescent="0.25">
      <c r="E1829" s="24"/>
    </row>
    <row r="1830" spans="5:5" x14ac:dyDescent="0.25">
      <c r="E1830" s="24"/>
    </row>
    <row r="1831" spans="5:5" x14ac:dyDescent="0.25">
      <c r="E1831" s="24"/>
    </row>
    <row r="1832" spans="5:5" x14ac:dyDescent="0.25">
      <c r="E1832" s="24"/>
    </row>
    <row r="1833" spans="5:5" x14ac:dyDescent="0.25">
      <c r="E1833" s="24"/>
    </row>
    <row r="1834" spans="5:5" x14ac:dyDescent="0.25">
      <c r="E1834" s="24"/>
    </row>
    <row r="1835" spans="5:5" x14ac:dyDescent="0.25">
      <c r="E1835" s="24"/>
    </row>
    <row r="1836" spans="5:5" x14ac:dyDescent="0.25">
      <c r="E1836" s="24"/>
    </row>
    <row r="1837" spans="5:5" x14ac:dyDescent="0.25">
      <c r="E1837" s="24"/>
    </row>
    <row r="1838" spans="5:5" x14ac:dyDescent="0.25">
      <c r="E1838" s="24"/>
    </row>
    <row r="1839" spans="5:5" x14ac:dyDescent="0.25">
      <c r="E1839" s="24"/>
    </row>
    <row r="1840" spans="5:5" x14ac:dyDescent="0.25">
      <c r="E1840" s="24"/>
    </row>
    <row r="1841" spans="5:5" x14ac:dyDescent="0.25">
      <c r="E1841" s="24"/>
    </row>
    <row r="1842" spans="5:5" x14ac:dyDescent="0.25">
      <c r="E1842" s="24"/>
    </row>
    <row r="1843" spans="5:5" x14ac:dyDescent="0.25">
      <c r="E1843" s="24"/>
    </row>
    <row r="1844" spans="5:5" x14ac:dyDescent="0.25">
      <c r="E1844" s="24"/>
    </row>
    <row r="1845" spans="5:5" x14ac:dyDescent="0.25">
      <c r="E1845" s="24"/>
    </row>
    <row r="1846" spans="5:5" x14ac:dyDescent="0.25">
      <c r="E1846" s="24"/>
    </row>
    <row r="1847" spans="5:5" x14ac:dyDescent="0.25">
      <c r="E1847" s="24"/>
    </row>
    <row r="1848" spans="5:5" x14ac:dyDescent="0.25">
      <c r="E1848" s="24"/>
    </row>
    <row r="1849" spans="5:5" x14ac:dyDescent="0.25">
      <c r="E1849" s="24"/>
    </row>
    <row r="1850" spans="5:5" x14ac:dyDescent="0.25">
      <c r="E1850" s="24"/>
    </row>
    <row r="1851" spans="5:5" x14ac:dyDescent="0.25">
      <c r="E1851" s="24"/>
    </row>
    <row r="1852" spans="5:5" x14ac:dyDescent="0.25">
      <c r="E1852" s="24"/>
    </row>
    <row r="1853" spans="5:5" x14ac:dyDescent="0.25">
      <c r="E1853" s="24"/>
    </row>
    <row r="1854" spans="5:5" x14ac:dyDescent="0.25">
      <c r="E1854" s="24"/>
    </row>
    <row r="1855" spans="5:5" x14ac:dyDescent="0.25">
      <c r="E1855" s="24"/>
    </row>
    <row r="1856" spans="5:5" x14ac:dyDescent="0.25">
      <c r="E1856" s="24"/>
    </row>
    <row r="1857" spans="5:5" x14ac:dyDescent="0.25">
      <c r="E1857" s="24"/>
    </row>
    <row r="1858" spans="5:5" x14ac:dyDescent="0.25">
      <c r="E1858" s="24"/>
    </row>
    <row r="1859" spans="5:5" x14ac:dyDescent="0.25">
      <c r="E1859" s="24"/>
    </row>
    <row r="1860" spans="5:5" x14ac:dyDescent="0.25">
      <c r="E1860" s="24"/>
    </row>
    <row r="1861" spans="5:5" x14ac:dyDescent="0.25">
      <c r="E1861" s="24"/>
    </row>
    <row r="1862" spans="5:5" x14ac:dyDescent="0.25">
      <c r="E1862" s="24"/>
    </row>
    <row r="1863" spans="5:5" x14ac:dyDescent="0.25">
      <c r="E1863" s="24"/>
    </row>
    <row r="1864" spans="5:5" x14ac:dyDescent="0.25">
      <c r="E1864" s="24"/>
    </row>
    <row r="1865" spans="5:5" x14ac:dyDescent="0.25">
      <c r="E1865" s="24"/>
    </row>
    <row r="1866" spans="5:5" x14ac:dyDescent="0.25">
      <c r="E1866" s="24"/>
    </row>
    <row r="1867" spans="5:5" x14ac:dyDescent="0.25">
      <c r="E1867" s="24"/>
    </row>
    <row r="1868" spans="5:5" x14ac:dyDescent="0.25">
      <c r="E1868" s="24"/>
    </row>
    <row r="1869" spans="5:5" x14ac:dyDescent="0.25">
      <c r="E1869" s="24"/>
    </row>
    <row r="1870" spans="5:5" x14ac:dyDescent="0.25">
      <c r="E1870" s="24"/>
    </row>
    <row r="1871" spans="5:5" x14ac:dyDescent="0.25">
      <c r="E1871" s="24"/>
    </row>
    <row r="1872" spans="5:5" x14ac:dyDescent="0.25">
      <c r="E1872" s="24"/>
    </row>
    <row r="1873" spans="5:5" x14ac:dyDescent="0.25">
      <c r="E1873" s="24"/>
    </row>
    <row r="1874" spans="5:5" x14ac:dyDescent="0.25">
      <c r="E1874" s="24"/>
    </row>
    <row r="1875" spans="5:5" x14ac:dyDescent="0.25">
      <c r="E1875" s="24"/>
    </row>
    <row r="1876" spans="5:5" x14ac:dyDescent="0.25">
      <c r="E1876" s="24"/>
    </row>
    <row r="1877" spans="5:5" x14ac:dyDescent="0.25">
      <c r="E1877" s="24"/>
    </row>
    <row r="1878" spans="5:5" x14ac:dyDescent="0.25">
      <c r="E1878" s="24"/>
    </row>
    <row r="1879" spans="5:5" x14ac:dyDescent="0.25">
      <c r="E1879" s="24"/>
    </row>
    <row r="1880" spans="5:5" x14ac:dyDescent="0.25">
      <c r="E1880" s="24"/>
    </row>
    <row r="1881" spans="5:5" x14ac:dyDescent="0.25">
      <c r="E1881" s="24"/>
    </row>
    <row r="1882" spans="5:5" x14ac:dyDescent="0.25">
      <c r="E1882" s="24"/>
    </row>
    <row r="1883" spans="5:5" x14ac:dyDescent="0.25">
      <c r="E1883" s="24"/>
    </row>
    <row r="1884" spans="5:5" x14ac:dyDescent="0.25">
      <c r="E1884" s="24"/>
    </row>
    <row r="1885" spans="5:5" x14ac:dyDescent="0.25">
      <c r="E1885" s="24"/>
    </row>
    <row r="1886" spans="5:5" x14ac:dyDescent="0.25">
      <c r="E1886" s="24"/>
    </row>
    <row r="1887" spans="5:5" x14ac:dyDescent="0.25">
      <c r="E1887" s="24"/>
    </row>
    <row r="1888" spans="5:5" x14ac:dyDescent="0.25">
      <c r="E1888" s="24"/>
    </row>
    <row r="1889" spans="5:5" x14ac:dyDescent="0.25">
      <c r="E1889" s="24"/>
    </row>
    <row r="1890" spans="5:5" x14ac:dyDescent="0.25">
      <c r="E1890" s="24"/>
    </row>
    <row r="1891" spans="5:5" x14ac:dyDescent="0.25">
      <c r="E1891" s="24"/>
    </row>
    <row r="1892" spans="5:5" x14ac:dyDescent="0.25">
      <c r="E1892" s="24"/>
    </row>
    <row r="1893" spans="5:5" x14ac:dyDescent="0.25">
      <c r="E1893" s="24"/>
    </row>
    <row r="1894" spans="5:5" x14ac:dyDescent="0.25">
      <c r="E1894" s="24"/>
    </row>
    <row r="1895" spans="5:5" x14ac:dyDescent="0.25">
      <c r="E1895" s="24"/>
    </row>
    <row r="1896" spans="5:5" x14ac:dyDescent="0.25">
      <c r="E1896" s="24"/>
    </row>
    <row r="1897" spans="5:5" x14ac:dyDescent="0.25">
      <c r="E1897" s="24"/>
    </row>
    <row r="1898" spans="5:5" x14ac:dyDescent="0.25">
      <c r="E1898" s="24"/>
    </row>
    <row r="1899" spans="5:5" x14ac:dyDescent="0.25">
      <c r="E1899" s="24"/>
    </row>
    <row r="1900" spans="5:5" x14ac:dyDescent="0.25">
      <c r="E1900" s="24"/>
    </row>
    <row r="1901" spans="5:5" x14ac:dyDescent="0.25">
      <c r="E1901" s="24"/>
    </row>
    <row r="1902" spans="5:5" x14ac:dyDescent="0.25">
      <c r="E1902" s="24"/>
    </row>
    <row r="1903" spans="5:5" x14ac:dyDescent="0.25">
      <c r="E1903" s="24"/>
    </row>
    <row r="1904" spans="5:5" x14ac:dyDescent="0.25">
      <c r="E1904" s="24"/>
    </row>
    <row r="1905" spans="5:5" x14ac:dyDescent="0.25">
      <c r="E1905" s="24"/>
    </row>
    <row r="1906" spans="5:5" x14ac:dyDescent="0.25">
      <c r="E1906" s="24"/>
    </row>
    <row r="1907" spans="5:5" x14ac:dyDescent="0.25">
      <c r="E1907" s="24"/>
    </row>
    <row r="1908" spans="5:5" x14ac:dyDescent="0.25">
      <c r="E1908" s="24"/>
    </row>
    <row r="1909" spans="5:5" x14ac:dyDescent="0.25">
      <c r="E1909" s="24"/>
    </row>
    <row r="1910" spans="5:5" x14ac:dyDescent="0.25">
      <c r="E1910" s="24"/>
    </row>
    <row r="1911" spans="5:5" x14ac:dyDescent="0.25">
      <c r="E1911" s="24"/>
    </row>
    <row r="1912" spans="5:5" x14ac:dyDescent="0.25">
      <c r="E1912" s="24"/>
    </row>
    <row r="1913" spans="5:5" x14ac:dyDescent="0.25">
      <c r="E1913" s="24"/>
    </row>
    <row r="1914" spans="5:5" x14ac:dyDescent="0.25">
      <c r="E1914" s="24"/>
    </row>
    <row r="1915" spans="5:5" x14ac:dyDescent="0.25">
      <c r="E1915" s="24"/>
    </row>
    <row r="1916" spans="5:5" x14ac:dyDescent="0.25">
      <c r="E1916" s="24"/>
    </row>
    <row r="1917" spans="5:5" x14ac:dyDescent="0.25">
      <c r="E1917" s="24"/>
    </row>
    <row r="1918" spans="5:5" x14ac:dyDescent="0.25">
      <c r="E1918" s="24"/>
    </row>
    <row r="1919" spans="5:5" x14ac:dyDescent="0.25">
      <c r="E1919" s="24"/>
    </row>
    <row r="1920" spans="5:5" x14ac:dyDescent="0.25">
      <c r="E1920" s="24"/>
    </row>
    <row r="1921" spans="5:5" x14ac:dyDescent="0.25">
      <c r="E1921" s="24"/>
    </row>
    <row r="1922" spans="5:5" x14ac:dyDescent="0.25">
      <c r="E1922" s="24"/>
    </row>
    <row r="1923" spans="5:5" x14ac:dyDescent="0.25">
      <c r="E1923" s="24"/>
    </row>
    <row r="1924" spans="5:5" x14ac:dyDescent="0.25">
      <c r="E1924" s="24"/>
    </row>
    <row r="1925" spans="5:5" x14ac:dyDescent="0.25">
      <c r="E1925" s="24"/>
    </row>
    <row r="1926" spans="5:5" x14ac:dyDescent="0.25">
      <c r="E1926" s="24"/>
    </row>
    <row r="1927" spans="5:5" x14ac:dyDescent="0.25">
      <c r="E1927" s="24"/>
    </row>
    <row r="1928" spans="5:5" x14ac:dyDescent="0.25">
      <c r="E1928" s="24"/>
    </row>
    <row r="1929" spans="5:5" x14ac:dyDescent="0.25">
      <c r="E1929" s="24"/>
    </row>
    <row r="1930" spans="5:5" x14ac:dyDescent="0.25">
      <c r="E1930" s="24"/>
    </row>
    <row r="1931" spans="5:5" x14ac:dyDescent="0.25">
      <c r="E1931" s="24"/>
    </row>
    <row r="1932" spans="5:5" x14ac:dyDescent="0.25">
      <c r="E1932" s="24"/>
    </row>
    <row r="1933" spans="5:5" x14ac:dyDescent="0.25">
      <c r="E1933" s="24"/>
    </row>
    <row r="1934" spans="5:5" x14ac:dyDescent="0.25">
      <c r="E1934" s="24"/>
    </row>
    <row r="1935" spans="5:5" x14ac:dyDescent="0.25">
      <c r="E1935" s="24"/>
    </row>
    <row r="1936" spans="5:5" x14ac:dyDescent="0.25">
      <c r="E1936" s="24"/>
    </row>
    <row r="1937" spans="5:5" x14ac:dyDescent="0.25">
      <c r="E1937" s="24"/>
    </row>
    <row r="1938" spans="5:5" x14ac:dyDescent="0.25">
      <c r="E1938" s="24"/>
    </row>
    <row r="1939" spans="5:5" x14ac:dyDescent="0.25">
      <c r="E1939" s="24"/>
    </row>
    <row r="1940" spans="5:5" x14ac:dyDescent="0.25">
      <c r="E1940" s="24"/>
    </row>
    <row r="1941" spans="5:5" x14ac:dyDescent="0.25">
      <c r="E1941" s="24"/>
    </row>
    <row r="1942" spans="5:5" x14ac:dyDescent="0.25">
      <c r="E1942" s="24"/>
    </row>
    <row r="1943" spans="5:5" x14ac:dyDescent="0.25">
      <c r="E1943" s="24"/>
    </row>
    <row r="1944" spans="5:5" x14ac:dyDescent="0.25">
      <c r="E1944" s="24"/>
    </row>
    <row r="1945" spans="5:5" x14ac:dyDescent="0.25">
      <c r="E1945" s="24"/>
    </row>
    <row r="1946" spans="5:5" x14ac:dyDescent="0.25">
      <c r="E1946" s="24"/>
    </row>
    <row r="1947" spans="5:5" x14ac:dyDescent="0.25">
      <c r="E1947" s="24"/>
    </row>
    <row r="1948" spans="5:5" x14ac:dyDescent="0.25">
      <c r="E1948" s="24"/>
    </row>
    <row r="1949" spans="5:5" x14ac:dyDescent="0.25">
      <c r="E1949" s="24"/>
    </row>
    <row r="1950" spans="5:5" x14ac:dyDescent="0.25">
      <c r="E1950" s="24"/>
    </row>
    <row r="1951" spans="5:5" x14ac:dyDescent="0.25">
      <c r="E1951" s="24"/>
    </row>
    <row r="1952" spans="5:5" x14ac:dyDescent="0.25">
      <c r="E1952" s="24"/>
    </row>
    <row r="1953" spans="5:5" x14ac:dyDescent="0.25">
      <c r="E1953" s="24"/>
    </row>
    <row r="1954" spans="5:5" x14ac:dyDescent="0.25">
      <c r="E1954" s="24"/>
    </row>
    <row r="1955" spans="5:5" x14ac:dyDescent="0.25">
      <c r="E1955" s="24"/>
    </row>
    <row r="1956" spans="5:5" x14ac:dyDescent="0.25">
      <c r="E1956" s="24"/>
    </row>
    <row r="1957" spans="5:5" x14ac:dyDescent="0.25">
      <c r="E1957" s="24"/>
    </row>
    <row r="1958" spans="5:5" x14ac:dyDescent="0.25">
      <c r="E1958" s="24"/>
    </row>
    <row r="1959" spans="5:5" x14ac:dyDescent="0.25">
      <c r="E1959" s="24"/>
    </row>
    <row r="1960" spans="5:5" x14ac:dyDescent="0.25">
      <c r="E1960" s="24"/>
    </row>
    <row r="1961" spans="5:5" x14ac:dyDescent="0.25">
      <c r="E1961" s="24"/>
    </row>
    <row r="1962" spans="5:5" x14ac:dyDescent="0.25">
      <c r="E1962" s="24"/>
    </row>
    <row r="1963" spans="5:5" x14ac:dyDescent="0.25">
      <c r="E1963" s="24"/>
    </row>
    <row r="1964" spans="5:5" x14ac:dyDescent="0.25">
      <c r="E1964" s="24"/>
    </row>
    <row r="1965" spans="5:5" x14ac:dyDescent="0.25">
      <c r="E1965" s="24"/>
    </row>
    <row r="1966" spans="5:5" x14ac:dyDescent="0.25">
      <c r="E1966" s="24"/>
    </row>
    <row r="1967" spans="5:5" x14ac:dyDescent="0.25">
      <c r="E1967" s="24"/>
    </row>
    <row r="1968" spans="5:5" x14ac:dyDescent="0.25">
      <c r="E1968" s="24"/>
    </row>
    <row r="1969" spans="5:5" x14ac:dyDescent="0.25">
      <c r="E1969" s="24"/>
    </row>
    <row r="1970" spans="5:5" x14ac:dyDescent="0.25">
      <c r="E1970" s="24"/>
    </row>
    <row r="1971" spans="5:5" x14ac:dyDescent="0.25">
      <c r="E1971" s="24"/>
    </row>
    <row r="1972" spans="5:5" x14ac:dyDescent="0.25">
      <c r="E1972" s="24"/>
    </row>
    <row r="1973" spans="5:5" x14ac:dyDescent="0.25">
      <c r="E1973" s="24"/>
    </row>
    <row r="1974" spans="5:5" x14ac:dyDescent="0.25">
      <c r="E1974" s="24"/>
    </row>
    <row r="1975" spans="5:5" x14ac:dyDescent="0.25">
      <c r="E1975" s="24"/>
    </row>
    <row r="1976" spans="5:5" x14ac:dyDescent="0.25">
      <c r="E1976" s="24"/>
    </row>
    <row r="1977" spans="5:5" x14ac:dyDescent="0.25">
      <c r="E1977" s="24"/>
    </row>
    <row r="1978" spans="5:5" x14ac:dyDescent="0.25">
      <c r="E1978" s="24"/>
    </row>
    <row r="1979" spans="5:5" x14ac:dyDescent="0.25">
      <c r="E1979" s="24"/>
    </row>
    <row r="1980" spans="5:5" x14ac:dyDescent="0.25">
      <c r="E1980" s="24"/>
    </row>
    <row r="1981" spans="5:5" x14ac:dyDescent="0.25">
      <c r="E1981" s="24"/>
    </row>
    <row r="1982" spans="5:5" x14ac:dyDescent="0.25">
      <c r="E1982" s="24"/>
    </row>
    <row r="1983" spans="5:5" x14ac:dyDescent="0.25">
      <c r="E1983" s="24"/>
    </row>
    <row r="1984" spans="5:5" x14ac:dyDescent="0.25">
      <c r="E1984" s="24"/>
    </row>
    <row r="1985" spans="5:5" x14ac:dyDescent="0.25">
      <c r="E1985" s="24"/>
    </row>
    <row r="1986" spans="5:5" x14ac:dyDescent="0.25">
      <c r="E1986" s="24"/>
    </row>
    <row r="1987" spans="5:5" x14ac:dyDescent="0.25">
      <c r="E1987" s="24"/>
    </row>
    <row r="1988" spans="5:5" x14ac:dyDescent="0.25">
      <c r="E1988" s="24"/>
    </row>
    <row r="1989" spans="5:5" x14ac:dyDescent="0.25">
      <c r="E1989" s="24"/>
    </row>
    <row r="1990" spans="5:5" x14ac:dyDescent="0.25">
      <c r="E1990" s="24"/>
    </row>
    <row r="1991" spans="5:5" x14ac:dyDescent="0.25">
      <c r="E1991" s="24"/>
    </row>
    <row r="1992" spans="5:5" x14ac:dyDescent="0.25">
      <c r="E1992" s="24"/>
    </row>
    <row r="1993" spans="5:5" x14ac:dyDescent="0.25">
      <c r="E1993" s="24"/>
    </row>
    <row r="1994" spans="5:5" x14ac:dyDescent="0.25">
      <c r="E1994" s="24"/>
    </row>
    <row r="1995" spans="5:5" x14ac:dyDescent="0.25">
      <c r="E1995" s="24"/>
    </row>
    <row r="1996" spans="5:5" x14ac:dyDescent="0.25">
      <c r="E1996" s="24"/>
    </row>
    <row r="1997" spans="5:5" x14ac:dyDescent="0.25">
      <c r="E1997" s="24"/>
    </row>
    <row r="1998" spans="5:5" x14ac:dyDescent="0.25">
      <c r="E1998" s="24"/>
    </row>
    <row r="1999" spans="5:5" x14ac:dyDescent="0.25">
      <c r="E1999" s="24"/>
    </row>
    <row r="2000" spans="5:5" x14ac:dyDescent="0.25">
      <c r="E2000" s="24"/>
    </row>
    <row r="2001" spans="5:5" x14ac:dyDescent="0.25">
      <c r="E2001" s="24"/>
    </row>
    <row r="2002" spans="5:5" x14ac:dyDescent="0.25">
      <c r="E2002" s="24"/>
    </row>
    <row r="2003" spans="5:5" x14ac:dyDescent="0.25">
      <c r="E2003" s="24"/>
    </row>
    <row r="2004" spans="5:5" x14ac:dyDescent="0.25">
      <c r="E2004" s="24"/>
    </row>
    <row r="2005" spans="5:5" x14ac:dyDescent="0.25">
      <c r="E2005" s="24"/>
    </row>
    <row r="2006" spans="5:5" x14ac:dyDescent="0.25">
      <c r="E2006" s="24"/>
    </row>
    <row r="2007" spans="5:5" x14ac:dyDescent="0.25">
      <c r="E2007" s="24"/>
    </row>
    <row r="2008" spans="5:5" x14ac:dyDescent="0.25">
      <c r="E2008" s="24"/>
    </row>
    <row r="2009" spans="5:5" x14ac:dyDescent="0.25">
      <c r="E2009" s="24"/>
    </row>
    <row r="2010" spans="5:5" x14ac:dyDescent="0.25">
      <c r="E2010" s="24"/>
    </row>
    <row r="2011" spans="5:5" x14ac:dyDescent="0.25">
      <c r="E2011" s="24"/>
    </row>
    <row r="2012" spans="5:5" x14ac:dyDescent="0.25">
      <c r="E2012" s="24"/>
    </row>
    <row r="2013" spans="5:5" x14ac:dyDescent="0.25">
      <c r="E2013" s="24"/>
    </row>
    <row r="2014" spans="5:5" x14ac:dyDescent="0.25">
      <c r="E2014" s="24"/>
    </row>
    <row r="2015" spans="5:5" x14ac:dyDescent="0.25">
      <c r="E2015" s="24"/>
    </row>
    <row r="2016" spans="5:5" x14ac:dyDescent="0.25">
      <c r="E2016" s="24"/>
    </row>
    <row r="2017" spans="5:5" x14ac:dyDescent="0.25">
      <c r="E2017" s="24"/>
    </row>
    <row r="2018" spans="5:5" x14ac:dyDescent="0.25">
      <c r="E2018" s="24"/>
    </row>
    <row r="2019" spans="5:5" x14ac:dyDescent="0.25">
      <c r="E2019" s="24"/>
    </row>
    <row r="2020" spans="5:5" x14ac:dyDescent="0.25">
      <c r="E2020" s="24"/>
    </row>
    <row r="2021" spans="5:5" x14ac:dyDescent="0.25">
      <c r="E2021" s="24"/>
    </row>
    <row r="2022" spans="5:5" x14ac:dyDescent="0.25">
      <c r="E2022" s="24"/>
    </row>
    <row r="2023" spans="5:5" x14ac:dyDescent="0.25">
      <c r="E2023" s="24"/>
    </row>
    <row r="2024" spans="5:5" x14ac:dyDescent="0.25">
      <c r="E2024" s="24"/>
    </row>
    <row r="2025" spans="5:5" x14ac:dyDescent="0.25">
      <c r="E2025" s="24"/>
    </row>
    <row r="2026" spans="5:5" x14ac:dyDescent="0.25">
      <c r="E2026" s="24"/>
    </row>
    <row r="2027" spans="5:5" x14ac:dyDescent="0.25">
      <c r="E2027" s="24"/>
    </row>
    <row r="2028" spans="5:5" x14ac:dyDescent="0.25">
      <c r="E2028" s="24"/>
    </row>
    <row r="2029" spans="5:5" x14ac:dyDescent="0.25">
      <c r="E2029" s="24"/>
    </row>
    <row r="2030" spans="5:5" x14ac:dyDescent="0.25">
      <c r="E2030" s="24"/>
    </row>
    <row r="2031" spans="5:5" x14ac:dyDescent="0.25">
      <c r="E2031" s="24"/>
    </row>
    <row r="2032" spans="5:5" x14ac:dyDescent="0.25">
      <c r="E2032" s="24"/>
    </row>
    <row r="2033" spans="5:5" x14ac:dyDescent="0.25">
      <c r="E2033" s="24"/>
    </row>
    <row r="2034" spans="5:5" x14ac:dyDescent="0.25">
      <c r="E2034" s="24"/>
    </row>
    <row r="2035" spans="5:5" x14ac:dyDescent="0.25">
      <c r="E2035" s="24"/>
    </row>
    <row r="2036" spans="5:5" x14ac:dyDescent="0.25">
      <c r="E2036" s="24"/>
    </row>
    <row r="2037" spans="5:5" x14ac:dyDescent="0.25">
      <c r="E2037" s="24"/>
    </row>
    <row r="2038" spans="5:5" x14ac:dyDescent="0.25">
      <c r="E2038" s="24"/>
    </row>
    <row r="2039" spans="5:5" x14ac:dyDescent="0.25">
      <c r="E2039" s="24"/>
    </row>
    <row r="2040" spans="5:5" x14ac:dyDescent="0.25">
      <c r="E2040" s="24"/>
    </row>
    <row r="2041" spans="5:5" x14ac:dyDescent="0.25">
      <c r="E2041" s="24"/>
    </row>
    <row r="2042" spans="5:5" x14ac:dyDescent="0.25">
      <c r="E2042" s="24"/>
    </row>
    <row r="2043" spans="5:5" x14ac:dyDescent="0.25">
      <c r="E2043" s="24"/>
    </row>
    <row r="2044" spans="5:5" x14ac:dyDescent="0.25">
      <c r="E2044" s="24"/>
    </row>
    <row r="2045" spans="5:5" x14ac:dyDescent="0.25">
      <c r="E2045" s="24"/>
    </row>
    <row r="2046" spans="5:5" x14ac:dyDescent="0.25">
      <c r="E2046" s="24"/>
    </row>
    <row r="2047" spans="5:5" x14ac:dyDescent="0.25">
      <c r="E2047" s="24"/>
    </row>
    <row r="2048" spans="5:5" x14ac:dyDescent="0.25">
      <c r="E2048" s="24"/>
    </row>
    <row r="2049" spans="5:5" x14ac:dyDescent="0.25">
      <c r="E2049" s="24"/>
    </row>
    <row r="2050" spans="5:5" x14ac:dyDescent="0.25">
      <c r="E2050" s="24"/>
    </row>
    <row r="2051" spans="5:5" x14ac:dyDescent="0.25">
      <c r="E2051" s="24"/>
    </row>
    <row r="2052" spans="5:5" x14ac:dyDescent="0.25">
      <c r="E2052" s="24"/>
    </row>
    <row r="2053" spans="5:5" x14ac:dyDescent="0.25">
      <c r="E2053" s="24"/>
    </row>
    <row r="2054" spans="5:5" x14ac:dyDescent="0.25">
      <c r="E2054" s="24"/>
    </row>
    <row r="2055" spans="5:5" x14ac:dyDescent="0.25">
      <c r="E2055" s="24"/>
    </row>
    <row r="2056" spans="5:5" x14ac:dyDescent="0.25">
      <c r="E2056" s="24"/>
    </row>
    <row r="2057" spans="5:5" x14ac:dyDescent="0.25">
      <c r="E2057" s="24"/>
    </row>
    <row r="2058" spans="5:5" x14ac:dyDescent="0.25">
      <c r="E2058" s="24"/>
    </row>
    <row r="2059" spans="5:5" x14ac:dyDescent="0.25">
      <c r="E2059" s="24"/>
    </row>
    <row r="2060" spans="5:5" x14ac:dyDescent="0.25">
      <c r="E2060" s="24"/>
    </row>
    <row r="2061" spans="5:5" x14ac:dyDescent="0.25">
      <c r="E2061" s="24"/>
    </row>
    <row r="2062" spans="5:5" x14ac:dyDescent="0.25">
      <c r="E2062" s="24"/>
    </row>
    <row r="2063" spans="5:5" x14ac:dyDescent="0.25">
      <c r="E2063" s="24"/>
    </row>
    <row r="2064" spans="5:5" x14ac:dyDescent="0.25">
      <c r="E2064" s="24"/>
    </row>
    <row r="2065" spans="5:5" x14ac:dyDescent="0.25">
      <c r="E2065" s="24"/>
    </row>
    <row r="2066" spans="5:5" x14ac:dyDescent="0.25">
      <c r="E2066" s="24"/>
    </row>
    <row r="2067" spans="5:5" x14ac:dyDescent="0.25">
      <c r="E2067" s="24"/>
    </row>
    <row r="2068" spans="5:5" x14ac:dyDescent="0.25">
      <c r="E2068" s="24"/>
    </row>
    <row r="2069" spans="5:5" x14ac:dyDescent="0.25">
      <c r="E2069" s="24"/>
    </row>
    <row r="2070" spans="5:5" x14ac:dyDescent="0.25">
      <c r="E2070" s="24"/>
    </row>
    <row r="2071" spans="5:5" x14ac:dyDescent="0.25">
      <c r="E2071" s="24"/>
    </row>
    <row r="2072" spans="5:5" x14ac:dyDescent="0.25">
      <c r="E2072" s="24"/>
    </row>
    <row r="2073" spans="5:5" x14ac:dyDescent="0.25">
      <c r="E2073" s="24"/>
    </row>
    <row r="2074" spans="5:5" x14ac:dyDescent="0.25">
      <c r="E2074" s="24"/>
    </row>
    <row r="2075" spans="5:5" x14ac:dyDescent="0.25">
      <c r="E2075" s="24"/>
    </row>
    <row r="2076" spans="5:5" x14ac:dyDescent="0.25">
      <c r="E2076" s="24"/>
    </row>
    <row r="2077" spans="5:5" x14ac:dyDescent="0.25">
      <c r="E2077" s="24"/>
    </row>
    <row r="2078" spans="5:5" x14ac:dyDescent="0.25">
      <c r="E2078" s="24"/>
    </row>
    <row r="2079" spans="5:5" x14ac:dyDescent="0.25">
      <c r="E2079" s="24"/>
    </row>
    <row r="2080" spans="5:5" x14ac:dyDescent="0.25">
      <c r="E2080" s="24"/>
    </row>
    <row r="2081" spans="5:5" x14ac:dyDescent="0.25">
      <c r="E2081" s="24"/>
    </row>
    <row r="2082" spans="5:5" x14ac:dyDescent="0.25">
      <c r="E2082" s="24"/>
    </row>
    <row r="2083" spans="5:5" x14ac:dyDescent="0.25">
      <c r="E2083" s="24"/>
    </row>
    <row r="2084" spans="5:5" x14ac:dyDescent="0.25">
      <c r="E2084" s="24"/>
    </row>
    <row r="2085" spans="5:5" x14ac:dyDescent="0.25">
      <c r="E2085" s="24"/>
    </row>
    <row r="2086" spans="5:5" x14ac:dyDescent="0.25">
      <c r="E2086" s="24"/>
    </row>
    <row r="2087" spans="5:5" x14ac:dyDescent="0.25">
      <c r="E2087" s="24"/>
    </row>
    <row r="2088" spans="5:5" x14ac:dyDescent="0.25">
      <c r="E2088" s="24"/>
    </row>
    <row r="2089" spans="5:5" x14ac:dyDescent="0.25">
      <c r="E2089" s="24"/>
    </row>
    <row r="2090" spans="5:5" x14ac:dyDescent="0.25">
      <c r="E2090" s="24"/>
    </row>
    <row r="2091" spans="5:5" x14ac:dyDescent="0.25">
      <c r="E2091" s="24"/>
    </row>
    <row r="2092" spans="5:5" x14ac:dyDescent="0.25">
      <c r="E2092" s="24"/>
    </row>
    <row r="2093" spans="5:5" x14ac:dyDescent="0.25">
      <c r="E2093" s="24"/>
    </row>
    <row r="2094" spans="5:5" x14ac:dyDescent="0.25">
      <c r="E2094" s="24"/>
    </row>
    <row r="2095" spans="5:5" x14ac:dyDescent="0.25">
      <c r="E2095" s="24"/>
    </row>
    <row r="2096" spans="5:5" x14ac:dyDescent="0.25">
      <c r="E2096" s="24"/>
    </row>
    <row r="2097" spans="5:5" x14ac:dyDescent="0.25">
      <c r="E2097" s="24"/>
    </row>
    <row r="2098" spans="5:5" x14ac:dyDescent="0.25">
      <c r="E2098" s="24"/>
    </row>
    <row r="2099" spans="5:5" x14ac:dyDescent="0.25">
      <c r="E2099" s="24"/>
    </row>
    <row r="2100" spans="5:5" x14ac:dyDescent="0.25">
      <c r="E2100" s="24"/>
    </row>
    <row r="2101" spans="5:5" x14ac:dyDescent="0.25">
      <c r="E2101" s="24"/>
    </row>
    <row r="2102" spans="5:5" x14ac:dyDescent="0.25">
      <c r="E2102" s="24"/>
    </row>
    <row r="2103" spans="5:5" x14ac:dyDescent="0.25">
      <c r="E2103" s="24"/>
    </row>
    <row r="2104" spans="5:5" x14ac:dyDescent="0.25">
      <c r="E2104" s="24"/>
    </row>
    <row r="2105" spans="5:5" x14ac:dyDescent="0.25">
      <c r="E2105" s="24"/>
    </row>
    <row r="2106" spans="5:5" x14ac:dyDescent="0.25">
      <c r="E2106" s="24"/>
    </row>
    <row r="2107" spans="5:5" x14ac:dyDescent="0.25">
      <c r="E2107" s="24"/>
    </row>
    <row r="2108" spans="5:5" x14ac:dyDescent="0.25">
      <c r="E2108" s="24"/>
    </row>
    <row r="2109" spans="5:5" x14ac:dyDescent="0.25">
      <c r="E2109" s="24"/>
    </row>
    <row r="2110" spans="5:5" x14ac:dyDescent="0.25">
      <c r="E2110" s="24"/>
    </row>
    <row r="2111" spans="5:5" x14ac:dyDescent="0.25">
      <c r="E2111" s="24"/>
    </row>
    <row r="2112" spans="5:5" x14ac:dyDescent="0.25">
      <c r="E2112" s="24"/>
    </row>
    <row r="2113" spans="5:5" x14ac:dyDescent="0.25">
      <c r="E2113" s="24"/>
    </row>
    <row r="2114" spans="5:5" x14ac:dyDescent="0.25">
      <c r="E2114" s="24"/>
    </row>
    <row r="2115" spans="5:5" x14ac:dyDescent="0.25">
      <c r="E2115" s="24"/>
    </row>
    <row r="2116" spans="5:5" x14ac:dyDescent="0.25">
      <c r="E2116" s="24"/>
    </row>
    <row r="2117" spans="5:5" x14ac:dyDescent="0.25">
      <c r="E2117" s="24"/>
    </row>
    <row r="2118" spans="5:5" x14ac:dyDescent="0.25">
      <c r="E2118" s="24"/>
    </row>
    <row r="2119" spans="5:5" x14ac:dyDescent="0.25">
      <c r="E2119" s="24"/>
    </row>
    <row r="2120" spans="5:5" x14ac:dyDescent="0.25">
      <c r="E2120" s="24"/>
    </row>
    <row r="2121" spans="5:5" x14ac:dyDescent="0.25">
      <c r="E2121" s="24"/>
    </row>
    <row r="2122" spans="5:5" x14ac:dyDescent="0.25">
      <c r="E2122" s="24"/>
    </row>
    <row r="2123" spans="5:5" x14ac:dyDescent="0.25">
      <c r="E2123" s="24"/>
    </row>
    <row r="2124" spans="5:5" x14ac:dyDescent="0.25">
      <c r="E2124" s="24"/>
    </row>
    <row r="2125" spans="5:5" x14ac:dyDescent="0.25">
      <c r="E2125" s="24"/>
    </row>
    <row r="2126" spans="5:5" x14ac:dyDescent="0.25">
      <c r="E2126" s="24"/>
    </row>
    <row r="2127" spans="5:5" x14ac:dyDescent="0.25">
      <c r="E2127" s="24"/>
    </row>
    <row r="2128" spans="5:5" x14ac:dyDescent="0.25">
      <c r="E2128" s="24"/>
    </row>
    <row r="2129" spans="5:5" x14ac:dyDescent="0.25">
      <c r="E2129" s="24"/>
    </row>
    <row r="2130" spans="5:5" x14ac:dyDescent="0.25">
      <c r="E2130" s="24"/>
    </row>
    <row r="2131" spans="5:5" x14ac:dyDescent="0.25">
      <c r="E2131" s="24"/>
    </row>
    <row r="2132" spans="5:5" x14ac:dyDescent="0.25">
      <c r="E2132" s="24"/>
    </row>
    <row r="2133" spans="5:5" x14ac:dyDescent="0.25">
      <c r="E2133" s="24"/>
    </row>
    <row r="2134" spans="5:5" x14ac:dyDescent="0.25">
      <c r="E2134" s="24"/>
    </row>
    <row r="2135" spans="5:5" x14ac:dyDescent="0.25">
      <c r="E2135" s="24"/>
    </row>
    <row r="2136" spans="5:5" x14ac:dyDescent="0.25">
      <c r="E2136" s="24"/>
    </row>
    <row r="2137" spans="5:5" x14ac:dyDescent="0.25">
      <c r="E2137" s="24"/>
    </row>
    <row r="2138" spans="5:5" x14ac:dyDescent="0.25">
      <c r="E2138" s="24"/>
    </row>
    <row r="2139" spans="5:5" x14ac:dyDescent="0.25">
      <c r="E2139" s="24"/>
    </row>
    <row r="2140" spans="5:5" x14ac:dyDescent="0.25">
      <c r="E2140" s="24"/>
    </row>
    <row r="2141" spans="5:5" x14ac:dyDescent="0.25">
      <c r="E2141" s="24"/>
    </row>
    <row r="2142" spans="5:5" x14ac:dyDescent="0.25">
      <c r="E2142" s="24"/>
    </row>
    <row r="2143" spans="5:5" x14ac:dyDescent="0.25">
      <c r="E2143" s="24"/>
    </row>
    <row r="2144" spans="5:5" x14ac:dyDescent="0.25">
      <c r="E2144" s="24"/>
    </row>
    <row r="2145" spans="5:5" x14ac:dyDescent="0.25">
      <c r="E2145" s="24"/>
    </row>
    <row r="2146" spans="5:5" x14ac:dyDescent="0.25">
      <c r="E2146" s="24"/>
    </row>
    <row r="2147" spans="5:5" x14ac:dyDescent="0.25">
      <c r="E2147" s="24"/>
    </row>
    <row r="2148" spans="5:5" x14ac:dyDescent="0.25">
      <c r="E2148" s="24"/>
    </row>
    <row r="2149" spans="5:5" x14ac:dyDescent="0.25">
      <c r="E2149" s="24"/>
    </row>
    <row r="2150" spans="5:5" x14ac:dyDescent="0.25">
      <c r="E2150" s="24"/>
    </row>
    <row r="2151" spans="5:5" x14ac:dyDescent="0.25">
      <c r="E2151" s="24"/>
    </row>
    <row r="2152" spans="5:5" x14ac:dyDescent="0.25">
      <c r="E2152" s="24"/>
    </row>
    <row r="2153" spans="5:5" x14ac:dyDescent="0.25">
      <c r="E2153" s="24"/>
    </row>
    <row r="2154" spans="5:5" x14ac:dyDescent="0.25">
      <c r="E2154" s="24"/>
    </row>
    <row r="2155" spans="5:5" x14ac:dyDescent="0.25">
      <c r="E2155" s="24"/>
    </row>
    <row r="2156" spans="5:5" x14ac:dyDescent="0.25">
      <c r="E2156" s="24"/>
    </row>
    <row r="2157" spans="5:5" x14ac:dyDescent="0.25">
      <c r="E2157" s="24"/>
    </row>
    <row r="2158" spans="5:5" x14ac:dyDescent="0.25">
      <c r="E2158" s="24"/>
    </row>
    <row r="2159" spans="5:5" x14ac:dyDescent="0.25">
      <c r="E2159" s="24"/>
    </row>
    <row r="2160" spans="5:5" x14ac:dyDescent="0.25">
      <c r="E2160" s="24"/>
    </row>
    <row r="2161" spans="5:5" x14ac:dyDescent="0.25">
      <c r="E2161" s="24"/>
    </row>
    <row r="2162" spans="5:5" x14ac:dyDescent="0.25">
      <c r="E2162" s="24"/>
    </row>
    <row r="2163" spans="5:5" x14ac:dyDescent="0.25">
      <c r="E2163" s="24"/>
    </row>
    <row r="2164" spans="5:5" x14ac:dyDescent="0.25">
      <c r="E2164" s="24"/>
    </row>
    <row r="2165" spans="5:5" x14ac:dyDescent="0.25">
      <c r="E2165" s="24"/>
    </row>
    <row r="2166" spans="5:5" x14ac:dyDescent="0.25">
      <c r="E2166" s="24"/>
    </row>
    <row r="2167" spans="5:5" x14ac:dyDescent="0.25">
      <c r="E2167" s="24"/>
    </row>
    <row r="2168" spans="5:5" x14ac:dyDescent="0.25">
      <c r="E2168" s="24"/>
    </row>
    <row r="2169" spans="5:5" x14ac:dyDescent="0.25">
      <c r="E2169" s="24"/>
    </row>
    <row r="2170" spans="5:5" x14ac:dyDescent="0.25">
      <c r="E2170" s="24"/>
    </row>
    <row r="2171" spans="5:5" x14ac:dyDescent="0.25">
      <c r="E2171" s="24"/>
    </row>
    <row r="2172" spans="5:5" x14ac:dyDescent="0.25">
      <c r="E2172" s="24"/>
    </row>
    <row r="2173" spans="5:5" x14ac:dyDescent="0.25">
      <c r="E2173" s="24"/>
    </row>
    <row r="2174" spans="5:5" x14ac:dyDescent="0.25">
      <c r="E2174" s="24"/>
    </row>
    <row r="2175" spans="5:5" x14ac:dyDescent="0.25">
      <c r="E2175" s="24"/>
    </row>
    <row r="2176" spans="5:5" x14ac:dyDescent="0.25">
      <c r="E2176" s="24"/>
    </row>
    <row r="2177" spans="5:5" x14ac:dyDescent="0.25">
      <c r="E2177" s="24"/>
    </row>
    <row r="2178" spans="5:5" x14ac:dyDescent="0.25">
      <c r="E2178" s="24"/>
    </row>
    <row r="2179" spans="5:5" x14ac:dyDescent="0.25">
      <c r="E2179" s="24"/>
    </row>
    <row r="2180" spans="5:5" x14ac:dyDescent="0.25">
      <c r="E2180" s="24"/>
    </row>
    <row r="2181" spans="5:5" x14ac:dyDescent="0.25">
      <c r="E2181" s="24"/>
    </row>
    <row r="2182" spans="5:5" x14ac:dyDescent="0.25">
      <c r="E2182" s="24"/>
    </row>
    <row r="2183" spans="5:5" x14ac:dyDescent="0.25">
      <c r="E2183" s="24"/>
    </row>
    <row r="2184" spans="5:5" x14ac:dyDescent="0.25">
      <c r="E2184" s="24"/>
    </row>
    <row r="2185" spans="5:5" x14ac:dyDescent="0.25">
      <c r="E2185" s="24"/>
    </row>
    <row r="2186" spans="5:5" x14ac:dyDescent="0.25">
      <c r="E2186" s="24"/>
    </row>
    <row r="2187" spans="5:5" x14ac:dyDescent="0.25">
      <c r="E2187" s="24"/>
    </row>
    <row r="2188" spans="5:5" x14ac:dyDescent="0.25">
      <c r="E2188" s="24"/>
    </row>
    <row r="2189" spans="5:5" x14ac:dyDescent="0.25">
      <c r="E2189" s="24"/>
    </row>
    <row r="2190" spans="5:5" x14ac:dyDescent="0.25">
      <c r="E2190" s="24"/>
    </row>
    <row r="2191" spans="5:5" x14ac:dyDescent="0.25">
      <c r="E2191" s="24"/>
    </row>
    <row r="2192" spans="5:5" x14ac:dyDescent="0.25">
      <c r="E2192" s="24"/>
    </row>
    <row r="2193" spans="5:5" x14ac:dyDescent="0.25">
      <c r="E2193" s="24"/>
    </row>
    <row r="2194" spans="5:5" x14ac:dyDescent="0.25">
      <c r="E2194" s="24"/>
    </row>
    <row r="2195" spans="5:5" x14ac:dyDescent="0.25">
      <c r="E2195" s="24"/>
    </row>
    <row r="2196" spans="5:5" x14ac:dyDescent="0.25">
      <c r="E2196" s="24"/>
    </row>
    <row r="2197" spans="5:5" x14ac:dyDescent="0.25">
      <c r="E2197" s="24"/>
    </row>
    <row r="2198" spans="5:5" x14ac:dyDescent="0.25">
      <c r="E2198" s="24"/>
    </row>
    <row r="2199" spans="5:5" x14ac:dyDescent="0.25">
      <c r="E2199" s="24"/>
    </row>
    <row r="2200" spans="5:5" x14ac:dyDescent="0.25">
      <c r="E2200" s="24"/>
    </row>
    <row r="2201" spans="5:5" x14ac:dyDescent="0.25">
      <c r="E2201" s="24"/>
    </row>
    <row r="2202" spans="5:5" x14ac:dyDescent="0.25">
      <c r="E2202" s="24"/>
    </row>
    <row r="2203" spans="5:5" x14ac:dyDescent="0.25">
      <c r="E2203" s="24"/>
    </row>
    <row r="2204" spans="5:5" x14ac:dyDescent="0.25">
      <c r="E2204" s="24"/>
    </row>
    <row r="2205" spans="5:5" x14ac:dyDescent="0.25">
      <c r="E2205" s="24"/>
    </row>
    <row r="2206" spans="5:5" x14ac:dyDescent="0.25">
      <c r="E2206" s="24"/>
    </row>
    <row r="2207" spans="5:5" x14ac:dyDescent="0.25">
      <c r="E2207" s="24"/>
    </row>
    <row r="2208" spans="5:5" x14ac:dyDescent="0.25">
      <c r="E2208" s="24"/>
    </row>
    <row r="2209" spans="5:5" x14ac:dyDescent="0.25">
      <c r="E2209" s="24"/>
    </row>
    <row r="2210" spans="5:5" x14ac:dyDescent="0.25">
      <c r="E2210" s="24"/>
    </row>
    <row r="2211" spans="5:5" x14ac:dyDescent="0.25">
      <c r="E2211" s="24"/>
    </row>
    <row r="2212" spans="5:5" x14ac:dyDescent="0.25">
      <c r="E2212" s="24"/>
    </row>
    <row r="2213" spans="5:5" x14ac:dyDescent="0.25">
      <c r="E2213" s="24"/>
    </row>
    <row r="2214" spans="5:5" x14ac:dyDescent="0.25">
      <c r="E2214" s="24"/>
    </row>
    <row r="2215" spans="5:5" x14ac:dyDescent="0.25">
      <c r="E2215" s="24"/>
    </row>
    <row r="2216" spans="5:5" x14ac:dyDescent="0.25">
      <c r="E2216" s="24"/>
    </row>
    <row r="2217" spans="5:5" x14ac:dyDescent="0.25">
      <c r="E2217" s="24"/>
    </row>
    <row r="2218" spans="5:5" x14ac:dyDescent="0.25">
      <c r="E2218" s="24"/>
    </row>
    <row r="2219" spans="5:5" x14ac:dyDescent="0.25">
      <c r="E2219" s="24"/>
    </row>
    <row r="2220" spans="5:5" x14ac:dyDescent="0.25">
      <c r="E2220" s="24"/>
    </row>
    <row r="2221" spans="5:5" x14ac:dyDescent="0.25">
      <c r="E2221" s="24"/>
    </row>
    <row r="2222" spans="5:5" x14ac:dyDescent="0.25">
      <c r="E2222" s="24"/>
    </row>
    <row r="2223" spans="5:5" x14ac:dyDescent="0.25">
      <c r="E2223" s="24"/>
    </row>
    <row r="2224" spans="5:5" x14ac:dyDescent="0.25">
      <c r="E2224" s="24"/>
    </row>
    <row r="2225" spans="5:5" x14ac:dyDescent="0.25">
      <c r="E2225" s="24"/>
    </row>
    <row r="2226" spans="5:5" x14ac:dyDescent="0.25">
      <c r="E2226" s="24"/>
    </row>
    <row r="2227" spans="5:5" x14ac:dyDescent="0.25">
      <c r="E2227" s="24"/>
    </row>
    <row r="2228" spans="5:5" x14ac:dyDescent="0.25">
      <c r="E2228" s="24"/>
    </row>
    <row r="2229" spans="5:5" x14ac:dyDescent="0.25">
      <c r="E2229" s="24"/>
    </row>
    <row r="2230" spans="5:5" x14ac:dyDescent="0.25">
      <c r="E2230" s="24"/>
    </row>
    <row r="2231" spans="5:5" x14ac:dyDescent="0.25">
      <c r="E2231" s="24"/>
    </row>
    <row r="2232" spans="5:5" x14ac:dyDescent="0.25">
      <c r="E2232" s="24"/>
    </row>
    <row r="2233" spans="5:5" x14ac:dyDescent="0.25">
      <c r="E2233" s="24"/>
    </row>
    <row r="2234" spans="5:5" x14ac:dyDescent="0.25">
      <c r="E2234" s="24"/>
    </row>
    <row r="2235" spans="5:5" x14ac:dyDescent="0.25">
      <c r="E2235" s="24"/>
    </row>
    <row r="2236" spans="5:5" x14ac:dyDescent="0.25">
      <c r="E2236" s="24"/>
    </row>
    <row r="2237" spans="5:5" x14ac:dyDescent="0.25">
      <c r="E2237" s="24"/>
    </row>
    <row r="2238" spans="5:5" x14ac:dyDescent="0.25">
      <c r="E2238" s="24"/>
    </row>
    <row r="2239" spans="5:5" x14ac:dyDescent="0.25">
      <c r="E2239" s="24"/>
    </row>
    <row r="2240" spans="5:5" x14ac:dyDescent="0.25">
      <c r="E2240" s="24"/>
    </row>
    <row r="2241" spans="5:5" x14ac:dyDescent="0.25">
      <c r="E2241" s="24"/>
    </row>
    <row r="2242" spans="5:5" x14ac:dyDescent="0.25">
      <c r="E2242" s="24"/>
    </row>
    <row r="2243" spans="5:5" x14ac:dyDescent="0.25">
      <c r="E2243" s="24"/>
    </row>
    <row r="2244" spans="5:5" x14ac:dyDescent="0.25">
      <c r="E2244" s="24"/>
    </row>
    <row r="2245" spans="5:5" x14ac:dyDescent="0.25">
      <c r="E2245" s="24"/>
    </row>
    <row r="2246" spans="5:5" x14ac:dyDescent="0.25">
      <c r="E2246" s="24"/>
    </row>
    <row r="2247" spans="5:5" x14ac:dyDescent="0.25">
      <c r="E2247" s="24"/>
    </row>
    <row r="2248" spans="5:5" x14ac:dyDescent="0.25">
      <c r="E2248" s="24"/>
    </row>
    <row r="2249" spans="5:5" x14ac:dyDescent="0.25">
      <c r="E2249" s="24"/>
    </row>
    <row r="2250" spans="5:5" x14ac:dyDescent="0.25">
      <c r="E2250" s="24"/>
    </row>
    <row r="2251" spans="5:5" x14ac:dyDescent="0.25">
      <c r="E2251" s="24"/>
    </row>
    <row r="2252" spans="5:5" x14ac:dyDescent="0.25">
      <c r="E2252" s="24"/>
    </row>
    <row r="2253" spans="5:5" x14ac:dyDescent="0.25">
      <c r="E2253" s="24"/>
    </row>
    <row r="2254" spans="5:5" x14ac:dyDescent="0.25">
      <c r="E2254" s="24"/>
    </row>
    <row r="2255" spans="5:5" x14ac:dyDescent="0.25">
      <c r="E2255" s="24"/>
    </row>
    <row r="2256" spans="5:5" x14ac:dyDescent="0.25">
      <c r="E2256" s="24"/>
    </row>
    <row r="2257" spans="5:5" x14ac:dyDescent="0.25">
      <c r="E2257" s="24"/>
    </row>
    <row r="2258" spans="5:5" x14ac:dyDescent="0.25">
      <c r="E2258" s="24"/>
    </row>
    <row r="2259" spans="5:5" x14ac:dyDescent="0.25">
      <c r="E2259" s="24"/>
    </row>
    <row r="2260" spans="5:5" x14ac:dyDescent="0.25">
      <c r="E2260" s="24"/>
    </row>
    <row r="2261" spans="5:5" x14ac:dyDescent="0.25">
      <c r="E2261" s="24"/>
    </row>
    <row r="2262" spans="5:5" x14ac:dyDescent="0.25">
      <c r="E2262" s="24"/>
    </row>
    <row r="2263" spans="5:5" x14ac:dyDescent="0.25">
      <c r="E2263" s="24"/>
    </row>
    <row r="2264" spans="5:5" x14ac:dyDescent="0.25">
      <c r="E2264" s="24"/>
    </row>
    <row r="2265" spans="5:5" x14ac:dyDescent="0.25">
      <c r="E2265" s="24"/>
    </row>
    <row r="2266" spans="5:5" x14ac:dyDescent="0.25">
      <c r="E2266" s="24"/>
    </row>
    <row r="2267" spans="5:5" x14ac:dyDescent="0.25">
      <c r="E2267" s="24"/>
    </row>
    <row r="2268" spans="5:5" x14ac:dyDescent="0.25">
      <c r="E2268" s="24"/>
    </row>
    <row r="2269" spans="5:5" x14ac:dyDescent="0.25">
      <c r="E2269" s="24"/>
    </row>
    <row r="2270" spans="5:5" x14ac:dyDescent="0.25">
      <c r="E2270" s="24"/>
    </row>
    <row r="2271" spans="5:5" x14ac:dyDescent="0.25">
      <c r="E2271" s="24"/>
    </row>
    <row r="2272" spans="5:5" x14ac:dyDescent="0.25">
      <c r="E2272" s="24"/>
    </row>
    <row r="2273" spans="5:5" x14ac:dyDescent="0.25">
      <c r="E2273" s="24"/>
    </row>
    <row r="2274" spans="5:5" x14ac:dyDescent="0.25">
      <c r="E2274" s="24"/>
    </row>
    <row r="2275" spans="5:5" x14ac:dyDescent="0.25">
      <c r="E2275" s="24"/>
    </row>
    <row r="2276" spans="5:5" x14ac:dyDescent="0.25">
      <c r="E2276" s="24"/>
    </row>
    <row r="2277" spans="5:5" x14ac:dyDescent="0.25">
      <c r="E2277" s="24"/>
    </row>
    <row r="2278" spans="5:5" x14ac:dyDescent="0.25">
      <c r="E2278" s="24"/>
    </row>
    <row r="2279" spans="5:5" x14ac:dyDescent="0.25">
      <c r="E2279" s="24"/>
    </row>
    <row r="2280" spans="5:5" x14ac:dyDescent="0.25">
      <c r="E2280" s="24"/>
    </row>
    <row r="2281" spans="5:5" x14ac:dyDescent="0.25">
      <c r="E2281" s="24"/>
    </row>
    <row r="2282" spans="5:5" x14ac:dyDescent="0.25">
      <c r="E2282" s="24"/>
    </row>
    <row r="2283" spans="5:5" x14ac:dyDescent="0.25">
      <c r="E2283" s="24"/>
    </row>
    <row r="2284" spans="5:5" x14ac:dyDescent="0.25">
      <c r="E2284" s="24"/>
    </row>
    <row r="2285" spans="5:5" x14ac:dyDescent="0.25">
      <c r="E2285" s="24"/>
    </row>
    <row r="2286" spans="5:5" x14ac:dyDescent="0.25">
      <c r="E2286" s="24"/>
    </row>
    <row r="2287" spans="5:5" x14ac:dyDescent="0.25">
      <c r="E2287" s="24"/>
    </row>
    <row r="2288" spans="5:5" x14ac:dyDescent="0.25">
      <c r="E2288" s="24"/>
    </row>
    <row r="2289" spans="5:5" x14ac:dyDescent="0.25">
      <c r="E2289" s="24"/>
    </row>
    <row r="2290" spans="5:5" x14ac:dyDescent="0.25">
      <c r="E2290" s="24"/>
    </row>
    <row r="2291" spans="5:5" x14ac:dyDescent="0.25">
      <c r="E2291" s="24"/>
    </row>
    <row r="2292" spans="5:5" x14ac:dyDescent="0.25">
      <c r="E2292" s="24"/>
    </row>
    <row r="2293" spans="5:5" x14ac:dyDescent="0.25">
      <c r="E2293" s="24"/>
    </row>
    <row r="2294" spans="5:5" x14ac:dyDescent="0.25">
      <c r="E2294" s="24"/>
    </row>
    <row r="2295" spans="5:5" x14ac:dyDescent="0.25">
      <c r="E2295" s="24"/>
    </row>
    <row r="2296" spans="5:5" x14ac:dyDescent="0.25">
      <c r="E2296" s="24"/>
    </row>
    <row r="2297" spans="5:5" x14ac:dyDescent="0.25">
      <c r="E2297" s="24"/>
    </row>
    <row r="2298" spans="5:5" x14ac:dyDescent="0.25">
      <c r="E2298" s="24"/>
    </row>
    <row r="2299" spans="5:5" x14ac:dyDescent="0.25">
      <c r="E2299" s="24"/>
    </row>
    <row r="2300" spans="5:5" x14ac:dyDescent="0.25">
      <c r="E2300" s="24"/>
    </row>
    <row r="2301" spans="5:5" x14ac:dyDescent="0.25">
      <c r="E2301" s="24"/>
    </row>
    <row r="2302" spans="5:5" x14ac:dyDescent="0.25">
      <c r="E2302" s="24"/>
    </row>
    <row r="2303" spans="5:5" x14ac:dyDescent="0.25">
      <c r="E2303" s="24"/>
    </row>
    <row r="2304" spans="5:5" x14ac:dyDescent="0.25">
      <c r="E2304" s="24"/>
    </row>
    <row r="2305" spans="5:5" x14ac:dyDescent="0.25">
      <c r="E2305" s="24"/>
    </row>
    <row r="2306" spans="5:5" x14ac:dyDescent="0.25">
      <c r="E2306" s="24"/>
    </row>
    <row r="2307" spans="5:5" x14ac:dyDescent="0.25">
      <c r="E2307" s="24"/>
    </row>
    <row r="2308" spans="5:5" x14ac:dyDescent="0.25">
      <c r="E2308" s="24"/>
    </row>
    <row r="2309" spans="5:5" x14ac:dyDescent="0.25">
      <c r="E2309" s="24"/>
    </row>
    <row r="2310" spans="5:5" x14ac:dyDescent="0.25">
      <c r="E2310" s="24"/>
    </row>
    <row r="2311" spans="5:5" x14ac:dyDescent="0.25">
      <c r="E2311" s="24"/>
    </row>
    <row r="2312" spans="5:5" x14ac:dyDescent="0.25">
      <c r="E2312" s="24"/>
    </row>
    <row r="2313" spans="5:5" x14ac:dyDescent="0.25">
      <c r="E2313" s="24"/>
    </row>
    <row r="2314" spans="5:5" x14ac:dyDescent="0.25">
      <c r="E2314" s="24"/>
    </row>
    <row r="2315" spans="5:5" x14ac:dyDescent="0.25">
      <c r="E2315" s="24"/>
    </row>
    <row r="2316" spans="5:5" x14ac:dyDescent="0.25">
      <c r="E2316" s="24"/>
    </row>
    <row r="2317" spans="5:5" x14ac:dyDescent="0.25">
      <c r="E2317" s="24"/>
    </row>
    <row r="2318" spans="5:5" x14ac:dyDescent="0.25">
      <c r="E2318" s="24"/>
    </row>
    <row r="2319" spans="5:5" x14ac:dyDescent="0.25">
      <c r="E2319" s="24"/>
    </row>
    <row r="2320" spans="5:5" x14ac:dyDescent="0.25">
      <c r="E2320" s="24"/>
    </row>
    <row r="2321" spans="5:5" x14ac:dyDescent="0.25">
      <c r="E2321" s="24"/>
    </row>
    <row r="2322" spans="5:5" x14ac:dyDescent="0.25">
      <c r="E2322" s="24"/>
    </row>
    <row r="2323" spans="5:5" x14ac:dyDescent="0.25">
      <c r="E2323" s="24"/>
    </row>
    <row r="2324" spans="5:5" x14ac:dyDescent="0.25">
      <c r="E2324" s="24"/>
    </row>
    <row r="2325" spans="5:5" x14ac:dyDescent="0.25">
      <c r="E2325" s="24"/>
    </row>
    <row r="2326" spans="5:5" x14ac:dyDescent="0.25">
      <c r="E2326" s="24"/>
    </row>
    <row r="2327" spans="5:5" x14ac:dyDescent="0.25">
      <c r="E2327" s="24"/>
    </row>
    <row r="2328" spans="5:5" x14ac:dyDescent="0.25">
      <c r="E2328" s="24"/>
    </row>
    <row r="2329" spans="5:5" x14ac:dyDescent="0.25">
      <c r="E2329" s="24"/>
    </row>
    <row r="2330" spans="5:5" x14ac:dyDescent="0.25">
      <c r="E2330" s="24"/>
    </row>
    <row r="2331" spans="5:5" x14ac:dyDescent="0.25">
      <c r="E2331" s="24"/>
    </row>
    <row r="2332" spans="5:5" x14ac:dyDescent="0.25">
      <c r="E2332" s="24"/>
    </row>
    <row r="2333" spans="5:5" x14ac:dyDescent="0.25">
      <c r="E2333" s="24"/>
    </row>
    <row r="2334" spans="5:5" x14ac:dyDescent="0.25">
      <c r="E2334" s="24"/>
    </row>
    <row r="2335" spans="5:5" x14ac:dyDescent="0.25">
      <c r="E2335" s="24"/>
    </row>
    <row r="2336" spans="5:5" x14ac:dyDescent="0.25">
      <c r="E2336" s="24"/>
    </row>
    <row r="2337" spans="5:5" x14ac:dyDescent="0.25">
      <c r="E2337" s="24"/>
    </row>
    <row r="2338" spans="5:5" x14ac:dyDescent="0.25">
      <c r="E2338" s="24"/>
    </row>
    <row r="2339" spans="5:5" x14ac:dyDescent="0.25">
      <c r="E2339" s="24"/>
    </row>
    <row r="2340" spans="5:5" x14ac:dyDescent="0.25">
      <c r="E2340" s="24"/>
    </row>
    <row r="2341" spans="5:5" x14ac:dyDescent="0.25">
      <c r="E2341" s="24"/>
    </row>
    <row r="2342" spans="5:5" x14ac:dyDescent="0.25">
      <c r="E2342" s="24"/>
    </row>
    <row r="2343" spans="5:5" x14ac:dyDescent="0.25">
      <c r="E2343" s="24"/>
    </row>
    <row r="2344" spans="5:5" x14ac:dyDescent="0.25">
      <c r="E2344" s="24"/>
    </row>
    <row r="2345" spans="5:5" x14ac:dyDescent="0.25">
      <c r="E2345" s="24"/>
    </row>
    <row r="2346" spans="5:5" x14ac:dyDescent="0.25">
      <c r="E2346" s="24"/>
    </row>
    <row r="2347" spans="5:5" x14ac:dyDescent="0.25">
      <c r="E2347" s="24"/>
    </row>
    <row r="2348" spans="5:5" x14ac:dyDescent="0.25">
      <c r="E2348" s="24"/>
    </row>
    <row r="2349" spans="5:5" x14ac:dyDescent="0.25">
      <c r="E2349" s="24"/>
    </row>
    <row r="2350" spans="5:5" x14ac:dyDescent="0.25">
      <c r="E2350" s="24"/>
    </row>
    <row r="2351" spans="5:5" x14ac:dyDescent="0.25">
      <c r="E2351" s="24"/>
    </row>
    <row r="2352" spans="5:5" x14ac:dyDescent="0.25">
      <c r="E2352" s="24"/>
    </row>
    <row r="2353" spans="5:5" x14ac:dyDescent="0.25">
      <c r="E2353" s="24"/>
    </row>
    <row r="2354" spans="5:5" x14ac:dyDescent="0.25">
      <c r="E2354" s="24"/>
    </row>
    <row r="2355" spans="5:5" x14ac:dyDescent="0.25">
      <c r="E2355" s="24"/>
    </row>
    <row r="2356" spans="5:5" x14ac:dyDescent="0.25">
      <c r="E2356" s="24"/>
    </row>
    <row r="2357" spans="5:5" x14ac:dyDescent="0.25">
      <c r="E2357" s="24"/>
    </row>
    <row r="2358" spans="5:5" x14ac:dyDescent="0.25">
      <c r="E2358" s="24"/>
    </row>
    <row r="2359" spans="5:5" x14ac:dyDescent="0.25">
      <c r="E2359" s="24"/>
    </row>
    <row r="2360" spans="5:5" x14ac:dyDescent="0.25">
      <c r="E2360" s="24"/>
    </row>
    <row r="2361" spans="5:5" x14ac:dyDescent="0.25">
      <c r="E2361" s="24"/>
    </row>
    <row r="2362" spans="5:5" x14ac:dyDescent="0.25">
      <c r="E2362" s="24"/>
    </row>
    <row r="2363" spans="5:5" x14ac:dyDescent="0.25">
      <c r="E2363" s="24"/>
    </row>
    <row r="2364" spans="5:5" x14ac:dyDescent="0.25">
      <c r="E2364" s="24"/>
    </row>
    <row r="2365" spans="5:5" x14ac:dyDescent="0.25">
      <c r="E2365" s="24"/>
    </row>
    <row r="2366" spans="5:5" x14ac:dyDescent="0.25">
      <c r="E2366" s="24"/>
    </row>
    <row r="2367" spans="5:5" x14ac:dyDescent="0.25">
      <c r="E2367" s="24"/>
    </row>
    <row r="2368" spans="5:5" x14ac:dyDescent="0.25">
      <c r="E2368" s="24"/>
    </row>
    <row r="2369" spans="5:5" x14ac:dyDescent="0.25">
      <c r="E2369" s="24"/>
    </row>
    <row r="2370" spans="5:5" x14ac:dyDescent="0.25">
      <c r="E2370" s="24"/>
    </row>
    <row r="2371" spans="5:5" x14ac:dyDescent="0.25">
      <c r="E2371" s="24"/>
    </row>
    <row r="2372" spans="5:5" x14ac:dyDescent="0.25">
      <c r="E2372" s="24"/>
    </row>
    <row r="2373" spans="5:5" x14ac:dyDescent="0.25">
      <c r="E2373" s="24"/>
    </row>
    <row r="2374" spans="5:5" x14ac:dyDescent="0.25">
      <c r="E2374" s="24"/>
    </row>
    <row r="2375" spans="5:5" x14ac:dyDescent="0.25">
      <c r="E2375" s="24"/>
    </row>
    <row r="2376" spans="5:5" x14ac:dyDescent="0.25">
      <c r="E2376" s="24"/>
    </row>
    <row r="2377" spans="5:5" x14ac:dyDescent="0.25">
      <c r="E2377" s="24"/>
    </row>
    <row r="2378" spans="5:5" x14ac:dyDescent="0.25">
      <c r="E2378" s="24"/>
    </row>
    <row r="2379" spans="5:5" x14ac:dyDescent="0.25">
      <c r="E2379" s="24"/>
    </row>
    <row r="2380" spans="5:5" x14ac:dyDescent="0.25">
      <c r="E2380" s="24"/>
    </row>
    <row r="2381" spans="5:5" x14ac:dyDescent="0.25">
      <c r="E2381" s="24"/>
    </row>
    <row r="2382" spans="5:5" x14ac:dyDescent="0.25">
      <c r="E2382" s="24"/>
    </row>
    <row r="2383" spans="5:5" x14ac:dyDescent="0.25">
      <c r="E2383" s="24"/>
    </row>
    <row r="2384" spans="5:5" x14ac:dyDescent="0.25">
      <c r="E2384" s="24"/>
    </row>
    <row r="2385" spans="5:5" x14ac:dyDescent="0.25">
      <c r="E2385" s="24"/>
    </row>
    <row r="2386" spans="5:5" x14ac:dyDescent="0.25">
      <c r="E2386" s="24"/>
    </row>
    <row r="2387" spans="5:5" x14ac:dyDescent="0.25">
      <c r="E2387" s="24"/>
    </row>
    <row r="2388" spans="5:5" x14ac:dyDescent="0.25">
      <c r="E2388" s="24"/>
    </row>
    <row r="2389" spans="5:5" x14ac:dyDescent="0.25">
      <c r="E2389" s="24"/>
    </row>
    <row r="2390" spans="5:5" x14ac:dyDescent="0.25">
      <c r="E2390" s="24"/>
    </row>
    <row r="2391" spans="5:5" x14ac:dyDescent="0.25">
      <c r="E2391" s="24"/>
    </row>
    <row r="2392" spans="5:5" x14ac:dyDescent="0.25">
      <c r="E2392" s="24"/>
    </row>
    <row r="2393" spans="5:5" x14ac:dyDescent="0.25">
      <c r="E2393" s="24"/>
    </row>
    <row r="2394" spans="5:5" x14ac:dyDescent="0.25">
      <c r="E2394" s="24"/>
    </row>
    <row r="2395" spans="5:5" x14ac:dyDescent="0.25">
      <c r="E2395" s="24"/>
    </row>
    <row r="2396" spans="5:5" x14ac:dyDescent="0.25">
      <c r="E2396" s="24"/>
    </row>
    <row r="2397" spans="5:5" x14ac:dyDescent="0.25">
      <c r="E2397" s="24"/>
    </row>
    <row r="2398" spans="5:5" x14ac:dyDescent="0.25">
      <c r="E2398" s="24"/>
    </row>
    <row r="2399" spans="5:5" x14ac:dyDescent="0.25">
      <c r="E2399" s="24"/>
    </row>
    <row r="2400" spans="5:5" x14ac:dyDescent="0.25">
      <c r="E2400" s="24"/>
    </row>
    <row r="2401" spans="5:5" x14ac:dyDescent="0.25">
      <c r="E2401" s="24"/>
    </row>
    <row r="2402" spans="5:5" x14ac:dyDescent="0.25">
      <c r="E2402" s="24"/>
    </row>
    <row r="2403" spans="5:5" x14ac:dyDescent="0.25">
      <c r="E2403" s="24"/>
    </row>
    <row r="2404" spans="5:5" x14ac:dyDescent="0.25">
      <c r="E2404" s="24"/>
    </row>
    <row r="2405" spans="5:5" x14ac:dyDescent="0.25">
      <c r="E2405" s="24"/>
    </row>
    <row r="2406" spans="5:5" x14ac:dyDescent="0.25">
      <c r="E2406" s="24"/>
    </row>
    <row r="2407" spans="5:5" x14ac:dyDescent="0.25">
      <c r="E2407" s="24"/>
    </row>
    <row r="2408" spans="5:5" x14ac:dyDescent="0.25">
      <c r="E2408" s="24"/>
    </row>
    <row r="2409" spans="5:5" x14ac:dyDescent="0.25">
      <c r="E2409" s="24"/>
    </row>
    <row r="2410" spans="5:5" x14ac:dyDescent="0.25">
      <c r="E2410" s="24"/>
    </row>
    <row r="2411" spans="5:5" x14ac:dyDescent="0.25">
      <c r="E2411" s="24"/>
    </row>
    <row r="2412" spans="5:5" x14ac:dyDescent="0.25">
      <c r="E2412" s="24"/>
    </row>
    <row r="2413" spans="5:5" x14ac:dyDescent="0.25">
      <c r="E2413" s="24"/>
    </row>
    <row r="2414" spans="5:5" x14ac:dyDescent="0.25">
      <c r="E2414" s="24"/>
    </row>
    <row r="2415" spans="5:5" x14ac:dyDescent="0.25">
      <c r="E2415" s="24"/>
    </row>
    <row r="2416" spans="5:5" x14ac:dyDescent="0.25">
      <c r="E2416" s="24"/>
    </row>
    <row r="2417" spans="5:5" x14ac:dyDescent="0.25">
      <c r="E2417" s="24"/>
    </row>
    <row r="2418" spans="5:5" x14ac:dyDescent="0.25">
      <c r="E2418" s="24"/>
    </row>
    <row r="2419" spans="5:5" x14ac:dyDescent="0.25">
      <c r="E2419" s="24"/>
    </row>
    <row r="2420" spans="5:5" x14ac:dyDescent="0.25">
      <c r="E2420" s="24"/>
    </row>
    <row r="2421" spans="5:5" x14ac:dyDescent="0.25">
      <c r="E2421" s="24"/>
    </row>
    <row r="2422" spans="5:5" x14ac:dyDescent="0.25">
      <c r="E2422" s="24"/>
    </row>
    <row r="2423" spans="5:5" x14ac:dyDescent="0.25">
      <c r="E2423" s="24"/>
    </row>
    <row r="2424" spans="5:5" x14ac:dyDescent="0.25">
      <c r="E2424" s="24"/>
    </row>
    <row r="2425" spans="5:5" x14ac:dyDescent="0.25">
      <c r="E2425" s="24"/>
    </row>
    <row r="2426" spans="5:5" x14ac:dyDescent="0.25">
      <c r="E2426" s="24"/>
    </row>
    <row r="2427" spans="5:5" x14ac:dyDescent="0.25">
      <c r="E2427" s="24"/>
    </row>
    <row r="2428" spans="5:5" x14ac:dyDescent="0.25">
      <c r="E2428" s="24"/>
    </row>
    <row r="2429" spans="5:5" x14ac:dyDescent="0.25">
      <c r="E2429" s="24"/>
    </row>
    <row r="2430" spans="5:5" x14ac:dyDescent="0.25">
      <c r="E2430" s="24"/>
    </row>
    <row r="2431" spans="5:5" x14ac:dyDescent="0.25">
      <c r="E2431" s="24"/>
    </row>
    <row r="2432" spans="5:5" x14ac:dyDescent="0.25">
      <c r="E2432" s="24"/>
    </row>
    <row r="2433" spans="5:5" x14ac:dyDescent="0.25">
      <c r="E2433" s="24"/>
    </row>
    <row r="2434" spans="5:5" x14ac:dyDescent="0.25">
      <c r="E2434" s="24"/>
    </row>
    <row r="2435" spans="5:5" x14ac:dyDescent="0.25">
      <c r="E2435" s="24"/>
    </row>
    <row r="2436" spans="5:5" x14ac:dyDescent="0.25">
      <c r="E2436" s="24"/>
    </row>
    <row r="2437" spans="5:5" x14ac:dyDescent="0.25">
      <c r="E2437" s="24"/>
    </row>
    <row r="2438" spans="5:5" x14ac:dyDescent="0.25">
      <c r="E2438" s="24"/>
    </row>
    <row r="2439" spans="5:5" x14ac:dyDescent="0.25">
      <c r="E2439" s="24"/>
    </row>
    <row r="2440" spans="5:5" x14ac:dyDescent="0.25">
      <c r="E2440" s="24"/>
    </row>
    <row r="2441" spans="5:5" x14ac:dyDescent="0.25">
      <c r="E2441" s="24"/>
    </row>
    <row r="2442" spans="5:5" x14ac:dyDescent="0.25">
      <c r="E2442" s="24"/>
    </row>
    <row r="2443" spans="5:5" x14ac:dyDescent="0.25">
      <c r="E2443" s="24"/>
    </row>
    <row r="2444" spans="5:5" x14ac:dyDescent="0.25">
      <c r="E2444" s="24"/>
    </row>
    <row r="2445" spans="5:5" x14ac:dyDescent="0.25">
      <c r="E2445" s="24"/>
    </row>
    <row r="2446" spans="5:5" x14ac:dyDescent="0.25">
      <c r="E2446" s="24"/>
    </row>
    <row r="2447" spans="5:5" x14ac:dyDescent="0.25">
      <c r="E2447" s="24"/>
    </row>
    <row r="2448" spans="5:5" x14ac:dyDescent="0.25">
      <c r="E2448" s="24"/>
    </row>
    <row r="2449" spans="5:5" x14ac:dyDescent="0.25">
      <c r="E2449" s="24"/>
    </row>
    <row r="2450" spans="5:5" x14ac:dyDescent="0.25">
      <c r="E2450" s="24"/>
    </row>
    <row r="2451" spans="5:5" x14ac:dyDescent="0.25">
      <c r="E2451" s="24"/>
    </row>
    <row r="2452" spans="5:5" x14ac:dyDescent="0.25">
      <c r="E2452" s="24"/>
    </row>
    <row r="2453" spans="5:5" x14ac:dyDescent="0.25">
      <c r="E2453" s="24"/>
    </row>
    <row r="2454" spans="5:5" x14ac:dyDescent="0.25">
      <c r="E2454" s="24"/>
    </row>
    <row r="2455" spans="5:5" x14ac:dyDescent="0.25">
      <c r="E2455" s="24"/>
    </row>
    <row r="2456" spans="5:5" x14ac:dyDescent="0.25">
      <c r="E2456" s="24"/>
    </row>
    <row r="2457" spans="5:5" x14ac:dyDescent="0.25">
      <c r="E2457" s="24"/>
    </row>
    <row r="2458" spans="5:5" x14ac:dyDescent="0.25">
      <c r="E2458" s="24"/>
    </row>
    <row r="2459" spans="5:5" x14ac:dyDescent="0.25">
      <c r="E2459" s="24"/>
    </row>
    <row r="2460" spans="5:5" x14ac:dyDescent="0.25">
      <c r="E2460" s="24"/>
    </row>
    <row r="2461" spans="5:5" x14ac:dyDescent="0.25">
      <c r="E2461" s="24"/>
    </row>
    <row r="2462" spans="5:5" x14ac:dyDescent="0.25">
      <c r="E2462" s="24"/>
    </row>
    <row r="2463" spans="5:5" x14ac:dyDescent="0.25">
      <c r="E2463" s="24"/>
    </row>
    <row r="2464" spans="5:5" x14ac:dyDescent="0.25">
      <c r="E2464" s="24"/>
    </row>
    <row r="2465" spans="5:5" x14ac:dyDescent="0.25">
      <c r="E2465" s="24"/>
    </row>
    <row r="2466" spans="5:5" x14ac:dyDescent="0.25">
      <c r="E2466" s="24"/>
    </row>
    <row r="2467" spans="5:5" x14ac:dyDescent="0.25">
      <c r="E2467" s="24"/>
    </row>
    <row r="2468" spans="5:5" x14ac:dyDescent="0.25">
      <c r="E2468" s="24"/>
    </row>
    <row r="2469" spans="5:5" x14ac:dyDescent="0.25">
      <c r="E2469" s="24"/>
    </row>
    <row r="2470" spans="5:5" x14ac:dyDescent="0.25">
      <c r="E2470" s="24"/>
    </row>
    <row r="2471" spans="5:5" x14ac:dyDescent="0.25">
      <c r="E2471" s="24"/>
    </row>
    <row r="2472" spans="5:5" x14ac:dyDescent="0.25">
      <c r="E2472" s="24"/>
    </row>
    <row r="2473" spans="5:5" x14ac:dyDescent="0.25">
      <c r="E2473" s="24"/>
    </row>
    <row r="2474" spans="5:5" x14ac:dyDescent="0.25">
      <c r="E2474" s="24"/>
    </row>
    <row r="2475" spans="5:5" x14ac:dyDescent="0.25">
      <c r="E2475" s="24"/>
    </row>
    <row r="2476" spans="5:5" x14ac:dyDescent="0.25">
      <c r="E2476" s="24"/>
    </row>
    <row r="2477" spans="5:5" x14ac:dyDescent="0.25">
      <c r="E2477" s="24"/>
    </row>
    <row r="2478" spans="5:5" x14ac:dyDescent="0.25">
      <c r="E2478" s="24"/>
    </row>
    <row r="2479" spans="5:5" x14ac:dyDescent="0.25">
      <c r="E2479" s="24"/>
    </row>
    <row r="2480" spans="5:5" x14ac:dyDescent="0.25">
      <c r="E2480" s="24"/>
    </row>
    <row r="2481" spans="5:5" x14ac:dyDescent="0.25">
      <c r="E2481" s="24"/>
    </row>
    <row r="2482" spans="5:5" x14ac:dyDescent="0.25">
      <c r="E2482" s="24"/>
    </row>
    <row r="2483" spans="5:5" x14ac:dyDescent="0.25">
      <c r="E2483" s="24"/>
    </row>
    <row r="2484" spans="5:5" x14ac:dyDescent="0.25">
      <c r="E2484" s="24"/>
    </row>
    <row r="2485" spans="5:5" x14ac:dyDescent="0.25">
      <c r="E2485" s="24"/>
    </row>
    <row r="2486" spans="5:5" x14ac:dyDescent="0.25">
      <c r="E2486" s="24"/>
    </row>
    <row r="2487" spans="5:5" x14ac:dyDescent="0.25">
      <c r="E2487" s="24"/>
    </row>
    <row r="2488" spans="5:5" x14ac:dyDescent="0.25">
      <c r="E2488" s="24"/>
    </row>
    <row r="2489" spans="5:5" x14ac:dyDescent="0.25">
      <c r="E2489" s="24"/>
    </row>
    <row r="2490" spans="5:5" x14ac:dyDescent="0.25">
      <c r="E2490" s="24"/>
    </row>
    <row r="2491" spans="5:5" x14ac:dyDescent="0.25">
      <c r="E2491" s="24"/>
    </row>
    <row r="2492" spans="5:5" x14ac:dyDescent="0.25">
      <c r="E2492" s="24"/>
    </row>
    <row r="2493" spans="5:5" x14ac:dyDescent="0.25">
      <c r="E2493" s="24"/>
    </row>
    <row r="2494" spans="5:5" x14ac:dyDescent="0.25">
      <c r="E2494" s="24"/>
    </row>
    <row r="2495" spans="5:5" x14ac:dyDescent="0.25">
      <c r="E2495" s="24"/>
    </row>
    <row r="2496" spans="5:5" x14ac:dyDescent="0.25">
      <c r="E2496" s="24"/>
    </row>
    <row r="2497" spans="5:5" x14ac:dyDescent="0.25">
      <c r="E2497" s="24"/>
    </row>
    <row r="2498" spans="5:5" x14ac:dyDescent="0.25">
      <c r="E2498" s="24"/>
    </row>
    <row r="2499" spans="5:5" x14ac:dyDescent="0.25">
      <c r="E2499" s="24"/>
    </row>
    <row r="2500" spans="5:5" x14ac:dyDescent="0.25">
      <c r="E2500" s="24"/>
    </row>
    <row r="2501" spans="5:5" x14ac:dyDescent="0.25">
      <c r="E2501" s="24"/>
    </row>
    <row r="2502" spans="5:5" x14ac:dyDescent="0.25">
      <c r="E2502" s="24"/>
    </row>
    <row r="2503" spans="5:5" x14ac:dyDescent="0.25">
      <c r="E2503" s="24"/>
    </row>
    <row r="2504" spans="5:5" x14ac:dyDescent="0.25">
      <c r="E2504" s="24"/>
    </row>
    <row r="2505" spans="5:5" x14ac:dyDescent="0.25">
      <c r="E2505" s="24"/>
    </row>
    <row r="2506" spans="5:5" x14ac:dyDescent="0.25">
      <c r="E2506" s="24"/>
    </row>
    <row r="2507" spans="5:5" x14ac:dyDescent="0.25">
      <c r="E2507" s="24"/>
    </row>
    <row r="2508" spans="5:5" x14ac:dyDescent="0.25">
      <c r="E2508" s="24"/>
    </row>
    <row r="2509" spans="5:5" x14ac:dyDescent="0.25">
      <c r="E2509" s="24"/>
    </row>
    <row r="2510" spans="5:5" x14ac:dyDescent="0.25">
      <c r="E2510" s="24"/>
    </row>
    <row r="2511" spans="5:5" x14ac:dyDescent="0.25">
      <c r="E2511" s="24"/>
    </row>
    <row r="2512" spans="5:5" x14ac:dyDescent="0.25">
      <c r="E2512" s="24"/>
    </row>
    <row r="2513" spans="5:5" x14ac:dyDescent="0.25">
      <c r="E2513" s="24"/>
    </row>
    <row r="2514" spans="5:5" x14ac:dyDescent="0.25">
      <c r="E2514" s="24"/>
    </row>
    <row r="2515" spans="5:5" x14ac:dyDescent="0.25">
      <c r="E2515" s="24"/>
    </row>
    <row r="2516" spans="5:5" x14ac:dyDescent="0.25">
      <c r="E2516" s="24"/>
    </row>
    <row r="2517" spans="5:5" x14ac:dyDescent="0.25">
      <c r="E2517" s="24"/>
    </row>
    <row r="2518" spans="5:5" x14ac:dyDescent="0.25">
      <c r="E2518" s="24"/>
    </row>
    <row r="2519" spans="5:5" x14ac:dyDescent="0.25">
      <c r="E2519" s="24"/>
    </row>
    <row r="2520" spans="5:5" x14ac:dyDescent="0.25">
      <c r="E2520" s="24"/>
    </row>
    <row r="2521" spans="5:5" x14ac:dyDescent="0.25">
      <c r="E2521" s="24"/>
    </row>
    <row r="2522" spans="5:5" x14ac:dyDescent="0.25">
      <c r="E2522" s="24"/>
    </row>
    <row r="2523" spans="5:5" x14ac:dyDescent="0.25">
      <c r="E2523" s="24"/>
    </row>
    <row r="2524" spans="5:5" x14ac:dyDescent="0.25">
      <c r="E2524" s="24"/>
    </row>
    <row r="2525" spans="5:5" x14ac:dyDescent="0.25">
      <c r="E2525" s="24"/>
    </row>
    <row r="2526" spans="5:5" x14ac:dyDescent="0.25">
      <c r="E2526" s="24"/>
    </row>
    <row r="2527" spans="5:5" x14ac:dyDescent="0.25">
      <c r="E2527" s="24"/>
    </row>
    <row r="2528" spans="5:5" x14ac:dyDescent="0.25">
      <c r="E2528" s="24"/>
    </row>
    <row r="2529" spans="5:5" x14ac:dyDescent="0.25">
      <c r="E2529" s="24"/>
    </row>
    <row r="2530" spans="5:5" x14ac:dyDescent="0.25">
      <c r="E2530" s="24"/>
    </row>
    <row r="2531" spans="5:5" x14ac:dyDescent="0.25">
      <c r="E2531" s="24"/>
    </row>
    <row r="2532" spans="5:5" x14ac:dyDescent="0.25">
      <c r="E2532" s="24"/>
    </row>
    <row r="2533" spans="5:5" x14ac:dyDescent="0.25">
      <c r="E2533" s="24"/>
    </row>
    <row r="2534" spans="5:5" x14ac:dyDescent="0.25">
      <c r="E2534" s="24"/>
    </row>
    <row r="2535" spans="5:5" x14ac:dyDescent="0.25">
      <c r="E2535" s="24"/>
    </row>
    <row r="2536" spans="5:5" x14ac:dyDescent="0.25">
      <c r="E2536" s="24"/>
    </row>
    <row r="2537" spans="5:5" x14ac:dyDescent="0.25">
      <c r="E2537" s="24"/>
    </row>
    <row r="2538" spans="5:5" x14ac:dyDescent="0.25">
      <c r="E2538" s="24"/>
    </row>
    <row r="2539" spans="5:5" x14ac:dyDescent="0.25">
      <c r="E2539" s="24"/>
    </row>
    <row r="2540" spans="5:5" x14ac:dyDescent="0.25">
      <c r="E2540" s="24"/>
    </row>
    <row r="2541" spans="5:5" x14ac:dyDescent="0.25">
      <c r="E2541" s="24"/>
    </row>
    <row r="2542" spans="5:5" x14ac:dyDescent="0.25">
      <c r="E2542" s="24"/>
    </row>
    <row r="2543" spans="5:5" x14ac:dyDescent="0.25">
      <c r="E2543" s="24"/>
    </row>
    <row r="2544" spans="5:5" x14ac:dyDescent="0.25">
      <c r="E2544" s="24"/>
    </row>
    <row r="2545" spans="5:5" x14ac:dyDescent="0.25">
      <c r="E2545" s="24"/>
    </row>
    <row r="2546" spans="5:5" x14ac:dyDescent="0.25">
      <c r="E2546" s="24"/>
    </row>
    <row r="2547" spans="5:5" x14ac:dyDescent="0.25">
      <c r="E2547" s="24"/>
    </row>
    <row r="2548" spans="5:5" x14ac:dyDescent="0.25">
      <c r="E2548" s="24"/>
    </row>
    <row r="2549" spans="5:5" x14ac:dyDescent="0.25">
      <c r="E2549" s="24"/>
    </row>
    <row r="2550" spans="5:5" x14ac:dyDescent="0.25">
      <c r="E2550" s="24"/>
    </row>
    <row r="2551" spans="5:5" x14ac:dyDescent="0.25">
      <c r="E2551" s="24"/>
    </row>
    <row r="2552" spans="5:5" x14ac:dyDescent="0.25">
      <c r="E2552" s="24"/>
    </row>
    <row r="2553" spans="5:5" x14ac:dyDescent="0.25">
      <c r="E2553" s="24"/>
    </row>
    <row r="2554" spans="5:5" x14ac:dyDescent="0.25">
      <c r="E2554" s="24"/>
    </row>
    <row r="2555" spans="5:5" x14ac:dyDescent="0.25">
      <c r="E2555" s="24"/>
    </row>
    <row r="2556" spans="5:5" x14ac:dyDescent="0.25">
      <c r="E2556" s="24"/>
    </row>
    <row r="2557" spans="5:5" x14ac:dyDescent="0.25">
      <c r="E2557" s="24"/>
    </row>
    <row r="2558" spans="5:5" x14ac:dyDescent="0.25">
      <c r="E2558" s="24"/>
    </row>
    <row r="2559" spans="5:5" x14ac:dyDescent="0.25">
      <c r="E2559" s="24"/>
    </row>
    <row r="2560" spans="5:5" x14ac:dyDescent="0.25">
      <c r="E2560" s="24"/>
    </row>
    <row r="2561" spans="5:5" x14ac:dyDescent="0.25">
      <c r="E2561" s="24"/>
    </row>
    <row r="2562" spans="5:5" x14ac:dyDescent="0.25">
      <c r="E2562" s="24"/>
    </row>
    <row r="2563" spans="5:5" x14ac:dyDescent="0.25">
      <c r="E2563" s="24"/>
    </row>
    <row r="2564" spans="5:5" x14ac:dyDescent="0.25">
      <c r="E2564" s="24"/>
    </row>
    <row r="2565" spans="5:5" x14ac:dyDescent="0.25">
      <c r="E2565" s="24"/>
    </row>
    <row r="2566" spans="5:5" x14ac:dyDescent="0.25">
      <c r="E2566" s="24"/>
    </row>
    <row r="2567" spans="5:5" x14ac:dyDescent="0.25">
      <c r="E2567" s="24"/>
    </row>
    <row r="2568" spans="5:5" x14ac:dyDescent="0.25">
      <c r="E2568" s="24"/>
    </row>
    <row r="2569" spans="5:5" x14ac:dyDescent="0.25">
      <c r="E2569" s="24"/>
    </row>
    <row r="2570" spans="5:5" x14ac:dyDescent="0.25">
      <c r="E2570" s="24"/>
    </row>
    <row r="2571" spans="5:5" x14ac:dyDescent="0.25">
      <c r="E2571" s="24"/>
    </row>
    <row r="2572" spans="5:5" x14ac:dyDescent="0.25">
      <c r="E2572" s="24"/>
    </row>
    <row r="2573" spans="5:5" x14ac:dyDescent="0.25">
      <c r="E2573" s="24"/>
    </row>
    <row r="2574" spans="5:5" x14ac:dyDescent="0.25">
      <c r="E2574" s="24"/>
    </row>
    <row r="2575" spans="5:5" x14ac:dyDescent="0.25">
      <c r="E2575" s="24"/>
    </row>
    <row r="2576" spans="5:5" x14ac:dyDescent="0.25">
      <c r="E2576" s="24"/>
    </row>
    <row r="2577" spans="5:5" x14ac:dyDescent="0.25">
      <c r="E2577" s="24"/>
    </row>
    <row r="2578" spans="5:5" x14ac:dyDescent="0.25">
      <c r="E2578" s="24"/>
    </row>
    <row r="2579" spans="5:5" x14ac:dyDescent="0.25">
      <c r="E2579" s="24"/>
    </row>
    <row r="2580" spans="5:5" x14ac:dyDescent="0.25">
      <c r="E2580" s="24"/>
    </row>
    <row r="2581" spans="5:5" x14ac:dyDescent="0.25">
      <c r="E2581" s="24"/>
    </row>
    <row r="2582" spans="5:5" x14ac:dyDescent="0.25">
      <c r="E2582" s="24"/>
    </row>
    <row r="2583" spans="5:5" x14ac:dyDescent="0.25">
      <c r="E2583" s="24"/>
    </row>
    <row r="2584" spans="5:5" x14ac:dyDescent="0.25">
      <c r="E2584" s="24"/>
    </row>
    <row r="2585" spans="5:5" x14ac:dyDescent="0.25">
      <c r="E2585" s="24"/>
    </row>
    <row r="2586" spans="5:5" x14ac:dyDescent="0.25">
      <c r="E2586" s="24"/>
    </row>
    <row r="2587" spans="5:5" x14ac:dyDescent="0.25">
      <c r="E2587" s="24"/>
    </row>
    <row r="2588" spans="5:5" x14ac:dyDescent="0.25">
      <c r="E2588" s="24"/>
    </row>
    <row r="2589" spans="5:5" x14ac:dyDescent="0.25">
      <c r="E2589" s="24"/>
    </row>
    <row r="2590" spans="5:5" x14ac:dyDescent="0.25">
      <c r="E2590" s="24"/>
    </row>
    <row r="2591" spans="5:5" x14ac:dyDescent="0.25">
      <c r="E2591" s="24"/>
    </row>
    <row r="2592" spans="5:5" x14ac:dyDescent="0.25">
      <c r="E2592" s="24"/>
    </row>
    <row r="2593" spans="5:5" x14ac:dyDescent="0.25">
      <c r="E2593" s="24"/>
    </row>
    <row r="2594" spans="5:5" x14ac:dyDescent="0.25">
      <c r="E2594" s="24"/>
    </row>
    <row r="2595" spans="5:5" x14ac:dyDescent="0.25">
      <c r="E2595" s="24"/>
    </row>
    <row r="2596" spans="5:5" x14ac:dyDescent="0.25">
      <c r="E2596" s="24"/>
    </row>
    <row r="2597" spans="5:5" x14ac:dyDescent="0.25">
      <c r="E2597" s="24"/>
    </row>
    <row r="2598" spans="5:5" x14ac:dyDescent="0.25">
      <c r="E2598" s="24"/>
    </row>
    <row r="2599" spans="5:5" x14ac:dyDescent="0.25">
      <c r="E2599" s="24"/>
    </row>
    <row r="2600" spans="5:5" x14ac:dyDescent="0.25">
      <c r="E2600" s="24"/>
    </row>
    <row r="2601" spans="5:5" x14ac:dyDescent="0.25">
      <c r="E2601" s="24"/>
    </row>
    <row r="2602" spans="5:5" x14ac:dyDescent="0.25">
      <c r="E2602" s="24"/>
    </row>
    <row r="2603" spans="5:5" x14ac:dyDescent="0.25">
      <c r="E2603" s="24"/>
    </row>
    <row r="2604" spans="5:5" x14ac:dyDescent="0.25">
      <c r="E2604" s="24"/>
    </row>
    <row r="2605" spans="5:5" x14ac:dyDescent="0.25">
      <c r="E2605" s="24"/>
    </row>
    <row r="2606" spans="5:5" x14ac:dyDescent="0.25">
      <c r="E2606" s="24"/>
    </row>
    <row r="2607" spans="5:5" x14ac:dyDescent="0.25">
      <c r="E2607" s="24"/>
    </row>
    <row r="2608" spans="5:5" x14ac:dyDescent="0.25">
      <c r="E2608" s="24"/>
    </row>
    <row r="2609" spans="5:5" x14ac:dyDescent="0.25">
      <c r="E2609" s="24"/>
    </row>
    <row r="2610" spans="5:5" x14ac:dyDescent="0.25">
      <c r="E2610" s="24"/>
    </row>
    <row r="2611" spans="5:5" x14ac:dyDescent="0.25">
      <c r="E2611" s="24"/>
    </row>
    <row r="2612" spans="5:5" x14ac:dyDescent="0.25">
      <c r="E2612" s="24"/>
    </row>
    <row r="2613" spans="5:5" x14ac:dyDescent="0.25">
      <c r="E2613" s="24"/>
    </row>
    <row r="2614" spans="5:5" x14ac:dyDescent="0.25">
      <c r="E2614" s="24"/>
    </row>
    <row r="2615" spans="5:5" x14ac:dyDescent="0.25">
      <c r="E2615" s="24"/>
    </row>
    <row r="2616" spans="5:5" x14ac:dyDescent="0.25">
      <c r="E2616" s="24"/>
    </row>
    <row r="2617" spans="5:5" x14ac:dyDescent="0.25">
      <c r="E2617" s="24"/>
    </row>
    <row r="2618" spans="5:5" x14ac:dyDescent="0.25">
      <c r="E2618" s="24"/>
    </row>
    <row r="2619" spans="5:5" x14ac:dyDescent="0.25">
      <c r="E2619" s="24"/>
    </row>
    <row r="2620" spans="5:5" x14ac:dyDescent="0.25">
      <c r="E2620" s="24"/>
    </row>
    <row r="2621" spans="5:5" x14ac:dyDescent="0.25">
      <c r="E2621" s="24"/>
    </row>
    <row r="2622" spans="5:5" x14ac:dyDescent="0.25">
      <c r="E2622" s="24"/>
    </row>
    <row r="2623" spans="5:5" x14ac:dyDescent="0.25">
      <c r="E2623" s="24"/>
    </row>
    <row r="2624" spans="5:5" x14ac:dyDescent="0.25">
      <c r="E2624" s="24"/>
    </row>
    <row r="2625" spans="5:5" x14ac:dyDescent="0.25">
      <c r="E2625" s="24"/>
    </row>
    <row r="2626" spans="5:5" x14ac:dyDescent="0.25">
      <c r="E2626" s="24"/>
    </row>
    <row r="2627" spans="5:5" x14ac:dyDescent="0.25">
      <c r="E2627" s="24"/>
    </row>
    <row r="2628" spans="5:5" x14ac:dyDescent="0.25">
      <c r="E2628" s="24"/>
    </row>
    <row r="2629" spans="5:5" x14ac:dyDescent="0.25">
      <c r="E2629" s="24"/>
    </row>
    <row r="2630" spans="5:5" x14ac:dyDescent="0.25">
      <c r="E2630" s="24"/>
    </row>
    <row r="2631" spans="5:5" x14ac:dyDescent="0.25">
      <c r="E2631" s="24"/>
    </row>
    <row r="2632" spans="5:5" x14ac:dyDescent="0.25">
      <c r="E2632" s="24"/>
    </row>
    <row r="2633" spans="5:5" x14ac:dyDescent="0.25">
      <c r="E2633" s="24"/>
    </row>
    <row r="2634" spans="5:5" x14ac:dyDescent="0.25">
      <c r="E2634" s="24"/>
    </row>
    <row r="2635" spans="5:5" x14ac:dyDescent="0.25">
      <c r="E2635" s="24"/>
    </row>
    <row r="2636" spans="5:5" x14ac:dyDescent="0.25">
      <c r="E2636" s="24"/>
    </row>
    <row r="2637" spans="5:5" x14ac:dyDescent="0.25">
      <c r="E2637" s="24"/>
    </row>
    <row r="2638" spans="5:5" x14ac:dyDescent="0.25">
      <c r="E2638" s="24"/>
    </row>
    <row r="2639" spans="5:5" x14ac:dyDescent="0.25">
      <c r="E2639" s="24"/>
    </row>
    <row r="2640" spans="5:5" x14ac:dyDescent="0.25">
      <c r="E2640" s="24"/>
    </row>
    <row r="2641" spans="5:5" x14ac:dyDescent="0.25">
      <c r="E2641" s="24"/>
    </row>
    <row r="2642" spans="5:5" x14ac:dyDescent="0.25">
      <c r="E2642" s="24"/>
    </row>
    <row r="2643" spans="5:5" x14ac:dyDescent="0.25">
      <c r="E2643" s="24"/>
    </row>
    <row r="2644" spans="5:5" x14ac:dyDescent="0.25">
      <c r="E2644" s="24"/>
    </row>
    <row r="2645" spans="5:5" x14ac:dyDescent="0.25">
      <c r="E2645" s="24"/>
    </row>
    <row r="2646" spans="5:5" x14ac:dyDescent="0.25">
      <c r="E2646" s="24"/>
    </row>
    <row r="2647" spans="5:5" x14ac:dyDescent="0.25">
      <c r="E2647" s="24"/>
    </row>
    <row r="2648" spans="5:5" x14ac:dyDescent="0.25">
      <c r="E2648" s="24"/>
    </row>
    <row r="2649" spans="5:5" x14ac:dyDescent="0.25">
      <c r="E2649" s="24"/>
    </row>
    <row r="2650" spans="5:5" x14ac:dyDescent="0.25">
      <c r="E2650" s="24"/>
    </row>
    <row r="2651" spans="5:5" x14ac:dyDescent="0.25">
      <c r="E2651" s="24"/>
    </row>
    <row r="2652" spans="5:5" x14ac:dyDescent="0.25">
      <c r="E2652" s="24"/>
    </row>
    <row r="2653" spans="5:5" x14ac:dyDescent="0.25">
      <c r="E2653" s="24"/>
    </row>
    <row r="2654" spans="5:5" x14ac:dyDescent="0.25">
      <c r="E2654" s="24"/>
    </row>
    <row r="2655" spans="5:5" x14ac:dyDescent="0.25">
      <c r="E2655" s="24"/>
    </row>
    <row r="2656" spans="5:5" x14ac:dyDescent="0.25">
      <c r="E2656" s="24"/>
    </row>
    <row r="2657" spans="5:5" x14ac:dyDescent="0.25">
      <c r="E2657" s="24"/>
    </row>
    <row r="2658" spans="5:5" x14ac:dyDescent="0.25">
      <c r="E2658" s="24"/>
    </row>
    <row r="2659" spans="5:5" x14ac:dyDescent="0.25">
      <c r="E2659" s="24"/>
    </row>
    <row r="2660" spans="5:5" x14ac:dyDescent="0.25">
      <c r="E2660" s="24"/>
    </row>
    <row r="2661" spans="5:5" x14ac:dyDescent="0.25">
      <c r="E2661" s="24"/>
    </row>
    <row r="2662" spans="5:5" x14ac:dyDescent="0.25">
      <c r="E2662" s="24"/>
    </row>
    <row r="2663" spans="5:5" x14ac:dyDescent="0.25">
      <c r="E2663" s="24"/>
    </row>
    <row r="2664" spans="5:5" x14ac:dyDescent="0.25">
      <c r="E2664" s="24"/>
    </row>
    <row r="2665" spans="5:5" x14ac:dyDescent="0.25">
      <c r="E2665" s="24"/>
    </row>
    <row r="2666" spans="5:5" x14ac:dyDescent="0.25">
      <c r="E2666" s="24"/>
    </row>
    <row r="2667" spans="5:5" x14ac:dyDescent="0.25">
      <c r="E2667" s="24"/>
    </row>
    <row r="2668" spans="5:5" x14ac:dyDescent="0.25">
      <c r="E2668" s="24"/>
    </row>
    <row r="2669" spans="5:5" x14ac:dyDescent="0.25">
      <c r="E2669" s="24"/>
    </row>
    <row r="2670" spans="5:5" x14ac:dyDescent="0.25">
      <c r="E2670" s="24"/>
    </row>
    <row r="2671" spans="5:5" x14ac:dyDescent="0.25">
      <c r="E2671" s="24"/>
    </row>
    <row r="2672" spans="5:5" x14ac:dyDescent="0.25">
      <c r="E2672" s="24"/>
    </row>
    <row r="2673" spans="5:5" x14ac:dyDescent="0.25">
      <c r="E2673" s="24"/>
    </row>
    <row r="2674" spans="5:5" x14ac:dyDescent="0.25">
      <c r="E2674" s="24"/>
    </row>
    <row r="2675" spans="5:5" x14ac:dyDescent="0.25">
      <c r="E2675" s="24"/>
    </row>
    <row r="2676" spans="5:5" x14ac:dyDescent="0.25">
      <c r="E2676" s="24"/>
    </row>
    <row r="2677" spans="5:5" x14ac:dyDescent="0.25">
      <c r="E2677" s="24"/>
    </row>
    <row r="2678" spans="5:5" x14ac:dyDescent="0.25">
      <c r="E2678" s="24"/>
    </row>
    <row r="2679" spans="5:5" x14ac:dyDescent="0.25">
      <c r="E2679" s="24"/>
    </row>
    <row r="2680" spans="5:5" x14ac:dyDescent="0.25">
      <c r="E2680" s="24"/>
    </row>
    <row r="2681" spans="5:5" x14ac:dyDescent="0.25">
      <c r="E2681" s="24"/>
    </row>
    <row r="2682" spans="5:5" x14ac:dyDescent="0.25">
      <c r="E2682" s="24"/>
    </row>
    <row r="2683" spans="5:5" x14ac:dyDescent="0.25">
      <c r="E2683" s="24"/>
    </row>
    <row r="2684" spans="5:5" x14ac:dyDescent="0.25">
      <c r="E2684" s="24"/>
    </row>
    <row r="2685" spans="5:5" x14ac:dyDescent="0.25">
      <c r="E2685" s="24"/>
    </row>
    <row r="2686" spans="5:5" x14ac:dyDescent="0.25">
      <c r="E2686" s="24"/>
    </row>
    <row r="2687" spans="5:5" x14ac:dyDescent="0.25">
      <c r="E2687" s="24"/>
    </row>
    <row r="2688" spans="5:5" x14ac:dyDescent="0.25">
      <c r="E2688" s="24"/>
    </row>
    <row r="2689" spans="5:5" x14ac:dyDescent="0.25">
      <c r="E2689" s="24"/>
    </row>
    <row r="2690" spans="5:5" x14ac:dyDescent="0.25">
      <c r="E2690" s="24"/>
    </row>
    <row r="2691" spans="5:5" x14ac:dyDescent="0.25">
      <c r="E2691" s="24"/>
    </row>
    <row r="2692" spans="5:5" x14ac:dyDescent="0.25">
      <c r="E2692" s="24"/>
    </row>
    <row r="2693" spans="5:5" x14ac:dyDescent="0.25">
      <c r="E2693" s="24"/>
    </row>
    <row r="2694" spans="5:5" x14ac:dyDescent="0.25">
      <c r="E2694" s="24"/>
    </row>
    <row r="2695" spans="5:5" x14ac:dyDescent="0.25">
      <c r="E2695" s="24"/>
    </row>
    <row r="2696" spans="5:5" x14ac:dyDescent="0.25">
      <c r="E2696" s="24"/>
    </row>
    <row r="2697" spans="5:5" x14ac:dyDescent="0.25">
      <c r="E2697" s="24"/>
    </row>
    <row r="2698" spans="5:5" x14ac:dyDescent="0.25">
      <c r="E2698" s="24"/>
    </row>
    <row r="2699" spans="5:5" x14ac:dyDescent="0.25">
      <c r="E2699" s="24"/>
    </row>
    <row r="2700" spans="5:5" x14ac:dyDescent="0.25">
      <c r="E2700" s="24"/>
    </row>
    <row r="2701" spans="5:5" x14ac:dyDescent="0.25">
      <c r="E2701" s="24"/>
    </row>
    <row r="2702" spans="5:5" x14ac:dyDescent="0.25">
      <c r="E2702" s="24"/>
    </row>
    <row r="2703" spans="5:5" x14ac:dyDescent="0.25">
      <c r="E2703" s="24"/>
    </row>
    <row r="2704" spans="5:5" x14ac:dyDescent="0.25">
      <c r="E2704" s="24"/>
    </row>
    <row r="2705" spans="5:5" x14ac:dyDescent="0.25">
      <c r="E2705" s="24"/>
    </row>
    <row r="2706" spans="5:5" x14ac:dyDescent="0.25">
      <c r="E2706" s="24"/>
    </row>
    <row r="2707" spans="5:5" x14ac:dyDescent="0.25">
      <c r="E2707" s="24"/>
    </row>
    <row r="2708" spans="5:5" x14ac:dyDescent="0.25">
      <c r="E2708" s="24"/>
    </row>
    <row r="2709" spans="5:5" x14ac:dyDescent="0.25">
      <c r="E2709" s="24"/>
    </row>
    <row r="2710" spans="5:5" x14ac:dyDescent="0.25">
      <c r="E2710" s="24"/>
    </row>
    <row r="2711" spans="5:5" x14ac:dyDescent="0.25">
      <c r="E2711" s="24"/>
    </row>
    <row r="2712" spans="5:5" x14ac:dyDescent="0.25">
      <c r="E2712" s="24"/>
    </row>
    <row r="2713" spans="5:5" x14ac:dyDescent="0.25">
      <c r="E2713" s="24"/>
    </row>
    <row r="2714" spans="5:5" x14ac:dyDescent="0.25">
      <c r="E2714" s="24"/>
    </row>
    <row r="2715" spans="5:5" x14ac:dyDescent="0.25">
      <c r="E2715" s="24"/>
    </row>
    <row r="2716" spans="5:5" x14ac:dyDescent="0.25">
      <c r="E2716" s="24"/>
    </row>
    <row r="2717" spans="5:5" x14ac:dyDescent="0.25">
      <c r="E2717" s="24"/>
    </row>
    <row r="2718" spans="5:5" x14ac:dyDescent="0.25">
      <c r="E2718" s="24"/>
    </row>
    <row r="2719" spans="5:5" x14ac:dyDescent="0.25">
      <c r="E2719" s="24"/>
    </row>
    <row r="2720" spans="5:5" x14ac:dyDescent="0.25">
      <c r="E2720" s="24"/>
    </row>
    <row r="2721" spans="5:5" x14ac:dyDescent="0.25">
      <c r="E2721" s="24"/>
    </row>
    <row r="2722" spans="5:5" x14ac:dyDescent="0.25">
      <c r="E2722" s="24"/>
    </row>
    <row r="2723" spans="5:5" x14ac:dyDescent="0.25">
      <c r="E2723" s="24"/>
    </row>
    <row r="2724" spans="5:5" x14ac:dyDescent="0.25">
      <c r="E2724" s="24"/>
    </row>
    <row r="2725" spans="5:5" x14ac:dyDescent="0.25">
      <c r="E2725" s="24"/>
    </row>
    <row r="2726" spans="5:5" x14ac:dyDescent="0.25">
      <c r="E2726" s="24"/>
    </row>
    <row r="2727" spans="5:5" x14ac:dyDescent="0.25">
      <c r="E2727" s="24"/>
    </row>
    <row r="2728" spans="5:5" x14ac:dyDescent="0.25">
      <c r="E2728" s="24"/>
    </row>
    <row r="2729" spans="5:5" x14ac:dyDescent="0.25">
      <c r="E2729" s="24"/>
    </row>
    <row r="2730" spans="5:5" x14ac:dyDescent="0.25">
      <c r="E2730" s="24"/>
    </row>
    <row r="2731" spans="5:5" x14ac:dyDescent="0.25">
      <c r="E2731" s="24"/>
    </row>
    <row r="2732" spans="5:5" x14ac:dyDescent="0.25">
      <c r="E2732" s="24"/>
    </row>
    <row r="2733" spans="5:5" x14ac:dyDescent="0.25">
      <c r="E2733" s="24"/>
    </row>
    <row r="2734" spans="5:5" x14ac:dyDescent="0.25">
      <c r="E2734" s="24"/>
    </row>
    <row r="2735" spans="5:5" x14ac:dyDescent="0.25">
      <c r="E2735" s="24"/>
    </row>
    <row r="2736" spans="5:5" x14ac:dyDescent="0.25">
      <c r="E2736" s="24"/>
    </row>
    <row r="2737" spans="5:5" x14ac:dyDescent="0.25">
      <c r="E2737" s="24"/>
    </row>
    <row r="2738" spans="5:5" x14ac:dyDescent="0.25">
      <c r="E2738" s="24"/>
    </row>
    <row r="2739" spans="5:5" x14ac:dyDescent="0.25">
      <c r="E2739" s="24"/>
    </row>
    <row r="2740" spans="5:5" x14ac:dyDescent="0.25">
      <c r="E2740" s="24"/>
    </row>
    <row r="2741" spans="5:5" x14ac:dyDescent="0.25">
      <c r="E2741" s="24"/>
    </row>
    <row r="2742" spans="5:5" x14ac:dyDescent="0.25">
      <c r="E2742" s="24"/>
    </row>
    <row r="2743" spans="5:5" x14ac:dyDescent="0.25">
      <c r="E2743" s="24"/>
    </row>
    <row r="2744" spans="5:5" x14ac:dyDescent="0.25">
      <c r="E2744" s="24"/>
    </row>
    <row r="2745" spans="5:5" x14ac:dyDescent="0.25">
      <c r="E2745" s="24"/>
    </row>
    <row r="2746" spans="5:5" x14ac:dyDescent="0.25">
      <c r="E2746" s="24"/>
    </row>
    <row r="2747" spans="5:5" x14ac:dyDescent="0.25">
      <c r="E2747" s="24"/>
    </row>
    <row r="2748" spans="5:5" x14ac:dyDescent="0.25">
      <c r="E2748" s="24"/>
    </row>
    <row r="2749" spans="5:5" x14ac:dyDescent="0.25">
      <c r="E2749" s="24"/>
    </row>
    <row r="2750" spans="5:5" x14ac:dyDescent="0.25">
      <c r="E2750" s="24"/>
    </row>
    <row r="2751" spans="5:5" x14ac:dyDescent="0.25">
      <c r="E2751" s="24"/>
    </row>
    <row r="2752" spans="5:5" x14ac:dyDescent="0.25">
      <c r="E2752" s="24"/>
    </row>
    <row r="2753" spans="5:5" x14ac:dyDescent="0.25">
      <c r="E2753" s="24"/>
    </row>
    <row r="2754" spans="5:5" x14ac:dyDescent="0.25">
      <c r="E2754" s="24"/>
    </row>
    <row r="2755" spans="5:5" x14ac:dyDescent="0.25">
      <c r="E2755" s="24"/>
    </row>
    <row r="2756" spans="5:5" x14ac:dyDescent="0.25">
      <c r="E2756" s="24"/>
    </row>
    <row r="2757" spans="5:5" x14ac:dyDescent="0.25">
      <c r="E2757" s="24"/>
    </row>
    <row r="2758" spans="5:5" x14ac:dyDescent="0.25">
      <c r="E2758" s="24"/>
    </row>
    <row r="2759" spans="5:5" x14ac:dyDescent="0.25">
      <c r="E2759" s="24"/>
    </row>
    <row r="2760" spans="5:5" x14ac:dyDescent="0.25">
      <c r="E2760" s="24"/>
    </row>
    <row r="2761" spans="5:5" x14ac:dyDescent="0.25">
      <c r="E2761" s="24"/>
    </row>
    <row r="2762" spans="5:5" x14ac:dyDescent="0.25">
      <c r="E2762" s="24"/>
    </row>
    <row r="2763" spans="5:5" x14ac:dyDescent="0.25">
      <c r="E2763" s="24"/>
    </row>
    <row r="2764" spans="5:5" x14ac:dyDescent="0.25">
      <c r="E2764" s="24"/>
    </row>
    <row r="2765" spans="5:5" x14ac:dyDescent="0.25">
      <c r="E2765" s="24"/>
    </row>
    <row r="2766" spans="5:5" x14ac:dyDescent="0.25">
      <c r="E2766" s="24"/>
    </row>
    <row r="2767" spans="5:5" x14ac:dyDescent="0.25">
      <c r="E2767" s="24"/>
    </row>
    <row r="2768" spans="5:5" x14ac:dyDescent="0.25">
      <c r="E2768" s="24"/>
    </row>
    <row r="2769" spans="5:5" x14ac:dyDescent="0.25">
      <c r="E2769" s="24"/>
    </row>
    <row r="2770" spans="5:5" x14ac:dyDescent="0.25">
      <c r="E2770" s="24"/>
    </row>
    <row r="2771" spans="5:5" x14ac:dyDescent="0.25">
      <c r="E2771" s="24"/>
    </row>
    <row r="2772" spans="5:5" x14ac:dyDescent="0.25">
      <c r="E2772" s="24"/>
    </row>
    <row r="2773" spans="5:5" x14ac:dyDescent="0.25">
      <c r="E2773" s="24"/>
    </row>
    <row r="2774" spans="5:5" x14ac:dyDescent="0.25">
      <c r="E2774" s="24"/>
    </row>
    <row r="2775" spans="5:5" x14ac:dyDescent="0.25">
      <c r="E2775" s="24"/>
    </row>
    <row r="2776" spans="5:5" x14ac:dyDescent="0.25">
      <c r="E2776" s="24"/>
    </row>
    <row r="2777" spans="5:5" x14ac:dyDescent="0.25">
      <c r="E2777" s="24"/>
    </row>
    <row r="2778" spans="5:5" x14ac:dyDescent="0.25">
      <c r="E2778" s="24"/>
    </row>
    <row r="2779" spans="5:5" x14ac:dyDescent="0.25">
      <c r="E2779" s="24"/>
    </row>
    <row r="2780" spans="5:5" x14ac:dyDescent="0.25">
      <c r="E2780" s="24"/>
    </row>
    <row r="2781" spans="5:5" x14ac:dyDescent="0.25">
      <c r="E2781" s="24"/>
    </row>
    <row r="2782" spans="5:5" x14ac:dyDescent="0.25">
      <c r="E2782" s="24"/>
    </row>
    <row r="2783" spans="5:5" x14ac:dyDescent="0.25">
      <c r="E2783" s="24"/>
    </row>
    <row r="2784" spans="5:5" x14ac:dyDescent="0.25">
      <c r="E2784" s="24"/>
    </row>
    <row r="2785" spans="5:5" x14ac:dyDescent="0.25">
      <c r="E2785" s="24"/>
    </row>
    <row r="2786" spans="5:5" x14ac:dyDescent="0.25">
      <c r="E2786" s="24"/>
    </row>
    <row r="2787" spans="5:5" x14ac:dyDescent="0.25">
      <c r="E2787" s="24"/>
    </row>
    <row r="2788" spans="5:5" x14ac:dyDescent="0.25">
      <c r="E2788" s="24"/>
    </row>
    <row r="2789" spans="5:5" x14ac:dyDescent="0.25">
      <c r="E2789" s="24"/>
    </row>
    <row r="2790" spans="5:5" x14ac:dyDescent="0.25">
      <c r="E2790" s="24"/>
    </row>
    <row r="2791" spans="5:5" x14ac:dyDescent="0.25">
      <c r="E2791" s="24"/>
    </row>
    <row r="2792" spans="5:5" x14ac:dyDescent="0.25">
      <c r="E2792" s="24"/>
    </row>
    <row r="2793" spans="5:5" x14ac:dyDescent="0.25">
      <c r="E2793" s="24"/>
    </row>
    <row r="2794" spans="5:5" x14ac:dyDescent="0.25">
      <c r="E2794" s="24"/>
    </row>
    <row r="2795" spans="5:5" x14ac:dyDescent="0.25">
      <c r="E2795" s="24"/>
    </row>
    <row r="2796" spans="5:5" x14ac:dyDescent="0.25">
      <c r="E2796" s="24"/>
    </row>
    <row r="2797" spans="5:5" x14ac:dyDescent="0.25">
      <c r="E2797" s="24"/>
    </row>
    <row r="2798" spans="5:5" x14ac:dyDescent="0.25">
      <c r="E2798" s="24"/>
    </row>
    <row r="2799" spans="5:5" x14ac:dyDescent="0.25">
      <c r="E2799" s="24"/>
    </row>
    <row r="2800" spans="5:5" x14ac:dyDescent="0.25">
      <c r="E2800" s="24"/>
    </row>
    <row r="2801" spans="5:5" x14ac:dyDescent="0.25">
      <c r="E2801" s="24"/>
    </row>
    <row r="2802" spans="5:5" x14ac:dyDescent="0.25">
      <c r="E2802" s="24"/>
    </row>
    <row r="2803" spans="5:5" x14ac:dyDescent="0.25">
      <c r="E2803" s="24"/>
    </row>
    <row r="2804" spans="5:5" x14ac:dyDescent="0.25">
      <c r="E2804" s="24"/>
    </row>
    <row r="2805" spans="5:5" x14ac:dyDescent="0.25">
      <c r="E2805" s="24"/>
    </row>
    <row r="2806" spans="5:5" x14ac:dyDescent="0.25">
      <c r="E2806" s="24"/>
    </row>
    <row r="2807" spans="5:5" x14ac:dyDescent="0.25">
      <c r="E2807" s="24"/>
    </row>
    <row r="2808" spans="5:5" x14ac:dyDescent="0.25">
      <c r="E2808" s="24"/>
    </row>
    <row r="2809" spans="5:5" x14ac:dyDescent="0.25">
      <c r="E2809" s="24"/>
    </row>
    <row r="2810" spans="5:5" x14ac:dyDescent="0.25">
      <c r="E2810" s="24"/>
    </row>
    <row r="2811" spans="5:5" x14ac:dyDescent="0.25">
      <c r="E2811" s="24"/>
    </row>
    <row r="2812" spans="5:5" x14ac:dyDescent="0.25">
      <c r="E2812" s="24"/>
    </row>
    <row r="2813" spans="5:5" x14ac:dyDescent="0.25">
      <c r="E2813" s="24"/>
    </row>
    <row r="2814" spans="5:5" x14ac:dyDescent="0.25">
      <c r="E2814" s="24"/>
    </row>
    <row r="2815" spans="5:5" x14ac:dyDescent="0.25">
      <c r="E2815" s="24"/>
    </row>
    <row r="2816" spans="5:5" x14ac:dyDescent="0.25">
      <c r="E2816" s="24"/>
    </row>
    <row r="2817" spans="5:5" x14ac:dyDescent="0.25">
      <c r="E2817" s="24"/>
    </row>
    <row r="2818" spans="5:5" x14ac:dyDescent="0.25">
      <c r="E2818" s="24"/>
    </row>
    <row r="2819" spans="5:5" x14ac:dyDescent="0.25">
      <c r="E2819" s="24"/>
    </row>
    <row r="2820" spans="5:5" x14ac:dyDescent="0.25">
      <c r="E2820" s="24"/>
    </row>
    <row r="2821" spans="5:5" x14ac:dyDescent="0.25">
      <c r="E2821" s="24"/>
    </row>
    <row r="2822" spans="5:5" x14ac:dyDescent="0.25">
      <c r="E2822" s="24"/>
    </row>
    <row r="2823" spans="5:5" x14ac:dyDescent="0.25">
      <c r="E2823" s="24"/>
    </row>
    <row r="2824" spans="5:5" x14ac:dyDescent="0.25">
      <c r="E2824" s="24"/>
    </row>
    <row r="2825" spans="5:5" x14ac:dyDescent="0.25">
      <c r="E2825" s="24"/>
    </row>
    <row r="2826" spans="5:5" x14ac:dyDescent="0.25">
      <c r="E2826" s="24"/>
    </row>
    <row r="2827" spans="5:5" x14ac:dyDescent="0.25">
      <c r="E2827" s="24"/>
    </row>
    <row r="2828" spans="5:5" x14ac:dyDescent="0.25">
      <c r="E2828" s="24"/>
    </row>
    <row r="2829" spans="5:5" x14ac:dyDescent="0.25">
      <c r="E2829" s="24"/>
    </row>
    <row r="2830" spans="5:5" x14ac:dyDescent="0.25">
      <c r="E2830" s="24"/>
    </row>
    <row r="2831" spans="5:5" x14ac:dyDescent="0.25">
      <c r="E2831" s="24"/>
    </row>
    <row r="2832" spans="5:5" x14ac:dyDescent="0.25">
      <c r="E2832" s="24"/>
    </row>
    <row r="2833" spans="5:5" x14ac:dyDescent="0.25">
      <c r="E2833" s="24"/>
    </row>
    <row r="2834" spans="5:5" x14ac:dyDescent="0.25">
      <c r="E2834" s="24"/>
    </row>
    <row r="2835" spans="5:5" x14ac:dyDescent="0.25">
      <c r="E2835" s="24"/>
    </row>
    <row r="2836" spans="5:5" x14ac:dyDescent="0.25">
      <c r="E2836" s="24"/>
    </row>
    <row r="2837" spans="5:5" x14ac:dyDescent="0.25">
      <c r="E2837" s="24"/>
    </row>
    <row r="2838" spans="5:5" x14ac:dyDescent="0.25">
      <c r="E2838" s="24"/>
    </row>
    <row r="2839" spans="5:5" x14ac:dyDescent="0.25">
      <c r="E2839" s="24"/>
    </row>
    <row r="2840" spans="5:5" x14ac:dyDescent="0.25">
      <c r="E2840" s="24"/>
    </row>
    <row r="2841" spans="5:5" x14ac:dyDescent="0.25">
      <c r="E2841" s="24"/>
    </row>
    <row r="2842" spans="5:5" x14ac:dyDescent="0.25">
      <c r="E2842" s="24"/>
    </row>
    <row r="2843" spans="5:5" x14ac:dyDescent="0.25">
      <c r="E2843" s="24"/>
    </row>
    <row r="2844" spans="5:5" x14ac:dyDescent="0.25">
      <c r="E2844" s="24"/>
    </row>
    <row r="2845" spans="5:5" x14ac:dyDescent="0.25">
      <c r="E2845" s="24"/>
    </row>
    <row r="2846" spans="5:5" x14ac:dyDescent="0.25">
      <c r="E2846" s="24"/>
    </row>
    <row r="2847" spans="5:5" x14ac:dyDescent="0.25">
      <c r="E2847" s="24"/>
    </row>
    <row r="2848" spans="5:5" x14ac:dyDescent="0.25">
      <c r="E2848" s="24"/>
    </row>
    <row r="2849" spans="5:5" x14ac:dyDescent="0.25">
      <c r="E2849" s="24"/>
    </row>
    <row r="2850" spans="5:5" x14ac:dyDescent="0.25">
      <c r="E2850" s="24"/>
    </row>
    <row r="2851" spans="5:5" x14ac:dyDescent="0.25">
      <c r="E2851" s="24"/>
    </row>
    <row r="2852" spans="5:5" x14ac:dyDescent="0.25">
      <c r="E2852" s="24"/>
    </row>
    <row r="2853" spans="5:5" x14ac:dyDescent="0.25">
      <c r="E2853" s="24"/>
    </row>
    <row r="2854" spans="5:5" x14ac:dyDescent="0.25">
      <c r="E2854" s="24"/>
    </row>
    <row r="2855" spans="5:5" x14ac:dyDescent="0.25">
      <c r="E2855" s="24"/>
    </row>
    <row r="2856" spans="5:5" x14ac:dyDescent="0.25">
      <c r="E2856" s="24"/>
    </row>
    <row r="2857" spans="5:5" x14ac:dyDescent="0.25">
      <c r="E2857" s="24"/>
    </row>
    <row r="2858" spans="5:5" x14ac:dyDescent="0.25">
      <c r="E2858" s="24"/>
    </row>
    <row r="2859" spans="5:5" x14ac:dyDescent="0.25">
      <c r="E2859" s="24"/>
    </row>
    <row r="2860" spans="5:5" x14ac:dyDescent="0.25">
      <c r="E2860" s="24"/>
    </row>
    <row r="2861" spans="5:5" x14ac:dyDescent="0.25">
      <c r="E2861" s="24"/>
    </row>
    <row r="2862" spans="5:5" x14ac:dyDescent="0.25">
      <c r="E2862" s="24"/>
    </row>
    <row r="2863" spans="5:5" x14ac:dyDescent="0.25">
      <c r="E2863" s="24"/>
    </row>
    <row r="2864" spans="5:5" x14ac:dyDescent="0.25">
      <c r="E2864" s="24"/>
    </row>
    <row r="2865" spans="5:5" x14ac:dyDescent="0.25">
      <c r="E2865" s="24"/>
    </row>
    <row r="2866" spans="5:5" x14ac:dyDescent="0.25">
      <c r="E2866" s="24"/>
    </row>
    <row r="2867" spans="5:5" x14ac:dyDescent="0.25">
      <c r="E2867" s="24"/>
    </row>
    <row r="2868" spans="5:5" x14ac:dyDescent="0.25">
      <c r="E2868" s="24"/>
    </row>
    <row r="2869" spans="5:5" x14ac:dyDescent="0.25">
      <c r="E2869" s="24"/>
    </row>
    <row r="2870" spans="5:5" x14ac:dyDescent="0.25">
      <c r="E2870" s="24"/>
    </row>
    <row r="2871" spans="5:5" x14ac:dyDescent="0.25">
      <c r="E2871" s="24"/>
    </row>
    <row r="2872" spans="5:5" x14ac:dyDescent="0.25">
      <c r="E2872" s="24"/>
    </row>
    <row r="2873" spans="5:5" x14ac:dyDescent="0.25">
      <c r="E2873" s="24"/>
    </row>
    <row r="2874" spans="5:5" x14ac:dyDescent="0.25">
      <c r="E2874" s="24"/>
    </row>
    <row r="2875" spans="5:5" x14ac:dyDescent="0.25">
      <c r="E2875" s="24"/>
    </row>
    <row r="2876" spans="5:5" x14ac:dyDescent="0.25">
      <c r="E2876" s="24"/>
    </row>
    <row r="2877" spans="5:5" x14ac:dyDescent="0.25">
      <c r="E2877" s="24"/>
    </row>
    <row r="2878" spans="5:5" x14ac:dyDescent="0.25">
      <c r="E2878" s="24"/>
    </row>
    <row r="2879" spans="5:5" x14ac:dyDescent="0.25">
      <c r="E2879" s="24"/>
    </row>
    <row r="2880" spans="5:5" x14ac:dyDescent="0.25">
      <c r="E2880" s="24"/>
    </row>
    <row r="2881" spans="5:5" x14ac:dyDescent="0.25">
      <c r="E2881" s="24"/>
    </row>
    <row r="2882" spans="5:5" x14ac:dyDescent="0.25">
      <c r="E2882" s="24"/>
    </row>
    <row r="2883" spans="5:5" x14ac:dyDescent="0.25">
      <c r="E2883" s="24"/>
    </row>
    <row r="2884" spans="5:5" x14ac:dyDescent="0.25">
      <c r="E2884" s="24"/>
    </row>
    <row r="2885" spans="5:5" x14ac:dyDescent="0.25">
      <c r="E2885" s="24"/>
    </row>
    <row r="2886" spans="5:5" x14ac:dyDescent="0.25">
      <c r="E2886" s="24"/>
    </row>
    <row r="2887" spans="5:5" x14ac:dyDescent="0.25">
      <c r="E2887" s="24"/>
    </row>
    <row r="2888" spans="5:5" x14ac:dyDescent="0.25">
      <c r="E2888" s="24"/>
    </row>
    <row r="2889" spans="5:5" x14ac:dyDescent="0.25">
      <c r="E2889" s="24"/>
    </row>
    <row r="2890" spans="5:5" x14ac:dyDescent="0.25">
      <c r="E2890" s="24"/>
    </row>
    <row r="2891" spans="5:5" x14ac:dyDescent="0.25">
      <c r="E2891" s="24"/>
    </row>
    <row r="2892" spans="5:5" x14ac:dyDescent="0.25">
      <c r="E2892" s="24"/>
    </row>
    <row r="2893" spans="5:5" x14ac:dyDescent="0.25">
      <c r="E2893" s="24"/>
    </row>
    <row r="2894" spans="5:5" x14ac:dyDescent="0.25">
      <c r="E2894" s="24"/>
    </row>
    <row r="2895" spans="5:5" x14ac:dyDescent="0.25">
      <c r="E2895" s="24"/>
    </row>
    <row r="2896" spans="5:5" x14ac:dyDescent="0.25">
      <c r="E2896" s="24"/>
    </row>
    <row r="2897" spans="5:5" x14ac:dyDescent="0.25">
      <c r="E2897" s="24"/>
    </row>
    <row r="2898" spans="5:5" x14ac:dyDescent="0.25">
      <c r="E2898" s="24"/>
    </row>
    <row r="2899" spans="5:5" x14ac:dyDescent="0.25">
      <c r="E2899" s="24"/>
    </row>
    <row r="2900" spans="5:5" x14ac:dyDescent="0.25">
      <c r="E2900" s="24"/>
    </row>
    <row r="2901" spans="5:5" x14ac:dyDescent="0.25">
      <c r="E2901" s="24"/>
    </row>
    <row r="2902" spans="5:5" x14ac:dyDescent="0.25">
      <c r="E2902" s="24"/>
    </row>
    <row r="2903" spans="5:5" x14ac:dyDescent="0.25">
      <c r="E2903" s="24"/>
    </row>
    <row r="2904" spans="5:5" x14ac:dyDescent="0.25">
      <c r="E2904" s="24"/>
    </row>
    <row r="2905" spans="5:5" x14ac:dyDescent="0.25">
      <c r="E2905" s="24"/>
    </row>
    <row r="2906" spans="5:5" x14ac:dyDescent="0.25">
      <c r="E2906" s="24"/>
    </row>
    <row r="2907" spans="5:5" x14ac:dyDescent="0.25">
      <c r="E2907" s="24"/>
    </row>
    <row r="2908" spans="5:5" x14ac:dyDescent="0.25">
      <c r="E2908" s="24"/>
    </row>
    <row r="2909" spans="5:5" x14ac:dyDescent="0.25">
      <c r="E2909" s="24"/>
    </row>
    <row r="2910" spans="5:5" x14ac:dyDescent="0.25">
      <c r="E2910" s="24"/>
    </row>
    <row r="2911" spans="5:5" x14ac:dyDescent="0.25">
      <c r="E2911" s="24"/>
    </row>
    <row r="2912" spans="5:5" x14ac:dyDescent="0.25">
      <c r="E2912" s="24"/>
    </row>
    <row r="2913" spans="5:5" x14ac:dyDescent="0.25">
      <c r="E2913" s="24"/>
    </row>
    <row r="2914" spans="5:5" x14ac:dyDescent="0.25">
      <c r="E2914" s="24"/>
    </row>
    <row r="2915" spans="5:5" x14ac:dyDescent="0.25">
      <c r="E2915" s="24"/>
    </row>
    <row r="2916" spans="5:5" x14ac:dyDescent="0.25">
      <c r="E2916" s="24"/>
    </row>
    <row r="2917" spans="5:5" x14ac:dyDescent="0.25">
      <c r="E2917" s="24"/>
    </row>
    <row r="2918" spans="5:5" x14ac:dyDescent="0.25">
      <c r="E2918" s="24"/>
    </row>
    <row r="2919" spans="5:5" x14ac:dyDescent="0.25">
      <c r="E2919" s="24"/>
    </row>
    <row r="2920" spans="5:5" x14ac:dyDescent="0.25">
      <c r="E2920" s="24"/>
    </row>
    <row r="2921" spans="5:5" x14ac:dyDescent="0.25">
      <c r="E2921" s="24"/>
    </row>
    <row r="2922" spans="5:5" x14ac:dyDescent="0.25">
      <c r="E2922" s="24"/>
    </row>
    <row r="2923" spans="5:5" x14ac:dyDescent="0.25">
      <c r="E2923" s="24"/>
    </row>
    <row r="2924" spans="5:5" x14ac:dyDescent="0.25">
      <c r="E2924" s="24"/>
    </row>
    <row r="2925" spans="5:5" x14ac:dyDescent="0.25">
      <c r="E2925" s="24"/>
    </row>
    <row r="2926" spans="5:5" x14ac:dyDescent="0.25">
      <c r="E2926" s="24"/>
    </row>
    <row r="2927" spans="5:5" x14ac:dyDescent="0.25">
      <c r="E2927" s="24"/>
    </row>
    <row r="2928" spans="5:5" x14ac:dyDescent="0.25">
      <c r="E2928" s="24"/>
    </row>
    <row r="2929" spans="5:5" x14ac:dyDescent="0.25">
      <c r="E2929" s="24"/>
    </row>
    <row r="2930" spans="5:5" x14ac:dyDescent="0.25">
      <c r="E2930" s="24"/>
    </row>
    <row r="2931" spans="5:5" x14ac:dyDescent="0.25">
      <c r="E2931" s="24"/>
    </row>
    <row r="2932" spans="5:5" x14ac:dyDescent="0.25">
      <c r="E2932" s="24"/>
    </row>
    <row r="2933" spans="5:5" x14ac:dyDescent="0.25">
      <c r="E2933" s="24"/>
    </row>
    <row r="2934" spans="5:5" x14ac:dyDescent="0.25">
      <c r="E2934" s="24"/>
    </row>
    <row r="2935" spans="5:5" x14ac:dyDescent="0.25">
      <c r="E2935" s="24"/>
    </row>
    <row r="2936" spans="5:5" x14ac:dyDescent="0.25">
      <c r="E2936" s="24"/>
    </row>
    <row r="2937" spans="5:5" x14ac:dyDescent="0.25">
      <c r="E2937" s="24"/>
    </row>
    <row r="2938" spans="5:5" x14ac:dyDescent="0.25">
      <c r="E2938" s="24"/>
    </row>
    <row r="2939" spans="5:5" x14ac:dyDescent="0.25">
      <c r="E2939" s="24"/>
    </row>
    <row r="2940" spans="5:5" x14ac:dyDescent="0.25">
      <c r="E2940" s="24"/>
    </row>
    <row r="2941" spans="5:5" x14ac:dyDescent="0.25">
      <c r="E2941" s="24"/>
    </row>
    <row r="2942" spans="5:5" x14ac:dyDescent="0.25">
      <c r="E2942" s="24"/>
    </row>
    <row r="2943" spans="5:5" x14ac:dyDescent="0.25">
      <c r="E2943" s="24"/>
    </row>
    <row r="2944" spans="5:5" x14ac:dyDescent="0.25">
      <c r="E2944" s="24"/>
    </row>
    <row r="2945" spans="5:5" x14ac:dyDescent="0.25">
      <c r="E2945" s="24"/>
    </row>
    <row r="2946" spans="5:5" x14ac:dyDescent="0.25">
      <c r="E2946" s="24"/>
    </row>
    <row r="2947" spans="5:5" x14ac:dyDescent="0.25">
      <c r="E2947" s="24"/>
    </row>
    <row r="2948" spans="5:5" x14ac:dyDescent="0.25">
      <c r="E2948" s="24"/>
    </row>
    <row r="2949" spans="5:5" x14ac:dyDescent="0.25">
      <c r="E2949" s="24"/>
    </row>
    <row r="2950" spans="5:5" x14ac:dyDescent="0.25">
      <c r="E2950" s="24"/>
    </row>
    <row r="2951" spans="5:5" x14ac:dyDescent="0.25">
      <c r="E2951" s="24"/>
    </row>
    <row r="2952" spans="5:5" x14ac:dyDescent="0.25">
      <c r="E2952" s="24"/>
    </row>
    <row r="2953" spans="5:5" x14ac:dyDescent="0.25">
      <c r="E2953" s="24"/>
    </row>
    <row r="2954" spans="5:5" x14ac:dyDescent="0.25">
      <c r="E2954" s="24"/>
    </row>
    <row r="2955" spans="5:5" x14ac:dyDescent="0.25">
      <c r="E2955" s="24"/>
    </row>
    <row r="2956" spans="5:5" x14ac:dyDescent="0.25">
      <c r="E2956" s="24"/>
    </row>
    <row r="2957" spans="5:5" x14ac:dyDescent="0.25">
      <c r="E2957" s="24"/>
    </row>
    <row r="2958" spans="5:5" x14ac:dyDescent="0.25">
      <c r="E2958" s="24"/>
    </row>
    <row r="2959" spans="5:5" x14ac:dyDescent="0.25">
      <c r="E2959" s="24"/>
    </row>
    <row r="2960" spans="5:5" x14ac:dyDescent="0.25">
      <c r="E2960" s="24"/>
    </row>
    <row r="2961" spans="5:5" x14ac:dyDescent="0.25">
      <c r="E2961" s="24"/>
    </row>
    <row r="2962" spans="5:5" x14ac:dyDescent="0.25">
      <c r="E2962" s="24"/>
    </row>
    <row r="2963" spans="5:5" x14ac:dyDescent="0.25">
      <c r="E2963" s="24"/>
    </row>
    <row r="2964" spans="5:5" x14ac:dyDescent="0.25">
      <c r="E2964" s="24"/>
    </row>
    <row r="2965" spans="5:5" x14ac:dyDescent="0.25">
      <c r="E2965" s="24"/>
    </row>
    <row r="2966" spans="5:5" x14ac:dyDescent="0.25">
      <c r="E2966" s="24"/>
    </row>
    <row r="2967" spans="5:5" x14ac:dyDescent="0.25">
      <c r="E2967" s="24"/>
    </row>
    <row r="2968" spans="5:5" x14ac:dyDescent="0.25">
      <c r="E2968" s="24"/>
    </row>
    <row r="2969" spans="5:5" x14ac:dyDescent="0.25">
      <c r="E2969" s="24"/>
    </row>
    <row r="2970" spans="5:5" x14ac:dyDescent="0.25">
      <c r="E2970" s="24"/>
    </row>
    <row r="2971" spans="5:5" x14ac:dyDescent="0.25">
      <c r="E2971" s="24"/>
    </row>
    <row r="2972" spans="5:5" x14ac:dyDescent="0.25">
      <c r="E2972" s="24"/>
    </row>
    <row r="2973" spans="5:5" x14ac:dyDescent="0.25">
      <c r="E2973" s="24"/>
    </row>
    <row r="2974" spans="5:5" x14ac:dyDescent="0.25">
      <c r="E2974" s="24"/>
    </row>
    <row r="2975" spans="5:5" x14ac:dyDescent="0.25">
      <c r="E2975" s="24"/>
    </row>
    <row r="2976" spans="5:5" x14ac:dyDescent="0.25">
      <c r="E2976" s="24"/>
    </row>
    <row r="2977" spans="5:5" x14ac:dyDescent="0.25">
      <c r="E2977" s="24"/>
    </row>
    <row r="2978" spans="5:5" x14ac:dyDescent="0.25">
      <c r="E2978" s="24"/>
    </row>
    <row r="2979" spans="5:5" x14ac:dyDescent="0.25">
      <c r="E2979" s="24"/>
    </row>
    <row r="2980" spans="5:5" x14ac:dyDescent="0.25">
      <c r="E2980" s="24"/>
    </row>
    <row r="2981" spans="5:5" x14ac:dyDescent="0.25">
      <c r="E2981" s="24"/>
    </row>
    <row r="2982" spans="5:5" x14ac:dyDescent="0.25">
      <c r="E2982" s="24"/>
    </row>
    <row r="2983" spans="5:5" x14ac:dyDescent="0.25">
      <c r="E2983" s="24"/>
    </row>
    <row r="2984" spans="5:5" x14ac:dyDescent="0.25">
      <c r="E2984" s="24"/>
    </row>
    <row r="2985" spans="5:5" x14ac:dyDescent="0.25">
      <c r="E2985" s="24"/>
    </row>
    <row r="2986" spans="5:5" x14ac:dyDescent="0.25">
      <c r="E2986" s="24"/>
    </row>
    <row r="2987" spans="5:5" x14ac:dyDescent="0.25">
      <c r="E2987" s="24"/>
    </row>
    <row r="2988" spans="5:5" x14ac:dyDescent="0.25">
      <c r="E2988" s="24"/>
    </row>
    <row r="2989" spans="5:5" x14ac:dyDescent="0.25">
      <c r="E2989" s="24"/>
    </row>
    <row r="2990" spans="5:5" x14ac:dyDescent="0.25">
      <c r="E2990" s="24"/>
    </row>
    <row r="2991" spans="5:5" x14ac:dyDescent="0.25">
      <c r="E2991" s="24"/>
    </row>
    <row r="2992" spans="5:5" x14ac:dyDescent="0.25">
      <c r="E2992" s="24"/>
    </row>
    <row r="2993" spans="5:5" x14ac:dyDescent="0.25">
      <c r="E2993" s="24"/>
    </row>
    <row r="2994" spans="5:5" x14ac:dyDescent="0.25">
      <c r="E2994" s="24"/>
    </row>
    <row r="2995" spans="5:5" x14ac:dyDescent="0.25">
      <c r="E2995" s="24"/>
    </row>
    <row r="2996" spans="5:5" x14ac:dyDescent="0.25">
      <c r="E2996" s="24"/>
    </row>
    <row r="2997" spans="5:5" x14ac:dyDescent="0.25">
      <c r="E2997" s="24"/>
    </row>
    <row r="2998" spans="5:5" x14ac:dyDescent="0.25">
      <c r="E2998" s="24"/>
    </row>
    <row r="2999" spans="5:5" x14ac:dyDescent="0.25">
      <c r="E2999" s="24"/>
    </row>
    <row r="3000" spans="5:5" x14ac:dyDescent="0.25">
      <c r="E3000" s="24"/>
    </row>
    <row r="3001" spans="5:5" x14ac:dyDescent="0.25">
      <c r="E3001" s="24"/>
    </row>
  </sheetData>
  <sortState ref="AA2:AA9">
    <sortCondition ref="AA9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showInputMessage="1" showErrorMessage="1">
          <x14:formula1>
            <xm:f>LISTAS!$B$2:$B$3</xm:f>
          </x14:formula1>
          <xm:sqref>F2:I3001</xm:sqref>
        </x14:dataValidation>
        <x14:dataValidation type="list" showInputMessage="1" showErrorMessage="1">
          <x14:formula1>
            <xm:f>LISTAS!$A$2:$A$9</xm:f>
          </x14:formula1>
          <xm:sqref>J160:J3001</xm:sqref>
        </x14:dataValidation>
        <x14:dataValidation type="list" showInputMessage="1" showErrorMessage="1">
          <x14:formula1>
            <xm:f>LISTAS!$E$2:$E$160</xm:f>
          </x14:formula1>
          <xm:sqref>D2:D3001</xm:sqref>
        </x14:dataValidation>
        <x14:dataValidation type="list" allowBlank="1" showInputMessage="1" showErrorMessage="1">
          <x14:formula1>
            <xm:f>LISTAS!$A$2:$A$9</xm:f>
          </x14:formula1>
          <xm:sqref>J2:J159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84"/>
  <sheetViews>
    <sheetView tabSelected="1" zoomScaleNormal="100" workbookViewId="0">
      <pane ySplit="1" topLeftCell="A2" activePane="bottomLeft" state="frozen"/>
      <selection pane="bottomLeft" activeCell="A31" sqref="A31:D31"/>
    </sheetView>
  </sheetViews>
  <sheetFormatPr defaultRowHeight="15" x14ac:dyDescent="0.25"/>
  <cols>
    <col min="5" max="5" width="10.7109375" bestFit="1" customWidth="1"/>
    <col min="6" max="6" width="10.85546875" style="12" bestFit="1" customWidth="1"/>
    <col min="7" max="8" width="9.7109375" style="12" customWidth="1"/>
    <col min="9" max="9" width="14.140625" style="12" bestFit="1" customWidth="1"/>
    <col min="15" max="15" width="10.85546875" bestFit="1" customWidth="1"/>
    <col min="16" max="16" width="9.7109375" customWidth="1"/>
    <col min="17" max="17" width="13.140625" customWidth="1"/>
    <col min="18" max="18" width="10.5703125" customWidth="1"/>
    <col min="20" max="21" width="12.42578125" customWidth="1"/>
    <col min="22" max="22" width="9.140625" bestFit="1" customWidth="1"/>
    <col min="25" max="25" width="10.7109375" bestFit="1" customWidth="1"/>
  </cols>
  <sheetData>
    <row r="1" spans="1:29" x14ac:dyDescent="0.25">
      <c r="A1" s="28" t="s">
        <v>29</v>
      </c>
      <c r="B1" s="29"/>
      <c r="C1" s="29"/>
      <c r="D1" s="29"/>
      <c r="E1" s="5" t="s">
        <v>30</v>
      </c>
      <c r="F1" s="6" t="s">
        <v>31</v>
      </c>
      <c r="G1" s="7" t="s">
        <v>32</v>
      </c>
      <c r="H1" s="6" t="s">
        <v>33</v>
      </c>
      <c r="I1" s="8" t="e">
        <f>#REF!</f>
        <v>#REF!</v>
      </c>
      <c r="J1" s="28" t="s">
        <v>34</v>
      </c>
      <c r="K1" s="29"/>
      <c r="L1" s="29"/>
      <c r="M1" s="29"/>
      <c r="N1" s="5" t="s">
        <v>30</v>
      </c>
      <c r="O1" s="6" t="s">
        <v>31</v>
      </c>
      <c r="P1" s="7" t="s">
        <v>32</v>
      </c>
      <c r="Q1" s="28" t="s">
        <v>35</v>
      </c>
      <c r="R1" s="29"/>
      <c r="S1" s="29"/>
      <c r="T1" s="29"/>
      <c r="U1" s="6" t="s">
        <v>206</v>
      </c>
      <c r="V1" s="7" t="s">
        <v>32</v>
      </c>
      <c r="W1" s="9"/>
      <c r="X1" s="9"/>
      <c r="Y1" s="9"/>
      <c r="Z1" s="9"/>
      <c r="AA1" s="9"/>
      <c r="AB1" s="9"/>
      <c r="AC1" s="9"/>
    </row>
    <row r="2" spans="1:29" x14ac:dyDescent="0.25">
      <c r="A2" s="26">
        <v>45078</v>
      </c>
      <c r="B2" s="26"/>
      <c r="C2" s="26"/>
      <c r="D2" s="26"/>
      <c r="E2" s="11">
        <f>COUNTA(LISTAS!$H$2:$H$10,LISTAS!$I$2:$I$30)</f>
        <v>21</v>
      </c>
      <c r="F2" s="12">
        <f>SUMIFS(Tabela1[DISPONÍVEL],Tabela1[[DATA]:[DATA]],VLOOKUP(A2,Tabela1[[DATA]:[DATA]],1),Tabela1[[DISPONIBILIDADE]:[DISPONIBILIDADE]],1,Tabela1[[BEM MNT]:[BEM MNT]],LISTAS!$H$2:$H$10)+SUMIFS(Tabela1[DISPONÍVEL],Tabela1[[DATA]:[DATA]],VLOOKUP(A2,Tabela1[[DATA]:[DATA]],1),Tabela1[[DISPONIBILIDADE]:[DISPONIBILIDADE]],1,Tabela1[[BEM MNT]:[BEM MNT]],LISTAS!$I$2:$I$30)</f>
        <v>2</v>
      </c>
      <c r="G2" s="13">
        <f>F2/E2</f>
        <v>9.5238095238095233E-2</v>
      </c>
      <c r="H2" s="1" t="s">
        <v>36</v>
      </c>
      <c r="I2" s="14" t="s">
        <v>37</v>
      </c>
      <c r="J2" s="26">
        <v>45078</v>
      </c>
      <c r="K2" s="26"/>
      <c r="L2" s="26"/>
      <c r="M2" s="26"/>
      <c r="N2" s="21" t="e">
        <f>SUMIFS(Tabela1[DISPONIBILIDADE],Tabela1[[DATA]:[DATA]],VLOOKUP(J2,Tabela1[[DATA]:[DATA]],1),Tabela1[[DISPONIBILIDADE]:[DISPONIBILIDADE]],1,LISTAS!F2:F120,"CM*")</f>
        <v>#VALUE!</v>
      </c>
      <c r="O2" s="21">
        <f>SUMIFS(Tabela1[DISPONÍVEL],Tabela1[[DATA]:[DATA]],VLOOKUP(J2,Tabela1[[DATA]:[DATA]],1),Tabela1[[DISPONIBILIDADE]:[DISPONIBILIDADE]],1)</f>
        <v>38</v>
      </c>
      <c r="P2" s="15">
        <v>0.64</v>
      </c>
      <c r="Q2" s="26">
        <v>45078</v>
      </c>
      <c r="R2" s="26"/>
      <c r="S2" s="26"/>
      <c r="T2" s="26"/>
      <c r="U2" s="21">
        <f>SUMIFS(Tabela1[DISPONÍVEL],Tabela1[[DATA]:[DATA]],VLOOKUP(Q2,Tabela1[[DATA]:[DATA]],1),Tabela1[[AGUARDANDO PEÇAS]:[AGUARDANDO PEÇAS]],1)</f>
        <v>26</v>
      </c>
      <c r="V2" s="16">
        <v>10</v>
      </c>
      <c r="Y2" s="24"/>
    </row>
    <row r="3" spans="1:29" x14ac:dyDescent="0.25">
      <c r="A3" s="26">
        <v>45079</v>
      </c>
      <c r="B3" s="26"/>
      <c r="C3" s="26"/>
      <c r="D3" s="26"/>
      <c r="E3" s="11">
        <f>COUNTA(LISTAS!$H$2:$H$10,LISTAS!$I$2:$I$30)</f>
        <v>21</v>
      </c>
      <c r="F3" s="12">
        <f>SUMIFS(Tabela1[DISPONÍVEL],Tabela1[[DATA]:[DATA]],VLOOKUP(A3,Tabela1[[DATA]:[DATA]],1),Tabela1[[DISPONIBILIDADE]:[DISPONIBILIDADE]],1)</f>
        <v>0</v>
      </c>
      <c r="G3" s="17">
        <f t="shared" ref="G3" si="0">F3/E3</f>
        <v>0</v>
      </c>
      <c r="H3" s="1" t="s">
        <v>38</v>
      </c>
      <c r="I3" s="14" t="s">
        <v>13</v>
      </c>
      <c r="J3" s="26">
        <v>45079</v>
      </c>
      <c r="K3" s="26"/>
      <c r="L3" s="26"/>
      <c r="M3" s="26"/>
      <c r="N3" s="10"/>
      <c r="O3" s="10"/>
      <c r="P3" s="15">
        <v>0.79</v>
      </c>
      <c r="Q3" s="26">
        <v>45079</v>
      </c>
      <c r="R3" s="26"/>
      <c r="S3" s="26"/>
      <c r="T3" s="26"/>
      <c r="U3" s="21">
        <f>SUMIFS(Tabela1[DISPONÍVEL],Tabela1[[DATA]:[DATA]],VLOOKUP(Q3,Tabela1[[DATA]:[DATA]],1),Tabela1[[AGUARDANDO PEÇAS]:[AGUARDANDO PEÇAS]],1)</f>
        <v>0</v>
      </c>
      <c r="V3" s="16">
        <v>8</v>
      </c>
    </row>
    <row r="4" spans="1:29" x14ac:dyDescent="0.25">
      <c r="A4" s="26">
        <v>45080</v>
      </c>
      <c r="B4" s="26"/>
      <c r="C4" s="26"/>
      <c r="D4" s="26"/>
      <c r="E4" s="11">
        <f>COUNTA(LISTAS!$H$2:$H$10,LISTAS!$I$2:$I$30)</f>
        <v>21</v>
      </c>
      <c r="F4" s="12">
        <f>SUMIFS(Tabela1[DISPONÍVEL],Tabela1[[DATA]:[DATA]],VLOOKUP(A4,Tabela1[[DATA]:[DATA]],1),Tabela1[[DISPONIBILIDADE]:[DISPONIBILIDADE]],1)</f>
        <v>0</v>
      </c>
      <c r="G4" s="17">
        <f>F4/E4</f>
        <v>0</v>
      </c>
      <c r="H4" s="1" t="s">
        <v>39</v>
      </c>
      <c r="I4" s="14" t="s">
        <v>37</v>
      </c>
      <c r="J4" s="26">
        <v>45080</v>
      </c>
      <c r="K4" s="26"/>
      <c r="L4" s="26"/>
      <c r="M4" s="26"/>
      <c r="N4" s="10"/>
      <c r="O4" s="10"/>
      <c r="P4" s="15">
        <v>0.79</v>
      </c>
      <c r="Q4" s="26">
        <v>45080</v>
      </c>
      <c r="R4" s="26"/>
      <c r="S4" s="26"/>
      <c r="T4" s="26"/>
      <c r="U4" s="21">
        <f>SUMIFS(Tabela1[DISPONÍVEL],Tabela1[[DATA]:[DATA]],VLOOKUP(Q4,Tabela1[[DATA]:[DATA]],1),Tabela1[[AGUARDANDO PEÇAS]:[AGUARDANDO PEÇAS]],1)</f>
        <v>0</v>
      </c>
      <c r="V4" s="16">
        <v>8</v>
      </c>
    </row>
    <row r="5" spans="1:29" x14ac:dyDescent="0.25">
      <c r="A5" s="26">
        <v>45081</v>
      </c>
      <c r="B5" s="26"/>
      <c r="C5" s="26"/>
      <c r="D5" s="26"/>
      <c r="E5" s="11">
        <f>COUNTA(LISTAS!$H$2:$H$10,LISTAS!$I$2:$I$30)</f>
        <v>21</v>
      </c>
      <c r="F5" s="12">
        <f>SUMIFS(Tabela1[DISPONÍVEL],Tabela1[[DATA]:[DATA]],VLOOKUP(A5,Tabela1[[DATA]:[DATA]],1),Tabela1[[DISPONIBILIDADE]:[DISPONIBILIDADE]],1)</f>
        <v>0</v>
      </c>
      <c r="G5" s="17">
        <f t="shared" ref="G5:G32" si="1">F5/E5</f>
        <v>0</v>
      </c>
      <c r="H5" s="18" t="s">
        <v>40</v>
      </c>
      <c r="I5" s="18" t="s">
        <v>13</v>
      </c>
      <c r="J5" s="26">
        <v>45081</v>
      </c>
      <c r="K5" s="26"/>
      <c r="L5" s="26"/>
      <c r="M5" s="26"/>
      <c r="N5" s="10"/>
      <c r="O5" s="10"/>
      <c r="P5" s="15">
        <v>0.79</v>
      </c>
      <c r="Q5" s="26">
        <v>45081</v>
      </c>
      <c r="R5" s="26"/>
      <c r="S5" s="26"/>
      <c r="T5" s="26"/>
      <c r="U5" s="21">
        <f>SUMIFS(Tabela1[DISPONÍVEL],Tabela1[[DATA]:[DATA]],VLOOKUP(Q5,Tabela1[[DATA]:[DATA]],1),Tabela1[[AGUARDANDO PEÇAS]:[AGUARDANDO PEÇAS]],1)</f>
        <v>0</v>
      </c>
      <c r="V5" s="16">
        <v>8</v>
      </c>
    </row>
    <row r="6" spans="1:29" x14ac:dyDescent="0.25">
      <c r="A6" s="26">
        <v>45082</v>
      </c>
      <c r="B6" s="26"/>
      <c r="C6" s="26"/>
      <c r="D6" s="26"/>
      <c r="E6" s="11">
        <f>COUNTA(LISTAS!$H$2:$H$10,LISTAS!$I$2:$I$30)</f>
        <v>21</v>
      </c>
      <c r="F6" s="12">
        <f>SUMIFS(Tabela1[DISPONÍVEL],Tabela1[[DATA]:[DATA]],VLOOKUP(A6,Tabela1[[DATA]:[DATA]],1),Tabela1[[DISPONIBILIDADE]:[DISPONIBILIDADE]],1)</f>
        <v>0</v>
      </c>
      <c r="G6" s="17">
        <f t="shared" si="1"/>
        <v>0</v>
      </c>
      <c r="H6" s="1" t="s">
        <v>41</v>
      </c>
      <c r="I6" s="14" t="s">
        <v>13</v>
      </c>
      <c r="J6" s="26">
        <v>45082</v>
      </c>
      <c r="K6" s="26"/>
      <c r="L6" s="26"/>
      <c r="M6" s="26"/>
      <c r="N6" s="10"/>
      <c r="O6" s="10"/>
      <c r="P6" s="15">
        <v>0.71</v>
      </c>
      <c r="Q6" s="26">
        <v>45082</v>
      </c>
      <c r="R6" s="26"/>
      <c r="S6" s="26"/>
      <c r="T6" s="26"/>
      <c r="U6" s="21">
        <f>SUMIFS(Tabela1[DISPONÍVEL],Tabela1[[DATA]:[DATA]],VLOOKUP(Q6,Tabela1[[DATA]:[DATA]],1),Tabela1[[AGUARDANDO PEÇAS]:[AGUARDANDO PEÇAS]],1)</f>
        <v>0</v>
      </c>
      <c r="V6" s="16">
        <v>8</v>
      </c>
    </row>
    <row r="7" spans="1:29" x14ac:dyDescent="0.25">
      <c r="A7" s="26">
        <v>45083</v>
      </c>
      <c r="B7" s="26"/>
      <c r="C7" s="26"/>
      <c r="D7" s="26"/>
      <c r="E7" s="11">
        <f>COUNTA(LISTAS!$H$2:$H$10,LISTAS!$I$2:$I$30)</f>
        <v>21</v>
      </c>
      <c r="F7" s="12">
        <f>SUMIFS(Tabela1[DISPONÍVEL],Tabela1[[DATA]:[DATA]],VLOOKUP(A7,Tabela1[[DATA]:[DATA]],1),Tabela1[[DISPONIBILIDADE]:[DISPONIBILIDADE]],1)</f>
        <v>0</v>
      </c>
      <c r="G7" s="17">
        <f t="shared" si="1"/>
        <v>0</v>
      </c>
      <c r="H7" s="14" t="s">
        <v>42</v>
      </c>
      <c r="I7" s="14" t="s">
        <v>13</v>
      </c>
      <c r="J7" s="26">
        <v>45083</v>
      </c>
      <c r="K7" s="26"/>
      <c r="L7" s="26"/>
      <c r="M7" s="26"/>
      <c r="N7" s="10"/>
      <c r="O7" s="10"/>
      <c r="P7" s="15">
        <v>0.74</v>
      </c>
      <c r="Q7" s="26">
        <v>45083</v>
      </c>
      <c r="R7" s="26"/>
      <c r="S7" s="26"/>
      <c r="T7" s="26"/>
      <c r="U7" s="21">
        <f>SUMIFS(Tabela1[DISPONÍVEL],Tabela1[[DATA]:[DATA]],VLOOKUP(Q7,Tabela1[[DATA]:[DATA]],1),Tabela1[[AGUARDANDO PEÇAS]:[AGUARDANDO PEÇAS]],1)</f>
        <v>0</v>
      </c>
      <c r="V7" s="16">
        <v>8</v>
      </c>
    </row>
    <row r="8" spans="1:29" x14ac:dyDescent="0.25">
      <c r="A8" s="26">
        <v>45084</v>
      </c>
      <c r="B8" s="26"/>
      <c r="C8" s="26"/>
      <c r="D8" s="26"/>
      <c r="E8" s="11">
        <f>COUNTA(LISTAS!$H$2:$H$10,LISTAS!$I$2:$I$30)</f>
        <v>21</v>
      </c>
      <c r="F8" s="12">
        <f>SUMIFS(Tabela1[DISPONÍVEL],Tabela1[[DATA]:[DATA]],VLOOKUP(A8,Tabela1[[DATA]:[DATA]],1),Tabela1[[DISPONIBILIDADE]:[DISPONIBILIDADE]],1)</f>
        <v>0</v>
      </c>
      <c r="G8" s="17">
        <f t="shared" si="1"/>
        <v>0</v>
      </c>
      <c r="H8" s="1" t="s">
        <v>43</v>
      </c>
      <c r="I8" s="14" t="s">
        <v>37</v>
      </c>
      <c r="J8" s="26">
        <v>45084</v>
      </c>
      <c r="K8" s="26"/>
      <c r="L8" s="26"/>
      <c r="M8" s="26"/>
      <c r="N8" s="10"/>
      <c r="O8" s="10"/>
      <c r="P8" s="15">
        <v>0.7</v>
      </c>
      <c r="Q8" s="26">
        <v>45084</v>
      </c>
      <c r="R8" s="26"/>
      <c r="S8" s="26"/>
      <c r="T8" s="26"/>
      <c r="U8" s="21">
        <f>SUMIFS(Tabela1[DISPONÍVEL],Tabela1[[DATA]:[DATA]],VLOOKUP(Q8,Tabela1[[DATA]:[DATA]],1),Tabela1[[AGUARDANDO PEÇAS]:[AGUARDANDO PEÇAS]],1)</f>
        <v>0</v>
      </c>
      <c r="V8" s="16">
        <v>7</v>
      </c>
    </row>
    <row r="9" spans="1:29" x14ac:dyDescent="0.25">
      <c r="A9" s="26">
        <v>45085</v>
      </c>
      <c r="B9" s="26"/>
      <c r="C9" s="26"/>
      <c r="D9" s="26"/>
      <c r="E9" s="11">
        <f>COUNTA(LISTAS!$H$2:$H$10,LISTAS!$I$2:$I$30)</f>
        <v>21</v>
      </c>
      <c r="F9" s="12">
        <f>SUMIFS(Tabela1[DISPONÍVEL],Tabela1[[DATA]:[DATA]],VLOOKUP(A9,Tabela1[[DATA]:[DATA]],1),Tabela1[[DISPONIBILIDADE]:[DISPONIBILIDADE]],1)</f>
        <v>0</v>
      </c>
      <c r="G9" s="17">
        <f t="shared" si="1"/>
        <v>0</v>
      </c>
      <c r="H9" s="18" t="s">
        <v>44</v>
      </c>
      <c r="I9" s="18" t="s">
        <v>13</v>
      </c>
      <c r="J9" s="26">
        <v>45085</v>
      </c>
      <c r="K9" s="26"/>
      <c r="L9" s="26"/>
      <c r="M9" s="26"/>
      <c r="N9" s="10"/>
      <c r="O9" s="10"/>
      <c r="P9" s="15">
        <v>0.73</v>
      </c>
      <c r="Q9" s="26">
        <v>45085</v>
      </c>
      <c r="R9" s="26"/>
      <c r="S9" s="26"/>
      <c r="T9" s="26"/>
      <c r="U9" s="21">
        <f>SUMIFS(Tabela1[DISPONÍVEL],Tabela1[[DATA]:[DATA]],VLOOKUP(Q9,Tabela1[[DATA]:[DATA]],1),Tabela1[[AGUARDANDO PEÇAS]:[AGUARDANDO PEÇAS]],1)</f>
        <v>0</v>
      </c>
      <c r="V9" s="16">
        <v>5</v>
      </c>
    </row>
    <row r="10" spans="1:29" x14ac:dyDescent="0.25">
      <c r="A10" s="26">
        <v>45086</v>
      </c>
      <c r="B10" s="26"/>
      <c r="C10" s="26"/>
      <c r="D10" s="26"/>
      <c r="E10" s="11">
        <f>COUNTA(LISTAS!$H$2:$H$10,LISTAS!$I$2:$I$30)</f>
        <v>21</v>
      </c>
      <c r="F10" s="12">
        <f>SUMIFS(Tabela1[DISPONÍVEL],Tabela1[[DATA]:[DATA]],VLOOKUP(A10,Tabela1[[DATA]:[DATA]],1),Tabela1[[DISPONIBILIDADE]:[DISPONIBILIDADE]],1)</f>
        <v>0</v>
      </c>
      <c r="G10" s="17">
        <f t="shared" si="1"/>
        <v>0</v>
      </c>
      <c r="H10"/>
      <c r="I10"/>
      <c r="J10" s="26">
        <v>45086</v>
      </c>
      <c r="K10" s="26"/>
      <c r="L10" s="26"/>
      <c r="M10" s="26"/>
      <c r="N10" s="10"/>
      <c r="O10" s="10"/>
      <c r="P10" s="15">
        <v>0.73</v>
      </c>
      <c r="Q10" s="26">
        <v>45086</v>
      </c>
      <c r="R10" s="26"/>
      <c r="S10" s="26"/>
      <c r="T10" s="26"/>
      <c r="U10" s="21">
        <f>SUMIFS(Tabela1[DISPONÍVEL],Tabela1[[DATA]:[DATA]],VLOOKUP(Q10,Tabela1[[DATA]:[DATA]],1),Tabela1[[AGUARDANDO PEÇAS]:[AGUARDANDO PEÇAS]],1)</f>
        <v>0</v>
      </c>
      <c r="V10" s="16">
        <v>5</v>
      </c>
    </row>
    <row r="11" spans="1:29" x14ac:dyDescent="0.25">
      <c r="A11" s="26">
        <v>45087</v>
      </c>
      <c r="B11" s="26"/>
      <c r="C11" s="26"/>
      <c r="D11" s="26"/>
      <c r="E11" s="11">
        <f>COUNTA(LISTAS!$H$2:$H$10,LISTAS!$I$2:$I$30)</f>
        <v>21</v>
      </c>
      <c r="F11" s="12">
        <f>SUMIFS(Tabela1[DISPONÍVEL],Tabela1[[DATA]:[DATA]],VLOOKUP(A11,Tabela1[[DATA]:[DATA]],1),Tabela1[[DISPONIBILIDADE]:[DISPONIBILIDADE]],1)</f>
        <v>0</v>
      </c>
      <c r="G11" s="17">
        <f t="shared" si="1"/>
        <v>0</v>
      </c>
      <c r="H11"/>
      <c r="I11"/>
      <c r="J11" s="26">
        <v>45087</v>
      </c>
      <c r="K11" s="26"/>
      <c r="L11" s="26"/>
      <c r="M11" s="26"/>
      <c r="N11" s="10"/>
      <c r="O11" s="10"/>
      <c r="P11" s="15">
        <v>0.73</v>
      </c>
      <c r="Q11" s="26">
        <v>45087</v>
      </c>
      <c r="R11" s="26"/>
      <c r="S11" s="26"/>
      <c r="T11" s="26"/>
      <c r="U11" s="21">
        <f>SUMIFS(Tabela1[DISPONÍVEL],Tabela1[[DATA]:[DATA]],VLOOKUP(Q11,Tabela1[[DATA]:[DATA]],1),Tabela1[[AGUARDANDO PEÇAS]:[AGUARDANDO PEÇAS]],1)</f>
        <v>0</v>
      </c>
      <c r="V11" s="16">
        <v>5</v>
      </c>
    </row>
    <row r="12" spans="1:29" x14ac:dyDescent="0.25">
      <c r="A12" s="26">
        <v>45088</v>
      </c>
      <c r="B12" s="26"/>
      <c r="C12" s="26"/>
      <c r="D12" s="26"/>
      <c r="E12" s="11">
        <f>COUNTA(LISTAS!$H$2:$H$10,LISTAS!$I$2:$I$30)</f>
        <v>21</v>
      </c>
      <c r="F12" s="12">
        <f>SUMIFS(Tabela1[DISPONÍVEL],Tabela1[[DATA]:[DATA]],VLOOKUP(A12,Tabela1[[DATA]:[DATA]],1),Tabela1[[DISPONIBILIDADE]:[DISPONIBILIDADE]],1)</f>
        <v>0</v>
      </c>
      <c r="G12" s="17">
        <f t="shared" si="1"/>
        <v>0</v>
      </c>
      <c r="H12"/>
      <c r="I12"/>
      <c r="J12" s="26">
        <v>45088</v>
      </c>
      <c r="K12" s="26"/>
      <c r="L12" s="26"/>
      <c r="M12" s="26"/>
      <c r="N12" s="10"/>
      <c r="O12" s="10"/>
      <c r="P12" s="15">
        <v>0.86</v>
      </c>
      <c r="Q12" s="26">
        <v>45088</v>
      </c>
      <c r="R12" s="26"/>
      <c r="S12" s="26"/>
      <c r="T12" s="26"/>
      <c r="U12" s="21">
        <f>SUMIFS(Tabela1[DISPONÍVEL],Tabela1[[DATA]:[DATA]],VLOOKUP(Q12,Tabela1[[DATA]:[DATA]],1),Tabela1[[AGUARDANDO PEÇAS]:[AGUARDANDO PEÇAS]],1)</f>
        <v>0</v>
      </c>
      <c r="V12" s="16">
        <v>5</v>
      </c>
    </row>
    <row r="13" spans="1:29" x14ac:dyDescent="0.25">
      <c r="A13" s="26">
        <v>45089</v>
      </c>
      <c r="B13" s="26"/>
      <c r="C13" s="26"/>
      <c r="D13" s="26"/>
      <c r="E13" s="11">
        <f>COUNTA(LISTAS!$H$2:$H$10,LISTAS!$I$2:$I$30)</f>
        <v>21</v>
      </c>
      <c r="F13" s="12">
        <f>SUMIFS(Tabela1[DISPONÍVEL],Tabela1[[DATA]:[DATA]],VLOOKUP(A13,Tabela1[[DATA]:[DATA]],1),Tabela1[[DISPONIBILIDADE]:[DISPONIBILIDADE]],1)</f>
        <v>0</v>
      </c>
      <c r="G13" s="17">
        <f t="shared" si="1"/>
        <v>0</v>
      </c>
      <c r="H13"/>
      <c r="I13"/>
      <c r="J13" s="26">
        <v>45089</v>
      </c>
      <c r="K13" s="26"/>
      <c r="L13" s="26"/>
      <c r="M13" s="26"/>
      <c r="N13" s="10"/>
      <c r="O13" s="10"/>
      <c r="P13" s="15">
        <v>0.86</v>
      </c>
      <c r="Q13" s="26">
        <v>45089</v>
      </c>
      <c r="R13" s="26"/>
      <c r="S13" s="26"/>
      <c r="T13" s="26"/>
      <c r="U13" s="21">
        <f>SUMIFS(Tabela1[DISPONÍVEL],Tabela1[[DATA]:[DATA]],VLOOKUP(Q13,Tabela1[[DATA]:[DATA]],1),Tabela1[[AGUARDANDO PEÇAS]:[AGUARDANDO PEÇAS]],1)</f>
        <v>0</v>
      </c>
      <c r="V13" s="16">
        <v>5</v>
      </c>
    </row>
    <row r="14" spans="1:29" x14ac:dyDescent="0.25">
      <c r="A14" s="26">
        <v>45090</v>
      </c>
      <c r="B14" s="26"/>
      <c r="C14" s="26"/>
      <c r="D14" s="26"/>
      <c r="E14" s="11">
        <f>COUNTA(LISTAS!$H$2:$H$10,LISTAS!$I$2:$I$30)</f>
        <v>21</v>
      </c>
      <c r="F14" s="12">
        <f>SUMIFS(Tabela1[DISPONÍVEL],Tabela1[[DATA]:[DATA]],VLOOKUP(A14,Tabela1[[DATA]:[DATA]],1),Tabela1[[DISPONIBILIDADE]:[DISPONIBILIDADE]],1)</f>
        <v>0</v>
      </c>
      <c r="G14" s="17">
        <f t="shared" si="1"/>
        <v>0</v>
      </c>
      <c r="H14"/>
      <c r="I14"/>
      <c r="J14" s="26">
        <v>45090</v>
      </c>
      <c r="K14" s="26"/>
      <c r="L14" s="26"/>
      <c r="M14" s="26"/>
      <c r="N14" s="10"/>
      <c r="O14" s="10"/>
      <c r="P14" s="15">
        <v>0.77</v>
      </c>
      <c r="Q14" s="26">
        <v>45090</v>
      </c>
      <c r="R14" s="26"/>
      <c r="S14" s="26"/>
      <c r="T14" s="26"/>
      <c r="U14" s="21">
        <f>SUMIFS(Tabela1[DISPONÍVEL],Tabela1[[DATA]:[DATA]],VLOOKUP(Q14,Tabela1[[DATA]:[DATA]],1),Tabela1[[AGUARDANDO PEÇAS]:[AGUARDANDO PEÇAS]],1)</f>
        <v>0</v>
      </c>
      <c r="V14" s="16">
        <v>5</v>
      </c>
    </row>
    <row r="15" spans="1:29" x14ac:dyDescent="0.25">
      <c r="A15" s="26">
        <v>45091</v>
      </c>
      <c r="B15" s="26"/>
      <c r="C15" s="26"/>
      <c r="D15" s="26"/>
      <c r="E15" s="11">
        <f>COUNTA(LISTAS!$H$2:$H$10,LISTAS!$I$2:$I$30)</f>
        <v>21</v>
      </c>
      <c r="F15" s="12">
        <f>SUMIFS(Tabela1[DISPONÍVEL],Tabela1[[DATA]:[DATA]],VLOOKUP(A15,Tabela1[[DATA]:[DATA]],1),Tabela1[[DISPONIBILIDADE]:[DISPONIBILIDADE]],1)</f>
        <v>0</v>
      </c>
      <c r="G15" s="17">
        <f t="shared" si="1"/>
        <v>0</v>
      </c>
      <c r="J15" s="26">
        <v>45091</v>
      </c>
      <c r="K15" s="26"/>
      <c r="L15" s="26"/>
      <c r="M15" s="26"/>
      <c r="N15" s="10"/>
      <c r="O15" s="10"/>
      <c r="P15" s="15">
        <v>0.77</v>
      </c>
      <c r="Q15" s="26">
        <v>45091</v>
      </c>
      <c r="R15" s="26"/>
      <c r="S15" s="26"/>
      <c r="T15" s="26"/>
      <c r="U15" s="21">
        <f>SUMIFS(Tabela1[DISPONÍVEL],Tabela1[[DATA]:[DATA]],VLOOKUP(Q15,Tabela1[[DATA]:[DATA]],1),Tabela1[[AGUARDANDO PEÇAS]:[AGUARDANDO PEÇAS]],1)</f>
        <v>0</v>
      </c>
      <c r="V15" s="16">
        <v>5</v>
      </c>
    </row>
    <row r="16" spans="1:29" x14ac:dyDescent="0.25">
      <c r="A16" s="26">
        <v>45092</v>
      </c>
      <c r="B16" s="26"/>
      <c r="C16" s="26"/>
      <c r="D16" s="26"/>
      <c r="E16" s="11">
        <f>COUNTA(LISTAS!$H$2:$H$10,LISTAS!$I$2:$I$30)</f>
        <v>21</v>
      </c>
      <c r="F16" s="12">
        <f>SUMIFS(Tabela1[DISPONÍVEL],Tabela1[[DATA]:[DATA]],VLOOKUP(A16,Tabela1[[DATA]:[DATA]],1),Tabela1[[DISPONIBILIDADE]:[DISPONIBILIDADE]],1)</f>
        <v>0</v>
      </c>
      <c r="G16" s="17">
        <f t="shared" si="1"/>
        <v>0</v>
      </c>
      <c r="H16"/>
      <c r="I16"/>
      <c r="J16" s="26">
        <v>45092</v>
      </c>
      <c r="K16" s="26"/>
      <c r="L16" s="26"/>
      <c r="M16" s="26"/>
      <c r="N16" s="10"/>
      <c r="O16" s="10"/>
      <c r="P16" s="15">
        <v>0.82</v>
      </c>
      <c r="Q16" s="26">
        <v>45092</v>
      </c>
      <c r="R16" s="26"/>
      <c r="S16" s="26"/>
      <c r="T16" s="26"/>
      <c r="U16" s="21">
        <f>SUMIFS(Tabela1[DISPONÍVEL],Tabela1[[DATA]:[DATA]],VLOOKUP(Q16,Tabela1[[DATA]:[DATA]],1),Tabela1[[AGUARDANDO PEÇAS]:[AGUARDANDO PEÇAS]],1)</f>
        <v>0</v>
      </c>
      <c r="V16" s="16">
        <v>5</v>
      </c>
    </row>
    <row r="17" spans="1:22" x14ac:dyDescent="0.25">
      <c r="A17" s="26">
        <v>45093</v>
      </c>
      <c r="B17" s="26"/>
      <c r="C17" s="26"/>
      <c r="D17" s="26"/>
      <c r="E17" s="11">
        <f>COUNTA(LISTAS!$H$2:$H$10,LISTAS!$I$2:$I$30)</f>
        <v>21</v>
      </c>
      <c r="F17" s="12">
        <f>SUMIFS(Tabela1[DISPONÍVEL],Tabela1[[DATA]:[DATA]],VLOOKUP(A17,Tabela1[[DATA]:[DATA]],1),Tabela1[[DISPONIBILIDADE]:[DISPONIBILIDADE]],1)</f>
        <v>0</v>
      </c>
      <c r="G17" s="17">
        <f t="shared" si="1"/>
        <v>0</v>
      </c>
      <c r="H17"/>
      <c r="I17"/>
      <c r="J17" s="26">
        <v>45093</v>
      </c>
      <c r="K17" s="26"/>
      <c r="L17" s="26"/>
      <c r="M17" s="26"/>
      <c r="N17" s="10"/>
      <c r="O17" s="10"/>
      <c r="P17" s="15">
        <v>0.82</v>
      </c>
      <c r="Q17" s="26">
        <v>45093</v>
      </c>
      <c r="R17" s="26"/>
      <c r="S17" s="26"/>
      <c r="T17" s="26"/>
      <c r="U17" s="21">
        <f>SUMIFS(Tabela1[DISPONÍVEL],Tabela1[[DATA]:[DATA]],VLOOKUP(Q17,Tabela1[[DATA]:[DATA]],1),Tabela1[[AGUARDANDO PEÇAS]:[AGUARDANDO PEÇAS]],1)</f>
        <v>0</v>
      </c>
      <c r="V17" s="16">
        <v>5</v>
      </c>
    </row>
    <row r="18" spans="1:22" x14ac:dyDescent="0.25">
      <c r="A18" s="26">
        <v>45094</v>
      </c>
      <c r="B18" s="26"/>
      <c r="C18" s="26"/>
      <c r="D18" s="26"/>
      <c r="E18" s="11">
        <f>COUNTA(LISTAS!$H$2:$H$10,LISTAS!$I$2:$I$30)</f>
        <v>21</v>
      </c>
      <c r="F18" s="12">
        <f>SUMIFS(Tabela1[DISPONÍVEL],Tabela1[[DATA]:[DATA]],VLOOKUP(A18,Tabela1[[DATA]:[DATA]],1),Tabela1[[DISPONIBILIDADE]:[DISPONIBILIDADE]],1)</f>
        <v>0</v>
      </c>
      <c r="G18" s="17">
        <f t="shared" si="1"/>
        <v>0</v>
      </c>
      <c r="H18"/>
      <c r="I18"/>
      <c r="J18" s="26">
        <v>45094</v>
      </c>
      <c r="K18" s="26"/>
      <c r="L18" s="26"/>
      <c r="M18" s="26"/>
      <c r="N18" s="10"/>
      <c r="O18" s="10"/>
      <c r="P18" s="15">
        <v>0.86</v>
      </c>
      <c r="Q18" s="26">
        <v>45094</v>
      </c>
      <c r="R18" s="26"/>
      <c r="S18" s="26"/>
      <c r="T18" s="26"/>
      <c r="U18" s="21">
        <f>SUMIFS(Tabela1[DISPONÍVEL],Tabela1[[DATA]:[DATA]],VLOOKUP(Q18,Tabela1[[DATA]:[DATA]],1),Tabela1[[AGUARDANDO PEÇAS]:[AGUARDANDO PEÇAS]],1)</f>
        <v>0</v>
      </c>
      <c r="V18" s="16">
        <v>5</v>
      </c>
    </row>
    <row r="19" spans="1:22" x14ac:dyDescent="0.25">
      <c r="A19" s="26">
        <v>45095</v>
      </c>
      <c r="B19" s="26"/>
      <c r="C19" s="26"/>
      <c r="D19" s="26"/>
      <c r="E19" s="11">
        <f>COUNTA(LISTAS!$H$2:$H$10,LISTAS!$I$2:$I$30)</f>
        <v>21</v>
      </c>
      <c r="F19" s="12">
        <f>SUMIFS(Tabela1[DISPONÍVEL],Tabela1[[DATA]:[DATA]],VLOOKUP(A19,Tabela1[[DATA]:[DATA]],1),Tabela1[[DISPONIBILIDADE]:[DISPONIBILIDADE]],1)</f>
        <v>0</v>
      </c>
      <c r="G19" s="17">
        <f t="shared" si="1"/>
        <v>0</v>
      </c>
      <c r="H19"/>
      <c r="I19"/>
      <c r="J19" s="26">
        <v>45095</v>
      </c>
      <c r="K19" s="26"/>
      <c r="L19" s="26"/>
      <c r="M19" s="26"/>
      <c r="N19" s="10"/>
      <c r="O19" s="10"/>
      <c r="P19" s="15">
        <v>0.86</v>
      </c>
      <c r="Q19" s="26">
        <v>45095</v>
      </c>
      <c r="R19" s="26"/>
      <c r="S19" s="26"/>
      <c r="T19" s="26"/>
      <c r="U19" s="21">
        <f>SUMIFS(Tabela1[DISPONÍVEL],Tabela1[[DATA]:[DATA]],VLOOKUP(Q19,Tabela1[[DATA]:[DATA]],1),Tabela1[[AGUARDANDO PEÇAS]:[AGUARDANDO PEÇAS]],1)</f>
        <v>0</v>
      </c>
      <c r="V19" s="16">
        <v>5</v>
      </c>
    </row>
    <row r="20" spans="1:22" x14ac:dyDescent="0.25">
      <c r="A20" s="26">
        <v>45096</v>
      </c>
      <c r="B20" s="26"/>
      <c r="C20" s="26"/>
      <c r="D20" s="26"/>
      <c r="E20" s="11">
        <f>COUNTA(LISTAS!$H$2:$H$10,LISTAS!$I$2:$I$30)</f>
        <v>21</v>
      </c>
      <c r="F20" s="12">
        <f>SUMIFS(Tabela1[DISPONÍVEL],Tabela1[[DATA]:[DATA]],VLOOKUP(A20,Tabela1[[DATA]:[DATA]],1),Tabela1[[DISPONIBILIDADE]:[DISPONIBILIDADE]],1)</f>
        <v>0</v>
      </c>
      <c r="G20" s="17">
        <f t="shared" si="1"/>
        <v>0</v>
      </c>
      <c r="H20"/>
      <c r="I20"/>
      <c r="J20" s="26">
        <v>45096</v>
      </c>
      <c r="K20" s="26"/>
      <c r="L20" s="26"/>
      <c r="M20" s="26"/>
      <c r="N20" s="10"/>
      <c r="O20" s="10"/>
      <c r="P20" s="15">
        <v>0.82</v>
      </c>
      <c r="Q20" s="26">
        <v>45096</v>
      </c>
      <c r="R20" s="26"/>
      <c r="S20" s="26"/>
      <c r="T20" s="26"/>
      <c r="U20" s="21">
        <f>SUMIFS(Tabela1[DISPONÍVEL],Tabela1[[DATA]:[DATA]],VLOOKUP(Q20,Tabela1[[DATA]:[DATA]],1),Tabela1[[AGUARDANDO PEÇAS]:[AGUARDANDO PEÇAS]],1)</f>
        <v>0</v>
      </c>
      <c r="V20" s="16">
        <v>5</v>
      </c>
    </row>
    <row r="21" spans="1:22" x14ac:dyDescent="0.25">
      <c r="A21" s="26">
        <v>45097</v>
      </c>
      <c r="B21" s="26"/>
      <c r="C21" s="26"/>
      <c r="D21" s="26"/>
      <c r="E21" s="11">
        <f>COUNTA(LISTAS!$H$2:$H$10,LISTAS!$I$2:$I$30)</f>
        <v>21</v>
      </c>
      <c r="F21" s="12">
        <f>SUMIFS(Tabela1[DISPONÍVEL],Tabela1[[DATA]:[DATA]],VLOOKUP(A21,Tabela1[[DATA]:[DATA]],1),Tabela1[[DISPONIBILIDADE]:[DISPONIBILIDADE]],1)</f>
        <v>0</v>
      </c>
      <c r="G21" s="17">
        <f t="shared" si="1"/>
        <v>0</v>
      </c>
      <c r="H21"/>
      <c r="I21"/>
      <c r="J21" s="26">
        <v>45097</v>
      </c>
      <c r="K21" s="26"/>
      <c r="L21" s="26"/>
      <c r="M21" s="26"/>
      <c r="N21" s="10"/>
      <c r="O21" s="10"/>
      <c r="P21" s="15">
        <v>0.77</v>
      </c>
      <c r="Q21" s="26">
        <v>45097</v>
      </c>
      <c r="R21" s="26"/>
      <c r="S21" s="26"/>
      <c r="T21" s="26"/>
      <c r="U21" s="21">
        <f>SUMIFS(Tabela1[DISPONÍVEL],Tabela1[[DATA]:[DATA]],VLOOKUP(Q21,Tabela1[[DATA]:[DATA]],1),Tabela1[[AGUARDANDO PEÇAS]:[AGUARDANDO PEÇAS]],1)</f>
        <v>0</v>
      </c>
      <c r="V21" s="16">
        <v>5</v>
      </c>
    </row>
    <row r="22" spans="1:22" x14ac:dyDescent="0.25">
      <c r="A22" s="26">
        <v>45098</v>
      </c>
      <c r="B22" s="26"/>
      <c r="C22" s="26"/>
      <c r="D22" s="26"/>
      <c r="E22" s="11">
        <f>COUNTA(LISTAS!$H$2:$H$10,LISTAS!$I$2:$I$30)</f>
        <v>21</v>
      </c>
      <c r="F22" s="12">
        <f>SUMIFS(Tabela1[DISPONÍVEL],Tabela1[[DATA]:[DATA]],VLOOKUP(A22,Tabela1[[DATA]:[DATA]],1),Tabela1[[DISPONIBILIDADE]:[DISPONIBILIDADE]],1)</f>
        <v>0</v>
      </c>
      <c r="G22" s="17">
        <f t="shared" si="1"/>
        <v>0</v>
      </c>
      <c r="H22"/>
      <c r="I22"/>
      <c r="J22" s="26">
        <v>45098</v>
      </c>
      <c r="K22" s="26"/>
      <c r="L22" s="26"/>
      <c r="M22" s="26"/>
      <c r="N22" s="10"/>
      <c r="O22" s="10"/>
      <c r="P22" s="15">
        <v>0.82</v>
      </c>
      <c r="Q22" s="26">
        <v>45098</v>
      </c>
      <c r="R22" s="26"/>
      <c r="S22" s="26"/>
      <c r="T22" s="26"/>
      <c r="U22" s="21">
        <f>SUMIFS(Tabela1[DISPONÍVEL],Tabela1[[DATA]:[DATA]],VLOOKUP(Q22,Tabela1[[DATA]:[DATA]],1),Tabela1[[AGUARDANDO PEÇAS]:[AGUARDANDO PEÇAS]],1)</f>
        <v>0</v>
      </c>
      <c r="V22" s="16">
        <v>5</v>
      </c>
    </row>
    <row r="23" spans="1:22" x14ac:dyDescent="0.25">
      <c r="A23" s="26">
        <v>45099</v>
      </c>
      <c r="B23" s="26"/>
      <c r="C23" s="26"/>
      <c r="D23" s="26"/>
      <c r="E23" s="11">
        <f>COUNTA(LISTAS!$H$2:$H$10,LISTAS!$I$2:$I$30)</f>
        <v>21</v>
      </c>
      <c r="F23" s="12">
        <f>SUMIFS(Tabela1[DISPONÍVEL],Tabela1[[DATA]:[DATA]],VLOOKUP(A23,Tabela1[[DATA]:[DATA]],1),Tabela1[[DISPONIBILIDADE]:[DISPONIBILIDADE]],1)</f>
        <v>0</v>
      </c>
      <c r="G23" s="17">
        <f t="shared" si="1"/>
        <v>0</v>
      </c>
      <c r="H23"/>
      <c r="I23"/>
      <c r="J23" s="26">
        <v>45099</v>
      </c>
      <c r="K23" s="26"/>
      <c r="L23" s="26"/>
      <c r="M23" s="26"/>
      <c r="N23" s="10"/>
      <c r="O23" s="10"/>
      <c r="P23" s="15">
        <v>0.78</v>
      </c>
      <c r="Q23" s="26">
        <v>45099</v>
      </c>
      <c r="R23" s="26"/>
      <c r="S23" s="26"/>
      <c r="T23" s="26"/>
      <c r="U23" s="21">
        <f>SUMIFS(Tabela1[DISPONÍVEL],Tabela1[[DATA]:[DATA]],VLOOKUP(Q23,Tabela1[[DATA]:[DATA]],1),Tabela1[[AGUARDANDO PEÇAS]:[AGUARDANDO PEÇAS]],1)</f>
        <v>0</v>
      </c>
      <c r="V23" s="16">
        <v>6</v>
      </c>
    </row>
    <row r="24" spans="1:22" x14ac:dyDescent="0.25">
      <c r="A24" s="26">
        <v>45100</v>
      </c>
      <c r="B24" s="26"/>
      <c r="C24" s="26"/>
      <c r="D24" s="26"/>
      <c r="E24" s="11">
        <f>COUNTA(LISTAS!$H$2:$H$10,LISTAS!$I$2:$I$30)</f>
        <v>21</v>
      </c>
      <c r="F24" s="12">
        <f>SUMIFS(Tabela1[DISPONÍVEL],Tabela1[[DATA]:[DATA]],VLOOKUP(A24,Tabela1[[DATA]:[DATA]],1),Tabela1[[DISPONIBILIDADE]:[DISPONIBILIDADE]],1)</f>
        <v>0</v>
      </c>
      <c r="G24" s="17">
        <f t="shared" si="1"/>
        <v>0</v>
      </c>
      <c r="H24" s="17"/>
      <c r="I24" s="17"/>
      <c r="J24" s="26">
        <v>45100</v>
      </c>
      <c r="K24" s="26"/>
      <c r="L24" s="26"/>
      <c r="M24" s="26"/>
      <c r="N24" s="10"/>
      <c r="O24" s="10"/>
      <c r="P24" s="15">
        <v>0.81</v>
      </c>
      <c r="Q24" s="26">
        <v>45100</v>
      </c>
      <c r="R24" s="26"/>
      <c r="S24" s="26"/>
      <c r="T24" s="26"/>
      <c r="U24" s="21">
        <f>SUMIFS(Tabela1[DISPONÍVEL],Tabela1[[DATA]:[DATA]],VLOOKUP(Q24,Tabela1[[DATA]:[DATA]],1),Tabela1[[AGUARDANDO PEÇAS]:[AGUARDANDO PEÇAS]],1)</f>
        <v>0</v>
      </c>
      <c r="V24" s="16">
        <v>6</v>
      </c>
    </row>
    <row r="25" spans="1:22" x14ac:dyDescent="0.25">
      <c r="A25" s="26">
        <v>45101</v>
      </c>
      <c r="B25" s="26"/>
      <c r="C25" s="26"/>
      <c r="D25" s="26"/>
      <c r="E25" s="11">
        <f>COUNTA(LISTAS!$H$2:$H$10,LISTAS!$I$2:$I$30)</f>
        <v>21</v>
      </c>
      <c r="F25" s="12">
        <f>SUMIFS(Tabela1[DISPONÍVEL],Tabela1[[DATA]:[DATA]],VLOOKUP(A25,Tabela1[[DATA]:[DATA]],1),Tabela1[[DISPONIBILIDADE]:[DISPONIBILIDADE]],1)</f>
        <v>0</v>
      </c>
      <c r="G25" s="17">
        <f t="shared" si="1"/>
        <v>0</v>
      </c>
      <c r="H25" s="17"/>
      <c r="I25" s="17"/>
      <c r="J25" s="26">
        <v>45101</v>
      </c>
      <c r="K25" s="26"/>
      <c r="L25" s="26"/>
      <c r="M25" s="26"/>
      <c r="N25" s="10"/>
      <c r="O25" s="10"/>
      <c r="P25" s="15">
        <v>0.79</v>
      </c>
      <c r="Q25" s="26">
        <v>45101</v>
      </c>
      <c r="R25" s="26"/>
      <c r="S25" s="26"/>
      <c r="T25" s="26"/>
      <c r="U25" s="21">
        <f>SUMIFS(Tabela1[DISPONÍVEL],Tabela1[[DATA]:[DATA]],VLOOKUP(Q25,Tabela1[[DATA]:[DATA]],1),Tabela1[[AGUARDANDO PEÇAS]:[AGUARDANDO PEÇAS]],1)</f>
        <v>0</v>
      </c>
      <c r="V25" s="16">
        <v>6</v>
      </c>
    </row>
    <row r="26" spans="1:22" x14ac:dyDescent="0.25">
      <c r="A26" s="26">
        <v>45102</v>
      </c>
      <c r="B26" s="26"/>
      <c r="C26" s="26"/>
      <c r="D26" s="26"/>
      <c r="E26" s="11">
        <f>COUNTA(LISTAS!$H$2:$H$10,LISTAS!$I$2:$I$30)</f>
        <v>21</v>
      </c>
      <c r="F26" s="12">
        <f>SUMIFS(Tabela1[DISPONÍVEL],Tabela1[[DATA]:[DATA]],VLOOKUP(A26,Tabela1[[DATA]:[DATA]],1),Tabela1[[DISPONIBILIDADE]:[DISPONIBILIDADE]],1)</f>
        <v>0</v>
      </c>
      <c r="G26" s="17">
        <f t="shared" si="1"/>
        <v>0</v>
      </c>
      <c r="H26" s="17"/>
      <c r="I26" s="17"/>
      <c r="J26" s="26">
        <v>45102</v>
      </c>
      <c r="K26" s="26"/>
      <c r="L26" s="26"/>
      <c r="M26" s="26"/>
      <c r="N26" s="10"/>
      <c r="O26" s="10"/>
      <c r="P26" s="15">
        <v>0.79</v>
      </c>
      <c r="Q26" s="26">
        <v>45102</v>
      </c>
      <c r="R26" s="26"/>
      <c r="S26" s="26"/>
      <c r="T26" s="26"/>
      <c r="U26" s="21">
        <f>SUMIFS(Tabela1[DISPONÍVEL],Tabela1[[DATA]:[DATA]],VLOOKUP(Q26,Tabela1[[DATA]:[DATA]],1),Tabela1[[AGUARDANDO PEÇAS]:[AGUARDANDO PEÇAS]],1)</f>
        <v>0</v>
      </c>
      <c r="V26" s="16">
        <v>6</v>
      </c>
    </row>
    <row r="27" spans="1:22" x14ac:dyDescent="0.25">
      <c r="A27" s="26">
        <v>45103</v>
      </c>
      <c r="B27" s="26"/>
      <c r="C27" s="26"/>
      <c r="D27" s="26"/>
      <c r="E27" s="11">
        <f>COUNTA(LISTAS!$H$2:$H$10,LISTAS!$I$2:$I$30)</f>
        <v>21</v>
      </c>
      <c r="F27" s="12">
        <f>SUMIFS(Tabela1[DISPONÍVEL],Tabela1[[DATA]:[DATA]],VLOOKUP(A27,Tabela1[[DATA]:[DATA]],1),Tabela1[[DISPONIBILIDADE]:[DISPONIBILIDADE]],1)</f>
        <v>0</v>
      </c>
      <c r="G27" s="17">
        <f t="shared" si="1"/>
        <v>0</v>
      </c>
      <c r="H27" s="17"/>
      <c r="I27" s="17"/>
      <c r="J27" s="26">
        <v>45103</v>
      </c>
      <c r="K27" s="26"/>
      <c r="L27" s="26"/>
      <c r="M27" s="26"/>
      <c r="N27" s="10"/>
      <c r="O27" s="10"/>
      <c r="P27" s="15">
        <v>0.9</v>
      </c>
      <c r="Q27" s="26">
        <v>45103</v>
      </c>
      <c r="R27" s="26"/>
      <c r="S27" s="26"/>
      <c r="T27" s="26"/>
      <c r="U27" s="21">
        <f>SUMIFS(Tabela1[DISPONÍVEL],Tabela1[[DATA]:[DATA]],VLOOKUP(Q27,Tabela1[[DATA]:[DATA]],1),Tabela1[[AGUARDANDO PEÇAS]:[AGUARDANDO PEÇAS]],1)</f>
        <v>0</v>
      </c>
      <c r="V27" s="16">
        <v>6</v>
      </c>
    </row>
    <row r="28" spans="1:22" x14ac:dyDescent="0.25">
      <c r="A28" s="26">
        <v>45104</v>
      </c>
      <c r="B28" s="26"/>
      <c r="C28" s="26"/>
      <c r="D28" s="26"/>
      <c r="E28" s="11">
        <f>COUNTA(LISTAS!$H$2:$H$10,LISTAS!$I$2:$I$30)</f>
        <v>21</v>
      </c>
      <c r="F28" s="12">
        <f>SUMIFS(Tabela1[DISPONÍVEL],Tabela1[[DATA]:[DATA]],VLOOKUP(A28,Tabela1[[DATA]:[DATA]],1),Tabela1[[DISPONIBILIDADE]:[DISPONIBILIDADE]],1)</f>
        <v>0</v>
      </c>
      <c r="G28" s="17">
        <f t="shared" si="1"/>
        <v>0</v>
      </c>
      <c r="H28" s="17"/>
      <c r="I28" s="17"/>
      <c r="J28" s="26">
        <v>45104</v>
      </c>
      <c r="K28" s="26"/>
      <c r="L28" s="26"/>
      <c r="M28" s="26"/>
      <c r="N28" s="10"/>
      <c r="O28" s="10"/>
      <c r="P28" s="15">
        <v>0.79</v>
      </c>
      <c r="Q28" s="26">
        <v>45104</v>
      </c>
      <c r="R28" s="26"/>
      <c r="S28" s="26"/>
      <c r="T28" s="26"/>
      <c r="U28" s="21">
        <f>SUMIFS(Tabela1[DISPONÍVEL],Tabela1[[DATA]:[DATA]],VLOOKUP(Q28,Tabela1[[DATA]:[DATA]],1),Tabela1[[AGUARDANDO PEÇAS]:[AGUARDANDO PEÇAS]],1)</f>
        <v>0</v>
      </c>
      <c r="V28" s="16">
        <v>6</v>
      </c>
    </row>
    <row r="29" spans="1:22" x14ac:dyDescent="0.25">
      <c r="A29" s="26">
        <v>45105</v>
      </c>
      <c r="B29" s="26"/>
      <c r="C29" s="26"/>
      <c r="D29" s="26"/>
      <c r="E29" s="11"/>
      <c r="G29" s="17" t="e">
        <f t="shared" si="1"/>
        <v>#DIV/0!</v>
      </c>
      <c r="H29" s="17"/>
      <c r="I29" s="17"/>
      <c r="J29" s="26">
        <v>45105</v>
      </c>
      <c r="K29" s="26"/>
      <c r="L29" s="26"/>
      <c r="M29" s="26"/>
      <c r="N29" s="10"/>
      <c r="O29" s="10"/>
      <c r="P29" s="15"/>
      <c r="Q29" s="26">
        <v>45105</v>
      </c>
      <c r="R29" s="26"/>
      <c r="S29" s="26"/>
      <c r="T29" s="26"/>
      <c r="U29" s="21">
        <f>SUMIFS(Tabela1[DISPONÍVEL],Tabela1[[DATA]:[DATA]],VLOOKUP(Q29,Tabela1[[DATA]:[DATA]],1),Tabela1[[AGUARDANDO PEÇAS]:[AGUARDANDO PEÇAS]],1)</f>
        <v>0</v>
      </c>
      <c r="V29" s="16"/>
    </row>
    <row r="30" spans="1:22" x14ac:dyDescent="0.25">
      <c r="A30" s="26">
        <v>45106</v>
      </c>
      <c r="B30" s="26"/>
      <c r="C30" s="26"/>
      <c r="D30" s="26"/>
      <c r="E30" s="11"/>
      <c r="G30" s="17" t="e">
        <f t="shared" si="1"/>
        <v>#DIV/0!</v>
      </c>
      <c r="H30" s="17"/>
      <c r="I30" s="17"/>
      <c r="J30" s="26">
        <v>45106</v>
      </c>
      <c r="K30" s="26"/>
      <c r="L30" s="26"/>
      <c r="M30" s="26"/>
      <c r="N30" s="10"/>
      <c r="O30" s="10"/>
      <c r="P30" s="15"/>
      <c r="Q30" s="26">
        <v>45106</v>
      </c>
      <c r="R30" s="26"/>
      <c r="S30" s="26"/>
      <c r="T30" s="26"/>
      <c r="U30" s="21">
        <f>SUMIFS(Tabela1[DISPONÍVEL],Tabela1[[DATA]:[DATA]],VLOOKUP(Q30,Tabela1[[DATA]:[DATA]],1),Tabela1[[AGUARDANDO PEÇAS]:[AGUARDANDO PEÇAS]],1)</f>
        <v>0</v>
      </c>
      <c r="V30" s="16"/>
    </row>
    <row r="31" spans="1:22" x14ac:dyDescent="0.25">
      <c r="A31" s="26">
        <v>45107</v>
      </c>
      <c r="B31" s="26"/>
      <c r="C31" s="26"/>
      <c r="D31" s="26"/>
      <c r="E31" s="11"/>
      <c r="G31" s="17" t="e">
        <f t="shared" si="1"/>
        <v>#DIV/0!</v>
      </c>
      <c r="H31" s="17"/>
      <c r="I31" s="17"/>
      <c r="J31" s="26">
        <v>45107</v>
      </c>
      <c r="K31" s="26"/>
      <c r="L31" s="26"/>
      <c r="M31" s="26"/>
      <c r="N31" s="10"/>
      <c r="O31" s="10"/>
      <c r="P31" s="15"/>
      <c r="Q31" s="26">
        <v>45107</v>
      </c>
      <c r="R31" s="26"/>
      <c r="S31" s="26"/>
      <c r="T31" s="26"/>
      <c r="U31" s="21">
        <f>SUMIFS(Tabela1[DISPONÍVEL],Tabela1[[DATA]:[DATA]],VLOOKUP(Q31,Tabela1[[DATA]:[DATA]],1),Tabela1[[AGUARDANDO PEÇAS]:[AGUARDANDO PEÇAS]],1)</f>
        <v>0</v>
      </c>
      <c r="V31" s="16"/>
    </row>
    <row r="32" spans="1:22" x14ac:dyDescent="0.25">
      <c r="A32" s="26"/>
      <c r="B32" s="26"/>
      <c r="C32" s="26"/>
      <c r="D32" s="26"/>
      <c r="E32" s="11"/>
      <c r="G32" s="17" t="e">
        <f t="shared" si="1"/>
        <v>#DIV/0!</v>
      </c>
      <c r="H32" s="17"/>
      <c r="I32" s="17"/>
      <c r="J32" s="26"/>
      <c r="K32" s="26"/>
      <c r="L32" s="26"/>
      <c r="M32" s="26"/>
      <c r="N32" s="10"/>
      <c r="O32" s="10"/>
      <c r="P32" s="15"/>
      <c r="Q32" s="26"/>
      <c r="R32" s="26"/>
      <c r="S32" s="26"/>
      <c r="T32" s="26"/>
      <c r="U32" s="21"/>
      <c r="V32" s="16"/>
    </row>
    <row r="33" spans="1:22" x14ac:dyDescent="0.25">
      <c r="A33" s="26" t="s">
        <v>30</v>
      </c>
      <c r="B33" s="26"/>
      <c r="C33" s="26"/>
      <c r="D33" s="26"/>
      <c r="E33" s="19">
        <f>SUM(E2:E32)</f>
        <v>567</v>
      </c>
      <c r="F33" s="20">
        <f>SUM(F2:F32)</f>
        <v>2</v>
      </c>
      <c r="G33" s="17">
        <f>F33/E33</f>
        <v>3.5273368606701938E-3</v>
      </c>
      <c r="H33" s="17"/>
      <c r="I33" s="17"/>
      <c r="J33" s="26" t="s">
        <v>30</v>
      </c>
      <c r="K33" s="26"/>
      <c r="L33" s="26"/>
      <c r="M33" s="26"/>
      <c r="N33" s="10"/>
      <c r="O33" s="10"/>
      <c r="P33" s="15">
        <f>SUM($P$2:$P$32)/COUNTA($P$2:$P$32)</f>
        <v>0.78666666666666651</v>
      </c>
      <c r="Q33" s="26" t="s">
        <v>30</v>
      </c>
      <c r="R33" s="26"/>
      <c r="S33" s="26"/>
      <c r="T33" s="26"/>
      <c r="U33" s="10"/>
      <c r="V33" s="16">
        <f>SUM($V$2:$V$32)/COUNTA($V$2:$V$32)</f>
        <v>6.0370370370370372</v>
      </c>
    </row>
    <row r="34" spans="1:22" x14ac:dyDescent="0.25">
      <c r="A34" s="26"/>
      <c r="B34" s="27"/>
      <c r="C34" s="27"/>
      <c r="D34" s="27"/>
      <c r="E34" s="27"/>
      <c r="F34" s="27"/>
      <c r="J34" s="26"/>
      <c r="K34" s="27"/>
      <c r="L34" s="27"/>
      <c r="M34" s="27"/>
      <c r="N34" s="21"/>
      <c r="O34" s="21"/>
      <c r="Q34" s="27"/>
      <c r="R34" s="27"/>
      <c r="S34" s="27"/>
      <c r="T34" s="27"/>
      <c r="U34" s="27"/>
      <c r="V34" s="27"/>
    </row>
    <row r="35" spans="1:22" x14ac:dyDescent="0.25">
      <c r="A35" s="26"/>
      <c r="B35" s="27"/>
      <c r="C35" s="27"/>
      <c r="D35" s="27"/>
      <c r="E35" s="27"/>
      <c r="F35" s="27"/>
      <c r="J35" s="26"/>
      <c r="K35" s="27"/>
      <c r="L35" s="27"/>
      <c r="M35" s="27"/>
      <c r="N35" s="21"/>
      <c r="O35" s="21"/>
    </row>
    <row r="36" spans="1:22" x14ac:dyDescent="0.25">
      <c r="A36" s="26"/>
      <c r="B36" s="27"/>
      <c r="C36" s="27"/>
      <c r="D36" s="27"/>
      <c r="E36" s="27"/>
      <c r="F36" s="27"/>
      <c r="H36" s="22"/>
      <c r="I36" s="22"/>
      <c r="J36" s="26" t="s">
        <v>45</v>
      </c>
      <c r="K36" s="27"/>
      <c r="L36" s="27"/>
      <c r="M36" s="27"/>
      <c r="N36" s="21"/>
      <c r="O36" s="21"/>
    </row>
    <row r="37" spans="1:22" x14ac:dyDescent="0.25">
      <c r="A37" s="26"/>
      <c r="B37" s="27"/>
      <c r="C37" s="27"/>
      <c r="D37" s="27"/>
      <c r="E37" s="27"/>
      <c r="F37" s="27"/>
      <c r="H37" s="23"/>
      <c r="I37" s="23"/>
      <c r="J37" s="26" t="s">
        <v>46</v>
      </c>
      <c r="K37" s="27"/>
      <c r="L37" s="27"/>
      <c r="M37" s="27"/>
      <c r="N37" s="21"/>
      <c r="O37" s="21"/>
    </row>
    <row r="38" spans="1:22" x14ac:dyDescent="0.25">
      <c r="A38" s="26"/>
      <c r="B38" s="27"/>
      <c r="C38" s="27"/>
      <c r="D38" s="27"/>
      <c r="E38" s="27"/>
      <c r="F38" s="27"/>
      <c r="J38" s="26"/>
      <c r="K38" s="27"/>
      <c r="L38" s="27"/>
      <c r="M38" s="27"/>
      <c r="N38" s="21"/>
      <c r="O38" s="21"/>
    </row>
    <row r="39" spans="1:22" x14ac:dyDescent="0.25">
      <c r="A39" s="26"/>
      <c r="B39" s="27"/>
      <c r="C39" s="27"/>
      <c r="D39" s="27"/>
      <c r="E39" s="27"/>
      <c r="F39" s="27"/>
      <c r="J39" s="26"/>
      <c r="K39" s="27"/>
      <c r="L39" s="27"/>
      <c r="M39" s="27"/>
      <c r="N39" s="21"/>
      <c r="O39" s="21"/>
    </row>
    <row r="40" spans="1:22" x14ac:dyDescent="0.25">
      <c r="A40" s="26"/>
      <c r="B40" s="27"/>
      <c r="C40" s="27"/>
      <c r="D40" s="27"/>
      <c r="E40" s="27"/>
      <c r="F40" s="27"/>
      <c r="J40" s="26"/>
      <c r="K40" s="27"/>
      <c r="L40" s="27"/>
      <c r="M40" s="27"/>
      <c r="N40" s="21"/>
      <c r="O40" s="21"/>
    </row>
    <row r="41" spans="1:22" x14ac:dyDescent="0.25">
      <c r="A41" s="26"/>
      <c r="B41" s="27"/>
      <c r="C41" s="27"/>
      <c r="D41" s="27"/>
      <c r="E41" s="27"/>
      <c r="F41" s="27"/>
      <c r="J41" s="26"/>
      <c r="K41" s="27"/>
      <c r="L41" s="27"/>
      <c r="M41" s="27"/>
      <c r="N41" s="21"/>
      <c r="O41" s="21"/>
    </row>
    <row r="42" spans="1:22" x14ac:dyDescent="0.25">
      <c r="A42" s="26"/>
      <c r="B42" s="27"/>
      <c r="C42" s="27"/>
      <c r="D42" s="27"/>
      <c r="E42" s="27"/>
      <c r="F42" s="27"/>
      <c r="J42" s="26"/>
      <c r="K42" s="27"/>
      <c r="L42" s="27"/>
      <c r="M42" s="27"/>
      <c r="N42" s="21"/>
      <c r="O42" s="21"/>
    </row>
    <row r="43" spans="1:22" x14ac:dyDescent="0.25">
      <c r="A43" s="26"/>
      <c r="B43" s="27"/>
      <c r="C43" s="27"/>
      <c r="D43" s="27"/>
      <c r="E43" s="27"/>
      <c r="F43" s="27"/>
      <c r="J43" s="26"/>
      <c r="K43" s="27"/>
      <c r="L43" s="27"/>
      <c r="M43" s="27"/>
      <c r="N43" s="21"/>
      <c r="O43" s="21"/>
    </row>
    <row r="44" spans="1:22" x14ac:dyDescent="0.25">
      <c r="A44" s="26"/>
      <c r="B44" s="27"/>
      <c r="C44" s="27"/>
      <c r="D44" s="27"/>
      <c r="E44" s="27"/>
      <c r="F44" s="27"/>
      <c r="J44" s="26"/>
      <c r="K44" s="27"/>
      <c r="L44" s="27"/>
      <c r="M44" s="27"/>
      <c r="N44" s="21"/>
      <c r="O44" s="21"/>
    </row>
    <row r="45" spans="1:22" x14ac:dyDescent="0.25">
      <c r="A45" s="26"/>
      <c r="B45" s="27"/>
      <c r="C45" s="27"/>
      <c r="D45" s="27"/>
      <c r="E45" s="27"/>
      <c r="F45" s="27"/>
      <c r="J45" s="26"/>
      <c r="K45" s="27"/>
      <c r="L45" s="27"/>
      <c r="M45" s="27"/>
      <c r="N45" s="21"/>
      <c r="O45" s="21"/>
    </row>
    <row r="46" spans="1:22" x14ac:dyDescent="0.25">
      <c r="A46" s="26"/>
      <c r="B46" s="27"/>
      <c r="C46" s="27"/>
      <c r="D46" s="27"/>
      <c r="E46" s="27"/>
      <c r="F46" s="27"/>
      <c r="J46" s="26"/>
      <c r="K46" s="27"/>
      <c r="L46" s="27"/>
      <c r="M46" s="27"/>
      <c r="N46" s="21"/>
      <c r="O46" s="21"/>
    </row>
    <row r="47" spans="1:22" x14ac:dyDescent="0.25">
      <c r="A47" s="26"/>
      <c r="B47" s="27"/>
      <c r="C47" s="27"/>
      <c r="D47" s="27"/>
      <c r="E47" s="27"/>
      <c r="F47" s="27"/>
      <c r="J47" s="26"/>
      <c r="K47" s="27"/>
      <c r="L47" s="27"/>
      <c r="M47" s="27"/>
      <c r="N47" s="21"/>
      <c r="O47" s="21"/>
    </row>
    <row r="48" spans="1:22" x14ac:dyDescent="0.25">
      <c r="A48" s="26"/>
      <c r="B48" s="27"/>
      <c r="C48" s="27"/>
      <c r="D48" s="27"/>
      <c r="E48" s="27"/>
      <c r="F48" s="27"/>
      <c r="J48" s="26"/>
      <c r="K48" s="27"/>
      <c r="L48" s="27"/>
      <c r="M48" s="27"/>
      <c r="N48" s="21"/>
      <c r="O48" s="21"/>
    </row>
    <row r="49" spans="1:15" x14ac:dyDescent="0.25">
      <c r="A49" s="26"/>
      <c r="B49" s="27"/>
      <c r="C49" s="27"/>
      <c r="D49" s="27"/>
      <c r="E49" s="27"/>
      <c r="F49" s="27"/>
      <c r="J49" s="26"/>
      <c r="K49" s="27"/>
      <c r="L49" s="27"/>
      <c r="M49" s="27"/>
      <c r="N49" s="21"/>
      <c r="O49" s="21"/>
    </row>
    <row r="50" spans="1:15" x14ac:dyDescent="0.25">
      <c r="A50" s="26"/>
      <c r="B50" s="27"/>
      <c r="C50" s="27"/>
      <c r="D50" s="27"/>
      <c r="E50" s="27"/>
      <c r="F50" s="27"/>
      <c r="J50" s="26"/>
      <c r="K50" s="27"/>
      <c r="L50" s="27"/>
      <c r="M50" s="27"/>
      <c r="N50" s="21"/>
      <c r="O50" s="21"/>
    </row>
    <row r="51" spans="1:15" x14ac:dyDescent="0.25">
      <c r="A51" s="26"/>
      <c r="B51" s="27"/>
      <c r="C51" s="27"/>
      <c r="D51" s="27"/>
      <c r="E51" s="27"/>
      <c r="F51" s="27"/>
      <c r="J51" s="26"/>
      <c r="K51" s="27"/>
      <c r="L51" s="27"/>
      <c r="M51" s="27"/>
      <c r="N51" s="21"/>
      <c r="O51" s="21"/>
    </row>
    <row r="52" spans="1:15" x14ac:dyDescent="0.25">
      <c r="A52" s="26"/>
      <c r="B52" s="27"/>
      <c r="C52" s="27"/>
      <c r="D52" s="27"/>
      <c r="E52" s="27"/>
      <c r="F52" s="27"/>
      <c r="J52" s="26"/>
      <c r="K52" s="27"/>
      <c r="L52" s="27"/>
      <c r="M52" s="27"/>
      <c r="N52" s="21"/>
      <c r="O52" s="21"/>
    </row>
    <row r="53" spans="1:15" x14ac:dyDescent="0.25">
      <c r="A53" s="26"/>
      <c r="B53" s="27"/>
      <c r="C53" s="27"/>
      <c r="D53" s="27"/>
      <c r="E53" s="27"/>
      <c r="F53" s="27"/>
      <c r="J53" s="26"/>
      <c r="K53" s="27"/>
      <c r="L53" s="27"/>
      <c r="M53" s="27"/>
      <c r="N53" s="21"/>
      <c r="O53" s="21"/>
    </row>
    <row r="54" spans="1:15" x14ac:dyDescent="0.25">
      <c r="A54" s="26"/>
      <c r="B54" s="27"/>
      <c r="C54" s="27"/>
      <c r="D54" s="27"/>
      <c r="E54" s="27"/>
      <c r="F54" s="27"/>
      <c r="J54" s="26"/>
      <c r="K54" s="27"/>
      <c r="L54" s="27"/>
      <c r="M54" s="27"/>
      <c r="N54" s="21"/>
      <c r="O54" s="21"/>
    </row>
    <row r="55" spans="1:15" x14ac:dyDescent="0.25">
      <c r="A55" s="26"/>
      <c r="B55" s="27"/>
      <c r="C55" s="27"/>
      <c r="D55" s="27"/>
      <c r="E55" s="27"/>
      <c r="F55" s="27"/>
      <c r="J55" s="26"/>
      <c r="K55" s="27"/>
      <c r="L55" s="27"/>
      <c r="M55" s="27"/>
      <c r="N55" s="21"/>
      <c r="O55" s="21"/>
    </row>
    <row r="56" spans="1:15" x14ac:dyDescent="0.25">
      <c r="A56" s="26"/>
      <c r="B56" s="27"/>
      <c r="C56" s="27"/>
      <c r="D56" s="27"/>
      <c r="E56" s="27"/>
      <c r="F56" s="27"/>
      <c r="J56" s="26"/>
      <c r="K56" s="27"/>
      <c r="L56" s="27"/>
      <c r="M56" s="27"/>
      <c r="N56" s="21"/>
      <c r="O56" s="21"/>
    </row>
    <row r="57" spans="1:15" x14ac:dyDescent="0.25">
      <c r="A57" s="26"/>
      <c r="B57" s="27"/>
      <c r="C57" s="27"/>
      <c r="D57" s="27"/>
      <c r="E57" s="27"/>
      <c r="F57" s="27"/>
      <c r="J57" s="26"/>
      <c r="K57" s="27"/>
      <c r="L57" s="27"/>
      <c r="M57" s="27"/>
      <c r="N57" s="21"/>
      <c r="O57" s="21"/>
    </row>
    <row r="58" spans="1:15" x14ac:dyDescent="0.25">
      <c r="A58" s="26"/>
      <c r="B58" s="27"/>
      <c r="C58" s="27"/>
      <c r="D58" s="27"/>
      <c r="E58" s="27"/>
      <c r="F58" s="27"/>
      <c r="J58" s="26"/>
      <c r="K58" s="27"/>
      <c r="L58" s="27"/>
      <c r="M58" s="27"/>
      <c r="N58" s="21"/>
      <c r="O58" s="21"/>
    </row>
    <row r="59" spans="1:15" x14ac:dyDescent="0.25">
      <c r="A59" s="26"/>
      <c r="B59" s="27"/>
      <c r="C59" s="27"/>
      <c r="D59" s="27"/>
      <c r="E59" s="27"/>
      <c r="F59" s="27"/>
      <c r="J59" s="26"/>
      <c r="K59" s="27"/>
      <c r="L59" s="27"/>
      <c r="M59" s="27"/>
      <c r="N59" s="21"/>
      <c r="O59" s="21"/>
    </row>
    <row r="60" spans="1:15" x14ac:dyDescent="0.25">
      <c r="A60" s="26"/>
      <c r="B60" s="27"/>
      <c r="C60" s="27"/>
      <c r="D60" s="27"/>
      <c r="E60" s="27"/>
      <c r="F60" s="27"/>
      <c r="J60" s="26"/>
      <c r="K60" s="27"/>
      <c r="L60" s="27"/>
      <c r="M60" s="27"/>
      <c r="N60" s="21"/>
      <c r="O60" s="21"/>
    </row>
    <row r="61" spans="1:15" x14ac:dyDescent="0.25">
      <c r="A61" s="26"/>
      <c r="B61" s="27"/>
      <c r="C61" s="27"/>
      <c r="D61" s="27"/>
      <c r="E61" s="27"/>
      <c r="F61" s="27"/>
      <c r="J61" s="26"/>
      <c r="K61" s="27"/>
      <c r="L61" s="27"/>
      <c r="M61" s="27"/>
      <c r="N61" s="21"/>
      <c r="O61" s="21"/>
    </row>
    <row r="62" spans="1:15" x14ac:dyDescent="0.25">
      <c r="A62" s="26"/>
      <c r="B62" s="27"/>
      <c r="C62" s="27"/>
      <c r="D62" s="27"/>
      <c r="E62" s="27"/>
      <c r="F62" s="27"/>
      <c r="J62" s="26"/>
      <c r="K62" s="27"/>
      <c r="L62" s="27"/>
      <c r="M62" s="27"/>
      <c r="N62" s="21"/>
      <c r="O62" s="21"/>
    </row>
    <row r="63" spans="1:15" x14ac:dyDescent="0.25">
      <c r="A63" s="26"/>
      <c r="B63" s="27"/>
      <c r="C63" s="27"/>
      <c r="D63" s="27"/>
      <c r="E63" s="27"/>
      <c r="F63" s="27"/>
      <c r="J63" s="26"/>
      <c r="K63" s="27"/>
      <c r="L63" s="27"/>
      <c r="M63" s="27"/>
      <c r="N63" s="21"/>
      <c r="O63" s="21"/>
    </row>
    <row r="64" spans="1:15" x14ac:dyDescent="0.25">
      <c r="A64" s="26"/>
      <c r="B64" s="27"/>
      <c r="C64" s="27"/>
      <c r="D64" s="27"/>
      <c r="E64" s="27"/>
      <c r="F64" s="27"/>
      <c r="J64" s="26"/>
      <c r="K64" s="27"/>
      <c r="L64" s="27"/>
      <c r="M64" s="27"/>
      <c r="N64" s="21"/>
      <c r="O64" s="21"/>
    </row>
    <row r="65" spans="1:15" x14ac:dyDescent="0.25">
      <c r="A65" s="26"/>
      <c r="B65" s="27"/>
      <c r="C65" s="27"/>
      <c r="D65" s="27"/>
      <c r="E65" s="27"/>
      <c r="F65" s="27"/>
      <c r="J65" s="26"/>
      <c r="K65" s="27"/>
      <c r="L65" s="27"/>
      <c r="M65" s="27"/>
      <c r="N65" s="21"/>
      <c r="O65" s="21"/>
    </row>
    <row r="66" spans="1:15" x14ac:dyDescent="0.25">
      <c r="A66" s="26"/>
      <c r="B66" s="27"/>
      <c r="C66" s="27"/>
      <c r="D66" s="27"/>
      <c r="E66" s="27"/>
      <c r="F66" s="27"/>
      <c r="J66" s="26"/>
      <c r="K66" s="27"/>
      <c r="L66" s="27"/>
      <c r="M66" s="27"/>
      <c r="N66" s="21"/>
      <c r="O66" s="21"/>
    </row>
    <row r="67" spans="1:15" x14ac:dyDescent="0.25">
      <c r="A67" s="26"/>
      <c r="B67" s="27"/>
      <c r="C67" s="27"/>
      <c r="D67" s="27"/>
      <c r="E67" s="27"/>
      <c r="F67" s="27"/>
      <c r="J67" s="26"/>
      <c r="K67" s="27"/>
      <c r="L67" s="27"/>
      <c r="M67" s="27"/>
      <c r="N67" s="21"/>
      <c r="O67" s="21"/>
    </row>
    <row r="68" spans="1:15" x14ac:dyDescent="0.25">
      <c r="A68" s="26"/>
      <c r="B68" s="27"/>
      <c r="C68" s="27"/>
      <c r="D68" s="27"/>
      <c r="E68" s="27"/>
      <c r="F68" s="27"/>
      <c r="J68" s="26"/>
      <c r="K68" s="27"/>
      <c r="L68" s="27"/>
      <c r="M68" s="27"/>
      <c r="N68" s="21"/>
      <c r="O68" s="21"/>
    </row>
    <row r="69" spans="1:15" x14ac:dyDescent="0.25">
      <c r="A69" s="26"/>
      <c r="B69" s="27"/>
      <c r="C69" s="27"/>
      <c r="D69" s="27"/>
      <c r="E69" s="27"/>
      <c r="F69" s="27"/>
      <c r="J69" s="26"/>
      <c r="K69" s="27"/>
      <c r="L69" s="27"/>
      <c r="M69" s="27"/>
      <c r="N69" s="21"/>
      <c r="O69" s="21"/>
    </row>
    <row r="70" spans="1:15" x14ac:dyDescent="0.25">
      <c r="A70" s="26"/>
      <c r="B70" s="27"/>
      <c r="C70" s="27"/>
      <c r="D70" s="27"/>
      <c r="E70" s="27"/>
      <c r="F70" s="27"/>
      <c r="J70" s="26"/>
      <c r="K70" s="27"/>
      <c r="L70" s="27"/>
      <c r="M70" s="27"/>
      <c r="N70" s="21"/>
      <c r="O70" s="21"/>
    </row>
    <row r="71" spans="1:15" x14ac:dyDescent="0.25">
      <c r="A71" s="26"/>
      <c r="B71" s="27"/>
      <c r="C71" s="27"/>
      <c r="D71" s="27"/>
      <c r="E71" s="27"/>
      <c r="F71" s="27"/>
      <c r="J71" s="26"/>
      <c r="K71" s="27"/>
      <c r="L71" s="27"/>
      <c r="M71" s="27"/>
      <c r="N71" s="21"/>
      <c r="O71" s="21"/>
    </row>
    <row r="72" spans="1:15" x14ac:dyDescent="0.25">
      <c r="A72" s="26"/>
      <c r="B72" s="27"/>
      <c r="C72" s="27"/>
      <c r="D72" s="27"/>
      <c r="E72" s="27"/>
      <c r="F72" s="27"/>
      <c r="J72" s="26"/>
      <c r="K72" s="27"/>
      <c r="L72" s="27"/>
      <c r="M72" s="27"/>
      <c r="N72" s="21"/>
      <c r="O72" s="21"/>
    </row>
    <row r="73" spans="1:15" x14ac:dyDescent="0.25">
      <c r="A73" s="26"/>
      <c r="B73" s="27"/>
      <c r="C73" s="27"/>
      <c r="D73" s="27"/>
      <c r="E73" s="27"/>
      <c r="F73" s="27"/>
      <c r="J73" s="26"/>
      <c r="K73" s="27"/>
      <c r="L73" s="27"/>
      <c r="M73" s="27"/>
      <c r="N73" s="21"/>
      <c r="O73" s="21"/>
    </row>
    <row r="74" spans="1:15" x14ac:dyDescent="0.25">
      <c r="A74" s="26"/>
      <c r="B74" s="27"/>
      <c r="C74" s="27"/>
      <c r="D74" s="27"/>
      <c r="E74" s="27"/>
      <c r="F74" s="27"/>
      <c r="J74" s="26"/>
      <c r="K74" s="27"/>
      <c r="L74" s="27"/>
      <c r="M74" s="27"/>
      <c r="N74" s="21"/>
      <c r="O74" s="21"/>
    </row>
    <row r="75" spans="1:15" x14ac:dyDescent="0.25">
      <c r="A75" s="26"/>
      <c r="B75" s="27"/>
      <c r="C75" s="27"/>
      <c r="D75" s="27"/>
      <c r="E75" s="27"/>
      <c r="F75" s="27"/>
      <c r="J75" s="26"/>
      <c r="K75" s="27"/>
      <c r="L75" s="27"/>
      <c r="M75" s="27"/>
      <c r="N75" s="21"/>
      <c r="O75" s="21"/>
    </row>
    <row r="76" spans="1:15" x14ac:dyDescent="0.25">
      <c r="A76" s="26"/>
      <c r="B76" s="27"/>
      <c r="C76" s="27"/>
      <c r="D76" s="27"/>
      <c r="E76" s="27"/>
      <c r="F76" s="27"/>
      <c r="J76" s="26"/>
      <c r="K76" s="27"/>
      <c r="L76" s="27"/>
      <c r="M76" s="27"/>
      <c r="N76" s="21"/>
      <c r="O76" s="21"/>
    </row>
    <row r="77" spans="1:15" x14ac:dyDescent="0.25">
      <c r="A77" s="26"/>
      <c r="B77" s="27"/>
      <c r="C77" s="27"/>
      <c r="D77" s="27"/>
      <c r="E77" s="27"/>
      <c r="F77" s="27"/>
      <c r="J77" s="26"/>
      <c r="K77" s="27"/>
      <c r="L77" s="27"/>
      <c r="M77" s="27"/>
      <c r="N77" s="21"/>
      <c r="O77" s="21"/>
    </row>
    <row r="78" spans="1:15" x14ac:dyDescent="0.25">
      <c r="A78" s="26"/>
      <c r="B78" s="27"/>
      <c r="C78" s="27"/>
      <c r="D78" s="27"/>
      <c r="E78" s="27"/>
      <c r="F78" s="27"/>
      <c r="J78" s="26"/>
      <c r="K78" s="27"/>
      <c r="L78" s="27"/>
      <c r="M78" s="27"/>
      <c r="N78" s="21"/>
      <c r="O78" s="21"/>
    </row>
    <row r="79" spans="1:15" x14ac:dyDescent="0.25">
      <c r="A79" s="26"/>
      <c r="B79" s="27"/>
      <c r="C79" s="27"/>
      <c r="D79" s="27"/>
      <c r="E79" s="27"/>
      <c r="F79" s="27"/>
      <c r="J79" s="26"/>
      <c r="K79" s="27"/>
      <c r="L79" s="27"/>
      <c r="M79" s="27"/>
      <c r="N79" s="21"/>
      <c r="O79" s="21"/>
    </row>
    <row r="80" spans="1:15" x14ac:dyDescent="0.25">
      <c r="A80" s="26"/>
      <c r="B80" s="27"/>
      <c r="C80" s="27"/>
      <c r="D80" s="27"/>
      <c r="E80" s="27"/>
      <c r="F80" s="27"/>
      <c r="J80" s="26"/>
      <c r="K80" s="27"/>
      <c r="L80" s="27"/>
      <c r="M80" s="27"/>
      <c r="N80" s="21"/>
      <c r="O80" s="21"/>
    </row>
    <row r="81" spans="1:15" x14ac:dyDescent="0.25">
      <c r="A81" s="26"/>
      <c r="B81" s="27"/>
      <c r="C81" s="27"/>
      <c r="D81" s="27"/>
      <c r="E81" s="27"/>
      <c r="F81" s="27"/>
      <c r="J81" s="26"/>
      <c r="K81" s="27"/>
      <c r="L81" s="27"/>
      <c r="M81" s="27"/>
      <c r="N81" s="21"/>
      <c r="O81" s="21"/>
    </row>
    <row r="82" spans="1:15" x14ac:dyDescent="0.25">
      <c r="A82" s="26"/>
      <c r="B82" s="27"/>
      <c r="C82" s="27"/>
      <c r="D82" s="27"/>
      <c r="E82" s="27"/>
      <c r="F82" s="27"/>
      <c r="J82" s="26"/>
      <c r="K82" s="27"/>
      <c r="L82" s="27"/>
      <c r="M82" s="27"/>
      <c r="N82" s="21"/>
      <c r="O82" s="21"/>
    </row>
    <row r="83" spans="1:15" x14ac:dyDescent="0.25">
      <c r="A83" s="26"/>
      <c r="B83" s="27"/>
      <c r="C83" s="27"/>
      <c r="D83" s="27"/>
      <c r="E83" s="27"/>
      <c r="F83" s="27"/>
      <c r="J83" s="26"/>
      <c r="K83" s="27"/>
      <c r="L83" s="27"/>
      <c r="M83" s="27"/>
      <c r="N83" s="21"/>
      <c r="O83" s="21"/>
    </row>
    <row r="84" spans="1:15" x14ac:dyDescent="0.25">
      <c r="A84" s="26"/>
      <c r="B84" s="27"/>
      <c r="C84" s="27"/>
      <c r="D84" s="27"/>
      <c r="E84" s="27"/>
      <c r="F84" s="27"/>
      <c r="J84" s="26"/>
      <c r="K84" s="27"/>
      <c r="L84" s="27"/>
      <c r="M84" s="27"/>
      <c r="N84" s="21"/>
      <c r="O84" s="21"/>
    </row>
  </sheetData>
  <mergeCells count="202">
    <mergeCell ref="A3:D3"/>
    <mergeCell ref="J3:M3"/>
    <mergeCell ref="Q3:T3"/>
    <mergeCell ref="A4:D4"/>
    <mergeCell ref="J4:M4"/>
    <mergeCell ref="Q4:T4"/>
    <mergeCell ref="A1:D1"/>
    <mergeCell ref="J1:M1"/>
    <mergeCell ref="Q1:T1"/>
    <mergeCell ref="A2:D2"/>
    <mergeCell ref="J2:M2"/>
    <mergeCell ref="Q2:T2"/>
    <mergeCell ref="A7:D7"/>
    <mergeCell ref="J7:M7"/>
    <mergeCell ref="Q7:T7"/>
    <mergeCell ref="A8:D8"/>
    <mergeCell ref="J8:M8"/>
    <mergeCell ref="Q8:T8"/>
    <mergeCell ref="A5:D5"/>
    <mergeCell ref="J5:M5"/>
    <mergeCell ref="Q5:T5"/>
    <mergeCell ref="A6:D6"/>
    <mergeCell ref="J6:M6"/>
    <mergeCell ref="Q6:T6"/>
    <mergeCell ref="A11:D11"/>
    <mergeCell ref="J11:M11"/>
    <mergeCell ref="Q11:T11"/>
    <mergeCell ref="A12:D12"/>
    <mergeCell ref="J12:M12"/>
    <mergeCell ref="Q12:T12"/>
    <mergeCell ref="A9:D9"/>
    <mergeCell ref="J9:M9"/>
    <mergeCell ref="Q9:T9"/>
    <mergeCell ref="A10:D10"/>
    <mergeCell ref="J10:M10"/>
    <mergeCell ref="Q10:T10"/>
    <mergeCell ref="A15:D15"/>
    <mergeCell ref="J15:M15"/>
    <mergeCell ref="Q15:T15"/>
    <mergeCell ref="A16:D16"/>
    <mergeCell ref="J16:M16"/>
    <mergeCell ref="Q16:T16"/>
    <mergeCell ref="A13:D13"/>
    <mergeCell ref="J13:M13"/>
    <mergeCell ref="Q13:T13"/>
    <mergeCell ref="A14:D14"/>
    <mergeCell ref="J14:M14"/>
    <mergeCell ref="Q14:T14"/>
    <mergeCell ref="A19:D19"/>
    <mergeCell ref="J19:M19"/>
    <mergeCell ref="Q19:T19"/>
    <mergeCell ref="A20:D20"/>
    <mergeCell ref="J20:M20"/>
    <mergeCell ref="Q20:T20"/>
    <mergeCell ref="A17:D17"/>
    <mergeCell ref="J17:M17"/>
    <mergeCell ref="Q17:T17"/>
    <mergeCell ref="A18:D18"/>
    <mergeCell ref="J18:M18"/>
    <mergeCell ref="Q18:T18"/>
    <mergeCell ref="A23:D23"/>
    <mergeCell ref="J23:M23"/>
    <mergeCell ref="Q23:T23"/>
    <mergeCell ref="A24:D24"/>
    <mergeCell ref="J24:M24"/>
    <mergeCell ref="Q24:T24"/>
    <mergeCell ref="A21:D21"/>
    <mergeCell ref="J21:M21"/>
    <mergeCell ref="Q21:T21"/>
    <mergeCell ref="A22:D22"/>
    <mergeCell ref="J22:M22"/>
    <mergeCell ref="Q22:T22"/>
    <mergeCell ref="A27:D27"/>
    <mergeCell ref="J27:M27"/>
    <mergeCell ref="Q27:T27"/>
    <mergeCell ref="A28:D28"/>
    <mergeCell ref="J28:M28"/>
    <mergeCell ref="Q28:T28"/>
    <mergeCell ref="A25:D25"/>
    <mergeCell ref="J25:M25"/>
    <mergeCell ref="Q25:T25"/>
    <mergeCell ref="A26:D26"/>
    <mergeCell ref="J26:M26"/>
    <mergeCell ref="Q26:T26"/>
    <mergeCell ref="A31:D31"/>
    <mergeCell ref="J31:M31"/>
    <mergeCell ref="Q31:T31"/>
    <mergeCell ref="A32:D32"/>
    <mergeCell ref="J32:M32"/>
    <mergeCell ref="Q32:T32"/>
    <mergeCell ref="A29:D29"/>
    <mergeCell ref="J29:M29"/>
    <mergeCell ref="Q29:T29"/>
    <mergeCell ref="A30:D30"/>
    <mergeCell ref="J30:M30"/>
    <mergeCell ref="Q30:T30"/>
    <mergeCell ref="A35:F35"/>
    <mergeCell ref="J35:M35"/>
    <mergeCell ref="A36:F36"/>
    <mergeCell ref="J36:M36"/>
    <mergeCell ref="A37:F37"/>
    <mergeCell ref="J37:M37"/>
    <mergeCell ref="A33:D33"/>
    <mergeCell ref="J33:M33"/>
    <mergeCell ref="Q33:T33"/>
    <mergeCell ref="A34:F34"/>
    <mergeCell ref="J34:M34"/>
    <mergeCell ref="Q34:V34"/>
    <mergeCell ref="A41:F41"/>
    <mergeCell ref="J41:M41"/>
    <mergeCell ref="A42:F42"/>
    <mergeCell ref="J42:M42"/>
    <mergeCell ref="A43:F43"/>
    <mergeCell ref="J43:M43"/>
    <mergeCell ref="A38:F38"/>
    <mergeCell ref="J38:M38"/>
    <mergeCell ref="A39:F39"/>
    <mergeCell ref="J39:M39"/>
    <mergeCell ref="A40:F40"/>
    <mergeCell ref="J40:M40"/>
    <mergeCell ref="A47:F47"/>
    <mergeCell ref="J47:M47"/>
    <mergeCell ref="A48:F48"/>
    <mergeCell ref="J48:M48"/>
    <mergeCell ref="A49:F49"/>
    <mergeCell ref="J49:M49"/>
    <mergeCell ref="A44:F44"/>
    <mergeCell ref="J44:M44"/>
    <mergeCell ref="A45:F45"/>
    <mergeCell ref="J45:M45"/>
    <mergeCell ref="A46:F46"/>
    <mergeCell ref="J46:M46"/>
    <mergeCell ref="A53:F53"/>
    <mergeCell ref="J53:M53"/>
    <mergeCell ref="A54:F54"/>
    <mergeCell ref="J54:M54"/>
    <mergeCell ref="A55:F55"/>
    <mergeCell ref="J55:M55"/>
    <mergeCell ref="A50:F50"/>
    <mergeCell ref="J50:M50"/>
    <mergeCell ref="A51:F51"/>
    <mergeCell ref="J51:M51"/>
    <mergeCell ref="A52:F52"/>
    <mergeCell ref="J52:M52"/>
    <mergeCell ref="A59:F59"/>
    <mergeCell ref="J59:M59"/>
    <mergeCell ref="A60:F60"/>
    <mergeCell ref="J60:M60"/>
    <mergeCell ref="A61:F61"/>
    <mergeCell ref="J61:M61"/>
    <mergeCell ref="A56:F56"/>
    <mergeCell ref="J56:M56"/>
    <mergeCell ref="A57:F57"/>
    <mergeCell ref="J57:M57"/>
    <mergeCell ref="A58:F58"/>
    <mergeCell ref="J58:M58"/>
    <mergeCell ref="A65:F65"/>
    <mergeCell ref="J65:M65"/>
    <mergeCell ref="A66:F66"/>
    <mergeCell ref="J66:M66"/>
    <mergeCell ref="A67:F67"/>
    <mergeCell ref="J67:M67"/>
    <mergeCell ref="A62:F62"/>
    <mergeCell ref="J62:M62"/>
    <mergeCell ref="A63:F63"/>
    <mergeCell ref="J63:M63"/>
    <mergeCell ref="A64:F64"/>
    <mergeCell ref="J64:M64"/>
    <mergeCell ref="A71:F71"/>
    <mergeCell ref="J71:M71"/>
    <mergeCell ref="A72:F72"/>
    <mergeCell ref="J72:M72"/>
    <mergeCell ref="A73:F73"/>
    <mergeCell ref="J73:M73"/>
    <mergeCell ref="A68:F68"/>
    <mergeCell ref="J68:M68"/>
    <mergeCell ref="A69:F69"/>
    <mergeCell ref="J69:M69"/>
    <mergeCell ref="A70:F70"/>
    <mergeCell ref="J70:M70"/>
    <mergeCell ref="A77:F77"/>
    <mergeCell ref="J77:M77"/>
    <mergeCell ref="A78:F78"/>
    <mergeCell ref="J78:M78"/>
    <mergeCell ref="A79:F79"/>
    <mergeCell ref="J79:M79"/>
    <mergeCell ref="A74:F74"/>
    <mergeCell ref="J74:M74"/>
    <mergeCell ref="A75:F75"/>
    <mergeCell ref="J75:M75"/>
    <mergeCell ref="A76:F76"/>
    <mergeCell ref="J76:M76"/>
    <mergeCell ref="A83:F83"/>
    <mergeCell ref="J83:M83"/>
    <mergeCell ref="A84:F84"/>
    <mergeCell ref="J84:M84"/>
    <mergeCell ref="A80:F80"/>
    <mergeCell ref="J80:M80"/>
    <mergeCell ref="A81:F81"/>
    <mergeCell ref="J81:M81"/>
    <mergeCell ref="A82:F82"/>
    <mergeCell ref="J82:M8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0"/>
  <sheetViews>
    <sheetView workbookViewId="0">
      <selection activeCell="K4" sqref="K4"/>
    </sheetView>
  </sheetViews>
  <sheetFormatPr defaultRowHeight="15" x14ac:dyDescent="0.25"/>
  <cols>
    <col min="1" max="1" width="16.5703125" bestFit="1" customWidth="1"/>
    <col min="2" max="2" width="4.28515625" bestFit="1" customWidth="1"/>
    <col min="4" max="4" width="11.5703125" bestFit="1" customWidth="1"/>
    <col min="5" max="5" width="11.5703125" customWidth="1"/>
    <col min="8" max="8" width="15.42578125" bestFit="1" customWidth="1"/>
  </cols>
  <sheetData>
    <row r="1" spans="1:11" x14ac:dyDescent="0.25">
      <c r="A1" t="s">
        <v>10</v>
      </c>
      <c r="B1" t="s">
        <v>11</v>
      </c>
      <c r="C1" t="s">
        <v>21</v>
      </c>
      <c r="D1" t="s">
        <v>22</v>
      </c>
      <c r="E1" t="s">
        <v>205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</row>
    <row r="2" spans="1:11" x14ac:dyDescent="0.25">
      <c r="A2" t="s">
        <v>14</v>
      </c>
      <c r="B2">
        <v>0</v>
      </c>
      <c r="C2">
        <v>303</v>
      </c>
      <c r="D2">
        <v>21</v>
      </c>
      <c r="E2" t="s">
        <v>147</v>
      </c>
      <c r="F2" t="s">
        <v>47</v>
      </c>
      <c r="H2" t="s">
        <v>144</v>
      </c>
      <c r="I2" t="s">
        <v>147</v>
      </c>
      <c r="J2" t="s">
        <v>164</v>
      </c>
      <c r="K2" t="s">
        <v>178</v>
      </c>
    </row>
    <row r="3" spans="1:11" x14ac:dyDescent="0.25">
      <c r="A3" t="s">
        <v>16</v>
      </c>
      <c r="B3">
        <v>1</v>
      </c>
      <c r="C3">
        <v>305</v>
      </c>
      <c r="D3">
        <v>31</v>
      </c>
      <c r="E3" t="s">
        <v>148</v>
      </c>
      <c r="F3" t="s">
        <v>48</v>
      </c>
      <c r="H3" t="s">
        <v>145</v>
      </c>
      <c r="I3" t="s">
        <v>148</v>
      </c>
      <c r="J3" t="s">
        <v>165</v>
      </c>
      <c r="K3" t="s">
        <v>179</v>
      </c>
    </row>
    <row r="4" spans="1:11" x14ac:dyDescent="0.25">
      <c r="A4" t="s">
        <v>15</v>
      </c>
      <c r="C4">
        <v>306</v>
      </c>
      <c r="D4">
        <v>32</v>
      </c>
      <c r="E4" t="s">
        <v>149</v>
      </c>
      <c r="F4" t="s">
        <v>49</v>
      </c>
      <c r="H4" t="s">
        <v>146</v>
      </c>
      <c r="I4" t="s">
        <v>149</v>
      </c>
      <c r="J4" t="s">
        <v>166</v>
      </c>
      <c r="K4" t="s">
        <v>180</v>
      </c>
    </row>
    <row r="5" spans="1:11" x14ac:dyDescent="0.25">
      <c r="A5" t="s">
        <v>13</v>
      </c>
      <c r="D5">
        <v>33</v>
      </c>
      <c r="E5" t="s">
        <v>150</v>
      </c>
      <c r="F5" t="s">
        <v>50</v>
      </c>
      <c r="H5" t="s">
        <v>20</v>
      </c>
      <c r="I5" t="s">
        <v>150</v>
      </c>
      <c r="J5" t="s">
        <v>167</v>
      </c>
      <c r="K5" t="s">
        <v>181</v>
      </c>
    </row>
    <row r="6" spans="1:11" x14ac:dyDescent="0.25">
      <c r="A6" t="s">
        <v>19</v>
      </c>
      <c r="E6" t="s">
        <v>151</v>
      </c>
      <c r="F6" t="s">
        <v>51</v>
      </c>
      <c r="I6" t="s">
        <v>151</v>
      </c>
      <c r="J6" t="s">
        <v>168</v>
      </c>
      <c r="K6" t="s">
        <v>182</v>
      </c>
    </row>
    <row r="7" spans="1:11" x14ac:dyDescent="0.25">
      <c r="A7" t="s">
        <v>17</v>
      </c>
      <c r="E7" t="s">
        <v>152</v>
      </c>
      <c r="F7" t="s">
        <v>52</v>
      </c>
      <c r="I7" t="s">
        <v>152</v>
      </c>
      <c r="J7" t="s">
        <v>169</v>
      </c>
      <c r="K7" t="s">
        <v>183</v>
      </c>
    </row>
    <row r="8" spans="1:11" x14ac:dyDescent="0.25">
      <c r="A8" t="s">
        <v>12</v>
      </c>
      <c r="E8" t="s">
        <v>153</v>
      </c>
      <c r="F8" t="s">
        <v>53</v>
      </c>
      <c r="I8" t="s">
        <v>153</v>
      </c>
      <c r="J8" t="s">
        <v>170</v>
      </c>
      <c r="K8" t="s">
        <v>184</v>
      </c>
    </row>
    <row r="9" spans="1:11" x14ac:dyDescent="0.25">
      <c r="A9" t="s">
        <v>18</v>
      </c>
      <c r="E9" t="s">
        <v>154</v>
      </c>
      <c r="F9" t="s">
        <v>54</v>
      </c>
      <c r="I9" t="s">
        <v>154</v>
      </c>
      <c r="J9" t="s">
        <v>171</v>
      </c>
      <c r="K9" t="s">
        <v>185</v>
      </c>
    </row>
    <row r="10" spans="1:11" x14ac:dyDescent="0.25">
      <c r="E10" t="s">
        <v>155</v>
      </c>
      <c r="F10" t="s">
        <v>55</v>
      </c>
      <c r="I10" t="s">
        <v>155</v>
      </c>
      <c r="J10" t="s">
        <v>172</v>
      </c>
      <c r="K10" t="s">
        <v>186</v>
      </c>
    </row>
    <row r="11" spans="1:11" x14ac:dyDescent="0.25">
      <c r="E11" t="s">
        <v>156</v>
      </c>
      <c r="F11" t="s">
        <v>56</v>
      </c>
      <c r="I11" t="s">
        <v>156</v>
      </c>
      <c r="J11" t="s">
        <v>173</v>
      </c>
      <c r="K11" t="s">
        <v>187</v>
      </c>
    </row>
    <row r="12" spans="1:11" x14ac:dyDescent="0.25">
      <c r="E12" t="s">
        <v>157</v>
      </c>
      <c r="F12" t="s">
        <v>57</v>
      </c>
      <c r="I12" t="s">
        <v>157</v>
      </c>
      <c r="J12" t="s">
        <v>174</v>
      </c>
      <c r="K12" t="s">
        <v>188</v>
      </c>
    </row>
    <row r="13" spans="1:11" x14ac:dyDescent="0.25">
      <c r="E13" t="s">
        <v>158</v>
      </c>
      <c r="F13" t="s">
        <v>58</v>
      </c>
      <c r="I13" t="s">
        <v>158</v>
      </c>
      <c r="J13" t="s">
        <v>175</v>
      </c>
      <c r="K13" t="s">
        <v>189</v>
      </c>
    </row>
    <row r="14" spans="1:11" x14ac:dyDescent="0.25">
      <c r="E14" t="s">
        <v>159</v>
      </c>
      <c r="F14" t="s">
        <v>59</v>
      </c>
      <c r="I14" t="s">
        <v>159</v>
      </c>
      <c r="J14" t="s">
        <v>176</v>
      </c>
      <c r="K14" t="s">
        <v>190</v>
      </c>
    </row>
    <row r="15" spans="1:11" x14ac:dyDescent="0.25">
      <c r="E15" t="s">
        <v>160</v>
      </c>
      <c r="F15" t="s">
        <v>60</v>
      </c>
      <c r="I15" t="s">
        <v>160</v>
      </c>
      <c r="J15" t="s">
        <v>177</v>
      </c>
      <c r="K15" t="s">
        <v>191</v>
      </c>
    </row>
    <row r="16" spans="1:11" x14ac:dyDescent="0.25">
      <c r="E16" t="s">
        <v>161</v>
      </c>
      <c r="F16" t="s">
        <v>61</v>
      </c>
      <c r="I16" t="s">
        <v>161</v>
      </c>
      <c r="K16" t="s">
        <v>192</v>
      </c>
    </row>
    <row r="17" spans="5:11" x14ac:dyDescent="0.25">
      <c r="E17" t="s">
        <v>162</v>
      </c>
      <c r="F17" t="s">
        <v>62</v>
      </c>
      <c r="I17" t="s">
        <v>162</v>
      </c>
      <c r="K17" t="s">
        <v>193</v>
      </c>
    </row>
    <row r="18" spans="5:11" x14ac:dyDescent="0.25">
      <c r="E18" t="s">
        <v>163</v>
      </c>
      <c r="F18" t="s">
        <v>63</v>
      </c>
      <c r="I18" t="s">
        <v>163</v>
      </c>
      <c r="K18" t="s">
        <v>194</v>
      </c>
    </row>
    <row r="19" spans="5:11" x14ac:dyDescent="0.25">
      <c r="E19" t="s">
        <v>164</v>
      </c>
      <c r="F19" t="s">
        <v>64</v>
      </c>
      <c r="K19" t="s">
        <v>195</v>
      </c>
    </row>
    <row r="20" spans="5:11" x14ac:dyDescent="0.25">
      <c r="E20" t="s">
        <v>165</v>
      </c>
      <c r="F20" t="s">
        <v>65</v>
      </c>
      <c r="K20" t="s">
        <v>196</v>
      </c>
    </row>
    <row r="21" spans="5:11" x14ac:dyDescent="0.25">
      <c r="E21" t="s">
        <v>166</v>
      </c>
      <c r="F21" t="s">
        <v>66</v>
      </c>
      <c r="K21" t="s">
        <v>197</v>
      </c>
    </row>
    <row r="22" spans="5:11" x14ac:dyDescent="0.25">
      <c r="E22" t="s">
        <v>167</v>
      </c>
      <c r="F22" t="s">
        <v>67</v>
      </c>
      <c r="K22" t="s">
        <v>198</v>
      </c>
    </row>
    <row r="23" spans="5:11" x14ac:dyDescent="0.25">
      <c r="E23" t="s">
        <v>168</v>
      </c>
      <c r="F23" t="s">
        <v>68</v>
      </c>
      <c r="K23" t="s">
        <v>199</v>
      </c>
    </row>
    <row r="24" spans="5:11" x14ac:dyDescent="0.25">
      <c r="E24" t="s">
        <v>169</v>
      </c>
      <c r="F24" t="s">
        <v>69</v>
      </c>
      <c r="K24" t="s">
        <v>200</v>
      </c>
    </row>
    <row r="25" spans="5:11" x14ac:dyDescent="0.25">
      <c r="E25" t="s">
        <v>170</v>
      </c>
      <c r="F25" t="s">
        <v>70</v>
      </c>
      <c r="K25" t="s">
        <v>201</v>
      </c>
    </row>
    <row r="26" spans="5:11" x14ac:dyDescent="0.25">
      <c r="E26" t="s">
        <v>171</v>
      </c>
      <c r="F26" t="s">
        <v>71</v>
      </c>
      <c r="K26" t="s">
        <v>202</v>
      </c>
    </row>
    <row r="27" spans="5:11" x14ac:dyDescent="0.25">
      <c r="E27" t="s">
        <v>172</v>
      </c>
      <c r="F27" t="s">
        <v>72</v>
      </c>
      <c r="K27" t="s">
        <v>203</v>
      </c>
    </row>
    <row r="28" spans="5:11" x14ac:dyDescent="0.25">
      <c r="E28" t="s">
        <v>173</v>
      </c>
      <c r="F28" t="s">
        <v>73</v>
      </c>
    </row>
    <row r="29" spans="5:11" x14ac:dyDescent="0.25">
      <c r="E29" t="s">
        <v>174</v>
      </c>
      <c r="F29" t="s">
        <v>74</v>
      </c>
    </row>
    <row r="30" spans="5:11" x14ac:dyDescent="0.25">
      <c r="E30" t="s">
        <v>175</v>
      </c>
      <c r="F30" t="s">
        <v>75</v>
      </c>
    </row>
    <row r="31" spans="5:11" x14ac:dyDescent="0.25">
      <c r="E31" t="s">
        <v>176</v>
      </c>
      <c r="F31" t="s">
        <v>76</v>
      </c>
    </row>
    <row r="32" spans="5:11" x14ac:dyDescent="0.25">
      <c r="E32" t="s">
        <v>177</v>
      </c>
      <c r="F32" t="s">
        <v>77</v>
      </c>
    </row>
    <row r="33" spans="5:6" x14ac:dyDescent="0.25">
      <c r="E33" t="s">
        <v>178</v>
      </c>
      <c r="F33" t="s">
        <v>78</v>
      </c>
    </row>
    <row r="34" spans="5:6" x14ac:dyDescent="0.25">
      <c r="E34" t="s">
        <v>179</v>
      </c>
      <c r="F34" t="s">
        <v>79</v>
      </c>
    </row>
    <row r="35" spans="5:6" x14ac:dyDescent="0.25">
      <c r="E35" t="s">
        <v>180</v>
      </c>
      <c r="F35" t="s">
        <v>80</v>
      </c>
    </row>
    <row r="36" spans="5:6" x14ac:dyDescent="0.25">
      <c r="E36" t="s">
        <v>181</v>
      </c>
      <c r="F36" t="s">
        <v>81</v>
      </c>
    </row>
    <row r="37" spans="5:6" x14ac:dyDescent="0.25">
      <c r="E37" t="s">
        <v>182</v>
      </c>
      <c r="F37" t="s">
        <v>82</v>
      </c>
    </row>
    <row r="38" spans="5:6" x14ac:dyDescent="0.25">
      <c r="E38" t="s">
        <v>183</v>
      </c>
      <c r="F38" t="s">
        <v>83</v>
      </c>
    </row>
    <row r="39" spans="5:6" x14ac:dyDescent="0.25">
      <c r="E39" t="s">
        <v>184</v>
      </c>
      <c r="F39" t="s">
        <v>84</v>
      </c>
    </row>
    <row r="40" spans="5:6" x14ac:dyDescent="0.25">
      <c r="E40" t="s">
        <v>185</v>
      </c>
      <c r="F40" t="s">
        <v>85</v>
      </c>
    </row>
    <row r="41" spans="5:6" x14ac:dyDescent="0.25">
      <c r="E41" t="s">
        <v>186</v>
      </c>
      <c r="F41" t="s">
        <v>86</v>
      </c>
    </row>
    <row r="42" spans="5:6" x14ac:dyDescent="0.25">
      <c r="E42" t="s">
        <v>187</v>
      </c>
      <c r="F42" t="s">
        <v>87</v>
      </c>
    </row>
    <row r="43" spans="5:6" x14ac:dyDescent="0.25">
      <c r="E43" t="s">
        <v>188</v>
      </c>
      <c r="F43" t="s">
        <v>88</v>
      </c>
    </row>
    <row r="44" spans="5:6" x14ac:dyDescent="0.25">
      <c r="E44" t="s">
        <v>189</v>
      </c>
      <c r="F44" t="s">
        <v>89</v>
      </c>
    </row>
    <row r="45" spans="5:6" x14ac:dyDescent="0.25">
      <c r="E45" t="s">
        <v>190</v>
      </c>
      <c r="F45" t="s">
        <v>90</v>
      </c>
    </row>
    <row r="46" spans="5:6" x14ac:dyDescent="0.25">
      <c r="E46" t="s">
        <v>191</v>
      </c>
      <c r="F46" t="s">
        <v>91</v>
      </c>
    </row>
    <row r="47" spans="5:6" x14ac:dyDescent="0.25">
      <c r="E47" t="s">
        <v>192</v>
      </c>
      <c r="F47" t="s">
        <v>92</v>
      </c>
    </row>
    <row r="48" spans="5:6" x14ac:dyDescent="0.25">
      <c r="E48" t="s">
        <v>193</v>
      </c>
      <c r="F48" t="s">
        <v>93</v>
      </c>
    </row>
    <row r="49" spans="5:6" x14ac:dyDescent="0.25">
      <c r="E49" t="s">
        <v>194</v>
      </c>
      <c r="F49" t="s">
        <v>94</v>
      </c>
    </row>
    <row r="50" spans="5:6" x14ac:dyDescent="0.25">
      <c r="E50" t="s">
        <v>195</v>
      </c>
      <c r="F50" t="s">
        <v>95</v>
      </c>
    </row>
    <row r="51" spans="5:6" x14ac:dyDescent="0.25">
      <c r="E51" t="s">
        <v>196</v>
      </c>
      <c r="F51" t="s">
        <v>96</v>
      </c>
    </row>
    <row r="52" spans="5:6" x14ac:dyDescent="0.25">
      <c r="E52" t="s">
        <v>197</v>
      </c>
      <c r="F52" t="s">
        <v>97</v>
      </c>
    </row>
    <row r="53" spans="5:6" x14ac:dyDescent="0.25">
      <c r="E53" t="s">
        <v>198</v>
      </c>
      <c r="F53" t="s">
        <v>98</v>
      </c>
    </row>
    <row r="54" spans="5:6" x14ac:dyDescent="0.25">
      <c r="E54" t="s">
        <v>199</v>
      </c>
      <c r="F54" t="s">
        <v>99</v>
      </c>
    </row>
    <row r="55" spans="5:6" x14ac:dyDescent="0.25">
      <c r="E55" t="s">
        <v>200</v>
      </c>
      <c r="F55" t="s">
        <v>100</v>
      </c>
    </row>
    <row r="56" spans="5:6" x14ac:dyDescent="0.25">
      <c r="E56" t="s">
        <v>201</v>
      </c>
      <c r="F56" t="s">
        <v>101</v>
      </c>
    </row>
    <row r="57" spans="5:6" x14ac:dyDescent="0.25">
      <c r="E57" t="s">
        <v>202</v>
      </c>
      <c r="F57" t="s">
        <v>102</v>
      </c>
    </row>
    <row r="58" spans="5:6" x14ac:dyDescent="0.25">
      <c r="E58" t="s">
        <v>203</v>
      </c>
      <c r="F58" t="s">
        <v>103</v>
      </c>
    </row>
    <row r="59" spans="5:6" x14ac:dyDescent="0.25">
      <c r="E59" t="s">
        <v>204</v>
      </c>
      <c r="F59" t="s">
        <v>104</v>
      </c>
    </row>
    <row r="60" spans="5:6" x14ac:dyDescent="0.25">
      <c r="E60" t="s">
        <v>144</v>
      </c>
      <c r="F60" t="s">
        <v>105</v>
      </c>
    </row>
    <row r="61" spans="5:6" x14ac:dyDescent="0.25">
      <c r="E61" t="s">
        <v>145</v>
      </c>
      <c r="F61" t="s">
        <v>106</v>
      </c>
    </row>
    <row r="62" spans="5:6" x14ac:dyDescent="0.25">
      <c r="E62" t="s">
        <v>146</v>
      </c>
      <c r="F62" t="s">
        <v>107</v>
      </c>
    </row>
    <row r="63" spans="5:6" x14ac:dyDescent="0.25">
      <c r="E63" t="s">
        <v>20</v>
      </c>
      <c r="F63" t="s">
        <v>108</v>
      </c>
    </row>
    <row r="64" spans="5:6" x14ac:dyDescent="0.25">
      <c r="E64" t="s">
        <v>47</v>
      </c>
      <c r="F64" t="s">
        <v>109</v>
      </c>
    </row>
    <row r="65" spans="5:6" x14ac:dyDescent="0.25">
      <c r="E65" t="s">
        <v>48</v>
      </c>
      <c r="F65" t="s">
        <v>110</v>
      </c>
    </row>
    <row r="66" spans="5:6" x14ac:dyDescent="0.25">
      <c r="E66" t="s">
        <v>49</v>
      </c>
      <c r="F66" t="s">
        <v>111</v>
      </c>
    </row>
    <row r="67" spans="5:6" x14ac:dyDescent="0.25">
      <c r="E67" t="s">
        <v>50</v>
      </c>
      <c r="F67" t="s">
        <v>112</v>
      </c>
    </row>
    <row r="68" spans="5:6" x14ac:dyDescent="0.25">
      <c r="E68" t="s">
        <v>51</v>
      </c>
      <c r="F68" t="s">
        <v>113</v>
      </c>
    </row>
    <row r="69" spans="5:6" x14ac:dyDescent="0.25">
      <c r="E69" t="s">
        <v>52</v>
      </c>
      <c r="F69" t="s">
        <v>114</v>
      </c>
    </row>
    <row r="70" spans="5:6" x14ac:dyDescent="0.25">
      <c r="E70" t="s">
        <v>53</v>
      </c>
      <c r="F70" t="s">
        <v>115</v>
      </c>
    </row>
    <row r="71" spans="5:6" x14ac:dyDescent="0.25">
      <c r="E71" t="s">
        <v>54</v>
      </c>
      <c r="F71" t="s">
        <v>116</v>
      </c>
    </row>
    <row r="72" spans="5:6" x14ac:dyDescent="0.25">
      <c r="E72" t="s">
        <v>55</v>
      </c>
      <c r="F72" t="s">
        <v>117</v>
      </c>
    </row>
    <row r="73" spans="5:6" x14ac:dyDescent="0.25">
      <c r="E73" t="s">
        <v>56</v>
      </c>
      <c r="F73" t="s">
        <v>118</v>
      </c>
    </row>
    <row r="74" spans="5:6" x14ac:dyDescent="0.25">
      <c r="E74" t="s">
        <v>57</v>
      </c>
      <c r="F74" t="s">
        <v>119</v>
      </c>
    </row>
    <row r="75" spans="5:6" x14ac:dyDescent="0.25">
      <c r="E75" t="s">
        <v>58</v>
      </c>
      <c r="F75" t="s">
        <v>120</v>
      </c>
    </row>
    <row r="76" spans="5:6" x14ac:dyDescent="0.25">
      <c r="E76" t="s">
        <v>59</v>
      </c>
      <c r="F76" t="s">
        <v>121</v>
      </c>
    </row>
    <row r="77" spans="5:6" x14ac:dyDescent="0.25">
      <c r="E77" t="s">
        <v>60</v>
      </c>
      <c r="F77" t="s">
        <v>122</v>
      </c>
    </row>
    <row r="78" spans="5:6" x14ac:dyDescent="0.25">
      <c r="E78" t="s">
        <v>61</v>
      </c>
      <c r="F78" t="s">
        <v>123</v>
      </c>
    </row>
    <row r="79" spans="5:6" x14ac:dyDescent="0.25">
      <c r="E79" t="s">
        <v>62</v>
      </c>
      <c r="F79" t="s">
        <v>124</v>
      </c>
    </row>
    <row r="80" spans="5:6" x14ac:dyDescent="0.25">
      <c r="E80" t="s">
        <v>63</v>
      </c>
      <c r="F80" t="s">
        <v>125</v>
      </c>
    </row>
    <row r="81" spans="5:6" x14ac:dyDescent="0.25">
      <c r="E81" t="s">
        <v>64</v>
      </c>
      <c r="F81" t="s">
        <v>126</v>
      </c>
    </row>
    <row r="82" spans="5:6" x14ac:dyDescent="0.25">
      <c r="E82" t="s">
        <v>65</v>
      </c>
      <c r="F82" t="s">
        <v>127</v>
      </c>
    </row>
    <row r="83" spans="5:6" x14ac:dyDescent="0.25">
      <c r="E83" t="s">
        <v>66</v>
      </c>
      <c r="F83" t="s">
        <v>128</v>
      </c>
    </row>
    <row r="84" spans="5:6" x14ac:dyDescent="0.25">
      <c r="E84" t="s">
        <v>67</v>
      </c>
      <c r="F84" t="s">
        <v>129</v>
      </c>
    </row>
    <row r="85" spans="5:6" x14ac:dyDescent="0.25">
      <c r="E85" t="s">
        <v>68</v>
      </c>
      <c r="F85" t="s">
        <v>130</v>
      </c>
    </row>
    <row r="86" spans="5:6" x14ac:dyDescent="0.25">
      <c r="E86" t="s">
        <v>69</v>
      </c>
      <c r="F86" t="s">
        <v>131</v>
      </c>
    </row>
    <row r="87" spans="5:6" x14ac:dyDescent="0.25">
      <c r="E87" t="s">
        <v>70</v>
      </c>
      <c r="F87" t="s">
        <v>132</v>
      </c>
    </row>
    <row r="88" spans="5:6" x14ac:dyDescent="0.25">
      <c r="E88" t="s">
        <v>71</v>
      </c>
      <c r="F88" t="s">
        <v>133</v>
      </c>
    </row>
    <row r="89" spans="5:6" x14ac:dyDescent="0.25">
      <c r="E89" t="s">
        <v>72</v>
      </c>
      <c r="F89" t="s">
        <v>134</v>
      </c>
    </row>
    <row r="90" spans="5:6" x14ac:dyDescent="0.25">
      <c r="E90" t="s">
        <v>73</v>
      </c>
      <c r="F90" t="s">
        <v>135</v>
      </c>
    </row>
    <row r="91" spans="5:6" x14ac:dyDescent="0.25">
      <c r="E91" t="s">
        <v>74</v>
      </c>
      <c r="F91" t="s">
        <v>136</v>
      </c>
    </row>
    <row r="92" spans="5:6" x14ac:dyDescent="0.25">
      <c r="E92" t="s">
        <v>75</v>
      </c>
      <c r="F92" t="s">
        <v>137</v>
      </c>
    </row>
    <row r="93" spans="5:6" x14ac:dyDescent="0.25">
      <c r="E93" t="s">
        <v>76</v>
      </c>
      <c r="F93" t="s">
        <v>138</v>
      </c>
    </row>
    <row r="94" spans="5:6" x14ac:dyDescent="0.25">
      <c r="E94" t="s">
        <v>77</v>
      </c>
      <c r="F94" t="s">
        <v>139</v>
      </c>
    </row>
    <row r="95" spans="5:6" x14ac:dyDescent="0.25">
      <c r="E95" t="s">
        <v>78</v>
      </c>
      <c r="F95" t="s">
        <v>140</v>
      </c>
    </row>
    <row r="96" spans="5:6" x14ac:dyDescent="0.25">
      <c r="E96" t="s">
        <v>79</v>
      </c>
      <c r="F96" t="s">
        <v>141</v>
      </c>
    </row>
    <row r="97" spans="5:6" x14ac:dyDescent="0.25">
      <c r="E97" t="s">
        <v>80</v>
      </c>
      <c r="F97" t="s">
        <v>142</v>
      </c>
    </row>
    <row r="98" spans="5:6" x14ac:dyDescent="0.25">
      <c r="E98" t="s">
        <v>81</v>
      </c>
      <c r="F98" t="s">
        <v>143</v>
      </c>
    </row>
    <row r="99" spans="5:6" x14ac:dyDescent="0.25">
      <c r="E99" t="s">
        <v>82</v>
      </c>
    </row>
    <row r="100" spans="5:6" x14ac:dyDescent="0.25">
      <c r="E100" t="s">
        <v>83</v>
      </c>
    </row>
    <row r="101" spans="5:6" x14ac:dyDescent="0.25">
      <c r="E101" t="s">
        <v>84</v>
      </c>
    </row>
    <row r="102" spans="5:6" x14ac:dyDescent="0.25">
      <c r="E102" t="s">
        <v>85</v>
      </c>
    </row>
    <row r="103" spans="5:6" x14ac:dyDescent="0.25">
      <c r="E103" t="s">
        <v>86</v>
      </c>
    </row>
    <row r="104" spans="5:6" x14ac:dyDescent="0.25">
      <c r="E104" t="s">
        <v>87</v>
      </c>
    </row>
    <row r="105" spans="5:6" x14ac:dyDescent="0.25">
      <c r="E105" t="s">
        <v>88</v>
      </c>
    </row>
    <row r="106" spans="5:6" x14ac:dyDescent="0.25">
      <c r="E106" t="s">
        <v>89</v>
      </c>
    </row>
    <row r="107" spans="5:6" x14ac:dyDescent="0.25">
      <c r="E107" t="s">
        <v>90</v>
      </c>
    </row>
    <row r="108" spans="5:6" x14ac:dyDescent="0.25">
      <c r="E108" t="s">
        <v>91</v>
      </c>
    </row>
    <row r="109" spans="5:6" x14ac:dyDescent="0.25">
      <c r="E109" t="s">
        <v>92</v>
      </c>
    </row>
    <row r="110" spans="5:6" x14ac:dyDescent="0.25">
      <c r="E110" t="s">
        <v>93</v>
      </c>
    </row>
    <row r="111" spans="5:6" x14ac:dyDescent="0.25">
      <c r="E111" t="s">
        <v>94</v>
      </c>
    </row>
    <row r="112" spans="5:6" x14ac:dyDescent="0.25">
      <c r="E112" t="s">
        <v>95</v>
      </c>
    </row>
    <row r="113" spans="5:5" x14ac:dyDescent="0.25">
      <c r="E113" t="s">
        <v>96</v>
      </c>
    </row>
    <row r="114" spans="5:5" x14ac:dyDescent="0.25">
      <c r="E114" t="s">
        <v>97</v>
      </c>
    </row>
    <row r="115" spans="5:5" x14ac:dyDescent="0.25">
      <c r="E115" t="s">
        <v>98</v>
      </c>
    </row>
    <row r="116" spans="5:5" x14ac:dyDescent="0.25">
      <c r="E116" t="s">
        <v>99</v>
      </c>
    </row>
    <row r="117" spans="5:5" x14ac:dyDescent="0.25">
      <c r="E117" t="s">
        <v>100</v>
      </c>
    </row>
    <row r="118" spans="5:5" x14ac:dyDescent="0.25">
      <c r="E118" t="s">
        <v>101</v>
      </c>
    </row>
    <row r="119" spans="5:5" x14ac:dyDescent="0.25">
      <c r="E119" t="s">
        <v>102</v>
      </c>
    </row>
    <row r="120" spans="5:5" x14ac:dyDescent="0.25">
      <c r="E120" t="s">
        <v>103</v>
      </c>
    </row>
    <row r="121" spans="5:5" x14ac:dyDescent="0.25">
      <c r="E121" t="s">
        <v>104</v>
      </c>
    </row>
    <row r="122" spans="5:5" x14ac:dyDescent="0.25">
      <c r="E122" t="s">
        <v>105</v>
      </c>
    </row>
    <row r="123" spans="5:5" x14ac:dyDescent="0.25">
      <c r="E123" t="s">
        <v>106</v>
      </c>
    </row>
    <row r="124" spans="5:5" x14ac:dyDescent="0.25">
      <c r="E124" t="s">
        <v>107</v>
      </c>
    </row>
    <row r="125" spans="5:5" x14ac:dyDescent="0.25">
      <c r="E125" t="s">
        <v>108</v>
      </c>
    </row>
    <row r="126" spans="5:5" x14ac:dyDescent="0.25">
      <c r="E126" t="s">
        <v>109</v>
      </c>
    </row>
    <row r="127" spans="5:5" x14ac:dyDescent="0.25">
      <c r="E127" t="s">
        <v>110</v>
      </c>
    </row>
    <row r="128" spans="5:5" x14ac:dyDescent="0.25">
      <c r="E128" t="s">
        <v>111</v>
      </c>
    </row>
    <row r="129" spans="5:5" x14ac:dyDescent="0.25">
      <c r="E129" t="s">
        <v>112</v>
      </c>
    </row>
    <row r="130" spans="5:5" x14ac:dyDescent="0.25">
      <c r="E130" t="s">
        <v>113</v>
      </c>
    </row>
    <row r="131" spans="5:5" x14ac:dyDescent="0.25">
      <c r="E131" t="s">
        <v>114</v>
      </c>
    </row>
    <row r="132" spans="5:5" x14ac:dyDescent="0.25">
      <c r="E132" t="s">
        <v>115</v>
      </c>
    </row>
    <row r="133" spans="5:5" x14ac:dyDescent="0.25">
      <c r="E133" t="s">
        <v>116</v>
      </c>
    </row>
    <row r="134" spans="5:5" x14ac:dyDescent="0.25">
      <c r="E134" t="s">
        <v>117</v>
      </c>
    </row>
    <row r="135" spans="5:5" x14ac:dyDescent="0.25">
      <c r="E135" t="s">
        <v>118</v>
      </c>
    </row>
    <row r="136" spans="5:5" x14ac:dyDescent="0.25">
      <c r="E136" t="s">
        <v>119</v>
      </c>
    </row>
    <row r="137" spans="5:5" x14ac:dyDescent="0.25">
      <c r="E137" t="s">
        <v>120</v>
      </c>
    </row>
    <row r="138" spans="5:5" x14ac:dyDescent="0.25">
      <c r="E138" t="s">
        <v>121</v>
      </c>
    </row>
    <row r="139" spans="5:5" x14ac:dyDescent="0.25">
      <c r="E139" t="s">
        <v>122</v>
      </c>
    </row>
    <row r="140" spans="5:5" x14ac:dyDescent="0.25">
      <c r="E140" t="s">
        <v>123</v>
      </c>
    </row>
    <row r="141" spans="5:5" x14ac:dyDescent="0.25">
      <c r="E141" t="s">
        <v>124</v>
      </c>
    </row>
    <row r="142" spans="5:5" x14ac:dyDescent="0.25">
      <c r="E142" t="s">
        <v>125</v>
      </c>
    </row>
    <row r="143" spans="5:5" x14ac:dyDescent="0.25">
      <c r="E143" t="s">
        <v>126</v>
      </c>
    </row>
    <row r="144" spans="5:5" x14ac:dyDescent="0.25">
      <c r="E144" t="s">
        <v>127</v>
      </c>
    </row>
    <row r="145" spans="5:5" x14ac:dyDescent="0.25">
      <c r="E145" t="s">
        <v>128</v>
      </c>
    </row>
    <row r="146" spans="5:5" x14ac:dyDescent="0.25">
      <c r="E146" t="s">
        <v>129</v>
      </c>
    </row>
    <row r="147" spans="5:5" x14ac:dyDescent="0.25">
      <c r="E147" t="s">
        <v>130</v>
      </c>
    </row>
    <row r="148" spans="5:5" x14ac:dyDescent="0.25">
      <c r="E148" t="s">
        <v>131</v>
      </c>
    </row>
    <row r="149" spans="5:5" x14ac:dyDescent="0.25">
      <c r="E149" t="s">
        <v>132</v>
      </c>
    </row>
    <row r="150" spans="5:5" x14ac:dyDescent="0.25">
      <c r="E150" t="s">
        <v>133</v>
      </c>
    </row>
    <row r="151" spans="5:5" x14ac:dyDescent="0.25">
      <c r="E151" t="s">
        <v>134</v>
      </c>
    </row>
    <row r="152" spans="5:5" x14ac:dyDescent="0.25">
      <c r="E152" t="s">
        <v>135</v>
      </c>
    </row>
    <row r="153" spans="5:5" x14ac:dyDescent="0.25">
      <c r="E153" t="s">
        <v>136</v>
      </c>
    </row>
    <row r="154" spans="5:5" x14ac:dyDescent="0.25">
      <c r="E154" t="s">
        <v>137</v>
      </c>
    </row>
    <row r="155" spans="5:5" x14ac:dyDescent="0.25">
      <c r="E155" t="s">
        <v>138</v>
      </c>
    </row>
    <row r="156" spans="5:5" x14ac:dyDescent="0.25">
      <c r="E156" t="s">
        <v>139</v>
      </c>
    </row>
    <row r="157" spans="5:5" x14ac:dyDescent="0.25">
      <c r="E157" t="s">
        <v>140</v>
      </c>
    </row>
    <row r="158" spans="5:5" x14ac:dyDescent="0.25">
      <c r="E158" t="s">
        <v>141</v>
      </c>
    </row>
    <row r="159" spans="5:5" x14ac:dyDescent="0.25">
      <c r="E159" t="s">
        <v>142</v>
      </c>
    </row>
    <row r="160" spans="5:5" x14ac:dyDescent="0.25">
      <c r="E160" t="s">
        <v>143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</vt:lpstr>
      <vt:lpstr>ATA</vt:lpstr>
      <vt:lpstr>LISTAS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2023-06-27T12:32:03Z</dcterms:created>
  <dcterms:modified xsi:type="dcterms:W3CDTF">2023-07-03T13:25:50Z</dcterms:modified>
</cp:coreProperties>
</file>