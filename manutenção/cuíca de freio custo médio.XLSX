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</calcChain>
</file>

<file path=xl/sharedStrings.xml><?xml version="1.0" encoding="utf-8"?>
<sst xmlns="http://schemas.openxmlformats.org/spreadsheetml/2006/main" count="287" uniqueCount="60">
  <si>
    <t>B9_FILIAL</t>
  </si>
  <si>
    <t>B9_COD</t>
  </si>
  <si>
    <t>B9_YDESC</t>
  </si>
  <si>
    <t>B9_DATA</t>
  </si>
  <si>
    <t>B9_LOCAL</t>
  </si>
  <si>
    <t>B9_QINI</t>
  </si>
  <si>
    <t>B9_QISEGUM</t>
  </si>
  <si>
    <t>B9_VINI1</t>
  </si>
  <si>
    <t>B9_VINI2</t>
  </si>
  <si>
    <t>B9_VINI3</t>
  </si>
  <si>
    <t>B9_VINI4</t>
  </si>
  <si>
    <t>B9_VINI5</t>
  </si>
  <si>
    <t>B9_VINIFF1</t>
  </si>
  <si>
    <t>B9_VINIFF2</t>
  </si>
  <si>
    <t>B9_VINIFF3</t>
  </si>
  <si>
    <t>B9_VINIFF4</t>
  </si>
  <si>
    <t>B9_VINIFF5</t>
  </si>
  <si>
    <t>B9_CUSTD</t>
  </si>
  <si>
    <t>B9_MCUSTD</t>
  </si>
  <si>
    <t>B9_CM1</t>
  </si>
  <si>
    <t>B9_CM2</t>
  </si>
  <si>
    <t>B9_CM3</t>
  </si>
  <si>
    <t>B9_CM4</t>
  </si>
  <si>
    <t>B9_CM5</t>
  </si>
  <si>
    <t>B9_CMRP1</t>
  </si>
  <si>
    <t>B9_VINIRP1</t>
  </si>
  <si>
    <t>B9_CMRP2</t>
  </si>
  <si>
    <t>B9_VINIRP2</t>
  </si>
  <si>
    <t>B9_CMRP3</t>
  </si>
  <si>
    <t>B9_VINIRP3</t>
  </si>
  <si>
    <t>B9_CMRP4</t>
  </si>
  <si>
    <t>B9_VINIRP4</t>
  </si>
  <si>
    <t>B9_CMRP5</t>
  </si>
  <si>
    <t>B9_VINIRP5</t>
  </si>
  <si>
    <t>B9_YCHVOS</t>
  </si>
  <si>
    <t>D_E_L_E_T_</t>
  </si>
  <si>
    <t>R_E_C_N_O_</t>
  </si>
  <si>
    <t>R_E_C_D_E_L_</t>
  </si>
  <si>
    <t>010102</t>
  </si>
  <si>
    <t xml:space="preserve">11190013       </t>
  </si>
  <si>
    <t xml:space="preserve">                                                                                </t>
  </si>
  <si>
    <t>20210131</t>
  </si>
  <si>
    <t>04</t>
  </si>
  <si>
    <t>1</t>
  </si>
  <si>
    <t xml:space="preserve">                    </t>
  </si>
  <si>
    <t>*</t>
  </si>
  <si>
    <t>010101</t>
  </si>
  <si>
    <t xml:space="preserve"> </t>
  </si>
  <si>
    <t>20210228</t>
  </si>
  <si>
    <t>20210331</t>
  </si>
  <si>
    <t>20210430</t>
  </si>
  <si>
    <t>20210531</t>
  </si>
  <si>
    <t>20210630</t>
  </si>
  <si>
    <t>20210731</t>
  </si>
  <si>
    <t>20210831</t>
  </si>
  <si>
    <t>20210930</t>
  </si>
  <si>
    <t>20211031</t>
  </si>
  <si>
    <t>20211130</t>
  </si>
  <si>
    <t>20211231</t>
  </si>
  <si>
    <t>Colunas1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</si>
</sst>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2" borderId="0" xfId="1" applyFont="1" applyFill="1"/>
  </cellXfs>
  <cellStyles count="2">
    <cellStyle name="Moeda" xfId="1" builtinId="4"/>
    <cellStyle name="Normal" xfId="0" builtinId="0"/>
  </cellStyles>
  <dxfs count="1"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M32" totalsRowShown="0">
  <autoFilter ref="A1:AM32">
    <filterColumn colId="0">
      <filters>
        <filter val="010101"/>
      </filters>
    </filterColumn>
    <filterColumn colId="36">
      <filters blank="1"/>
    </filterColumn>
  </autoFilter>
  <tableColumns count="39">
    <tableColumn id="1" name="B9_FILIAL"/>
    <tableColumn id="2" name="B9_COD"/>
    <tableColumn id="3" name="B9_YDESC"/>
    <tableColumn id="4" name="B9_DATA"/>
    <tableColumn id="5" name="B9_LOCAL"/>
    <tableColumn id="6" name="B9_QINI"/>
    <tableColumn id="7" name="B9_QISEGUM"/>
    <tableColumn id="8" name="B9_VINI1" dataCellStyle="Moeda"/>
    <tableColumn id="9" name="Colunas1" dataDxfId="0" dataCellStyle="Moeda">
      <calculatedColumnFormula>IF(Tabela1[[#This Row],[B9_QINI]]&lt;&gt;0,H2/F2,0)</calculatedColumnFormula>
    </tableColumn>
    <tableColumn id="10" name="B9_VINI2"/>
    <tableColumn id="11" name="B9_VINI3"/>
    <tableColumn id="12" name="B9_VINI4"/>
    <tableColumn id="13" name="B9_VINI5"/>
    <tableColumn id="14" name="B9_VINIFF1"/>
    <tableColumn id="15" name="B9_VINIFF2"/>
    <tableColumn id="16" name="B9_VINIFF3"/>
    <tableColumn id="17" name="B9_VINIFF4"/>
    <tableColumn id="18" name="B9_VINIFF5"/>
    <tableColumn id="19" name="B9_CUSTD"/>
    <tableColumn id="20" name="B9_MCUSTD"/>
    <tableColumn id="21" name="B9_CM1"/>
    <tableColumn id="22" name="B9_CM2"/>
    <tableColumn id="23" name="B9_CM3"/>
    <tableColumn id="24" name="B9_CM4"/>
    <tableColumn id="25" name="B9_CM5"/>
    <tableColumn id="26" name="B9_CMRP1"/>
    <tableColumn id="27" name="B9_VINIRP1"/>
    <tableColumn id="28" name="B9_CMRP2"/>
    <tableColumn id="29" name="B9_VINIRP2"/>
    <tableColumn id="30" name="B9_CMRP3"/>
    <tableColumn id="31" name="B9_VINIRP3"/>
    <tableColumn id="32" name="B9_CMRP4"/>
    <tableColumn id="33" name="B9_VINIRP4"/>
    <tableColumn id="34" name="B9_CMRP5"/>
    <tableColumn id="35" name="B9_VINIRP5"/>
    <tableColumn id="36" name="B9_YCHVOS"/>
    <tableColumn id="37" name="D_E_L_E_T_"/>
    <tableColumn id="38" name="R_E_C_N_O_"/>
    <tableColumn id="39" name="R_E_C_D_E_L_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2"/>
  <sheetViews>
    <sheetView showGridLines="0" tabSelected="1" workbookViewId="0">
      <selection activeCell="I23" sqref="I23"/>
    </sheetView>
  </sheetViews>
  <sheetFormatPr defaultRowHeight="15" x14ac:dyDescent="0.25"/>
  <cols>
    <col min="1" max="1" width="11.42578125" customWidth="1"/>
    <col min="2" max="2" width="10.140625" customWidth="1"/>
    <col min="3" max="3" width="11.85546875" customWidth="1"/>
    <col min="4" max="4" width="11.140625" customWidth="1"/>
    <col min="5" max="5" width="11.85546875" customWidth="1"/>
    <col min="6" max="6" width="10.28515625" customWidth="1"/>
    <col min="7" max="7" width="15" customWidth="1"/>
    <col min="8" max="8" width="12.140625" bestFit="1" customWidth="1"/>
    <col min="9" max="13" width="11.140625" customWidth="1"/>
    <col min="14" max="18" width="13.140625" customWidth="1"/>
    <col min="19" max="19" width="12.140625" customWidth="1"/>
    <col min="20" max="20" width="14" customWidth="1"/>
    <col min="21" max="25" width="10.28515625" customWidth="1"/>
    <col min="26" max="26" width="12.5703125" customWidth="1"/>
    <col min="27" max="27" width="13.42578125" customWidth="1"/>
    <col min="28" max="28" width="12.5703125" customWidth="1"/>
    <col min="29" max="29" width="13.42578125" customWidth="1"/>
    <col min="30" max="30" width="12.5703125" customWidth="1"/>
    <col min="31" max="31" width="13.42578125" customWidth="1"/>
    <col min="32" max="32" width="12.5703125" customWidth="1"/>
    <col min="33" max="33" width="13.42578125" customWidth="1"/>
    <col min="34" max="34" width="12.5703125" customWidth="1"/>
    <col min="35" max="35" width="13.42578125" customWidth="1"/>
    <col min="36" max="36" width="13.5703125" customWidth="1"/>
    <col min="37" max="37" width="13.28515625" customWidth="1"/>
    <col min="38" max="38" width="14.28515625" customWidth="1"/>
    <col min="39" max="39" width="15.5703125" customWidth="1"/>
  </cols>
  <sheetData>
    <row r="1" spans="1:39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7.25" hidden="1" customHeight="1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0</v>
      </c>
      <c r="G2">
        <v>0</v>
      </c>
      <c r="H2" s="1">
        <v>0</v>
      </c>
      <c r="I2" s="1">
        <f>IF(Tabela1[[#This Row],[B9_QINI]]&lt;&gt;0,H2/F2,0)</f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">
        <v>43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44</v>
      </c>
      <c r="AK2" t="s">
        <v>45</v>
      </c>
      <c r="AL2">
        <v>45722</v>
      </c>
      <c r="AM2">
        <v>45722</v>
      </c>
    </row>
    <row r="3" spans="1:39" ht="17.25" hidden="1" customHeight="1" x14ac:dyDescent="0.25">
      <c r="A3" t="s">
        <v>46</v>
      </c>
      <c r="B3" t="s">
        <v>39</v>
      </c>
      <c r="C3" t="s">
        <v>40</v>
      </c>
      <c r="D3" t="s">
        <v>41</v>
      </c>
      <c r="E3" t="s">
        <v>42</v>
      </c>
      <c r="F3">
        <v>0</v>
      </c>
      <c r="G3">
        <v>0</v>
      </c>
      <c r="H3" s="1">
        <v>0</v>
      </c>
      <c r="I3" s="1">
        <f>IF(Tabela1[[#This Row],[B9_QINI]]&lt;&gt;0,H3/F3,0)</f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43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44</v>
      </c>
      <c r="AK3" t="s">
        <v>45</v>
      </c>
      <c r="AL3">
        <v>35283</v>
      </c>
      <c r="AM3">
        <v>35283</v>
      </c>
    </row>
    <row r="4" spans="1:39" ht="17.25" hidden="1" customHeight="1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>
        <v>0</v>
      </c>
      <c r="G4">
        <v>0</v>
      </c>
      <c r="H4" s="1">
        <v>0</v>
      </c>
      <c r="I4" s="1">
        <f>IF(Tabela1[[#This Row],[B9_QINI]]&lt;&gt;0,H4/F4,0)</f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44</v>
      </c>
      <c r="AK4" t="s">
        <v>45</v>
      </c>
      <c r="AL4">
        <v>38971</v>
      </c>
      <c r="AM4">
        <v>38971</v>
      </c>
    </row>
    <row r="5" spans="1:39" ht="17.25" hidden="1" customHeight="1" x14ac:dyDescent="0.25">
      <c r="A5" t="s">
        <v>46</v>
      </c>
      <c r="B5" t="s">
        <v>39</v>
      </c>
      <c r="C5" t="s">
        <v>40</v>
      </c>
      <c r="D5" t="s">
        <v>41</v>
      </c>
      <c r="E5" t="s">
        <v>42</v>
      </c>
      <c r="F5">
        <v>0</v>
      </c>
      <c r="G5">
        <v>0</v>
      </c>
      <c r="H5" s="1">
        <v>0</v>
      </c>
      <c r="I5" s="1">
        <f>IF(Tabela1[[#This Row],[B9_QINI]]&lt;&gt;0,H5/F5,0)</f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44</v>
      </c>
      <c r="AK5" t="s">
        <v>45</v>
      </c>
      <c r="AL5">
        <v>30970</v>
      </c>
      <c r="AM5">
        <v>30970</v>
      </c>
    </row>
    <row r="6" spans="1:39" ht="17.25" hidden="1" customHeight="1" x14ac:dyDescent="0.25">
      <c r="A6" t="s">
        <v>46</v>
      </c>
      <c r="B6" t="s">
        <v>39</v>
      </c>
      <c r="C6" t="s">
        <v>40</v>
      </c>
      <c r="D6" t="s">
        <v>41</v>
      </c>
      <c r="E6" t="s">
        <v>42</v>
      </c>
      <c r="F6">
        <v>0</v>
      </c>
      <c r="G6">
        <v>0</v>
      </c>
      <c r="H6" s="1">
        <v>0</v>
      </c>
      <c r="I6" s="1">
        <f>IF(Tabela1[[#This Row],[B9_QINI]]&lt;&gt;0,H6/F6,0)</f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43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44</v>
      </c>
      <c r="AK6" t="s">
        <v>45</v>
      </c>
      <c r="AL6">
        <v>18455</v>
      </c>
      <c r="AM6">
        <v>18455</v>
      </c>
    </row>
    <row r="7" spans="1:39" ht="17.25" hidden="1" customHeight="1" x14ac:dyDescent="0.25">
      <c r="A7" t="s">
        <v>46</v>
      </c>
      <c r="B7" t="s">
        <v>39</v>
      </c>
      <c r="C7" t="s">
        <v>40</v>
      </c>
      <c r="D7" t="s">
        <v>41</v>
      </c>
      <c r="E7" t="s">
        <v>42</v>
      </c>
      <c r="F7">
        <v>0</v>
      </c>
      <c r="G7">
        <v>0</v>
      </c>
      <c r="H7" s="1">
        <v>0</v>
      </c>
      <c r="I7" s="1">
        <f>IF(Tabela1[[#This Row],[B9_QINI]]&lt;&gt;0,H7/F7,0)</f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43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44</v>
      </c>
      <c r="AK7" t="s">
        <v>45</v>
      </c>
      <c r="AL7">
        <v>42014</v>
      </c>
      <c r="AM7">
        <v>42014</v>
      </c>
    </row>
    <row r="8" spans="1:39" ht="17.25" customHeight="1" x14ac:dyDescent="0.25">
      <c r="A8" t="s">
        <v>46</v>
      </c>
      <c r="B8" t="s">
        <v>39</v>
      </c>
      <c r="C8" t="s">
        <v>40</v>
      </c>
      <c r="D8" t="s">
        <v>41</v>
      </c>
      <c r="E8" t="s">
        <v>42</v>
      </c>
      <c r="F8">
        <v>0</v>
      </c>
      <c r="G8">
        <v>0</v>
      </c>
      <c r="H8" s="1">
        <v>0</v>
      </c>
      <c r="I8" s="1">
        <f>IF(Tabela1[[#This Row],[B9_QINI]]&lt;&gt;0,H8/F8,0)</f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44</v>
      </c>
      <c r="AK8" t="s">
        <v>47</v>
      </c>
      <c r="AL8">
        <v>48811</v>
      </c>
      <c r="AM8">
        <v>0</v>
      </c>
    </row>
    <row r="9" spans="1:39" ht="17.25" hidden="1" customHeight="1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0</v>
      </c>
      <c r="G9">
        <v>0</v>
      </c>
      <c r="H9" s="1">
        <v>0</v>
      </c>
      <c r="I9" s="1">
        <f>IF(Tabela1[[#This Row],[B9_QINI]]&lt;&gt;0,H9/F9,0)</f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43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44</v>
      </c>
      <c r="AK9" t="s">
        <v>47</v>
      </c>
      <c r="AL9">
        <v>52667</v>
      </c>
      <c r="AM9">
        <v>0</v>
      </c>
    </row>
    <row r="10" spans="1:39" ht="17.25" hidden="1" customHeight="1" x14ac:dyDescent="0.25">
      <c r="A10" t="s">
        <v>46</v>
      </c>
      <c r="B10" t="s">
        <v>39</v>
      </c>
      <c r="C10" t="s">
        <v>40</v>
      </c>
      <c r="D10" t="s">
        <v>48</v>
      </c>
      <c r="E10" t="s">
        <v>42</v>
      </c>
      <c r="F10">
        <v>2</v>
      </c>
      <c r="G10">
        <v>0</v>
      </c>
      <c r="H10" s="2">
        <v>300</v>
      </c>
      <c r="I10" s="2">
        <f>IF(Tabela1[[#This Row],[B9_QINI]]&lt;&gt;0,H10/F10,0)</f>
        <v>150</v>
      </c>
      <c r="J10">
        <v>0</v>
      </c>
      <c r="K10">
        <v>362.01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43</v>
      </c>
      <c r="U10">
        <v>150</v>
      </c>
      <c r="V10">
        <v>0</v>
      </c>
      <c r="W10">
        <v>181.005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44</v>
      </c>
      <c r="AK10" t="s">
        <v>45</v>
      </c>
      <c r="AL10">
        <v>24809</v>
      </c>
      <c r="AM10">
        <v>24809</v>
      </c>
    </row>
    <row r="11" spans="1:39" ht="17.25" customHeight="1" x14ac:dyDescent="0.25">
      <c r="A11" t="s">
        <v>46</v>
      </c>
      <c r="B11" t="s">
        <v>39</v>
      </c>
      <c r="C11" t="s">
        <v>40</v>
      </c>
      <c r="D11" t="s">
        <v>48</v>
      </c>
      <c r="E11" t="s">
        <v>42</v>
      </c>
      <c r="F11">
        <v>2</v>
      </c>
      <c r="G11">
        <v>0</v>
      </c>
      <c r="H11" s="2">
        <v>300</v>
      </c>
      <c r="I11" s="2">
        <f>IF(Tabela1[[#This Row],[B9_QINI]]&lt;&gt;0,H11/F11,0)</f>
        <v>150</v>
      </c>
      <c r="J11">
        <v>0</v>
      </c>
      <c r="K11">
        <v>362.01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43</v>
      </c>
      <c r="U11">
        <v>150</v>
      </c>
      <c r="V11">
        <v>0</v>
      </c>
      <c r="W11">
        <v>181.005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44</v>
      </c>
      <c r="AK11" t="s">
        <v>47</v>
      </c>
      <c r="AL11">
        <v>55828</v>
      </c>
      <c r="AM11">
        <v>0</v>
      </c>
    </row>
    <row r="12" spans="1:39" ht="17.25" hidden="1" customHeight="1" x14ac:dyDescent="0.25">
      <c r="A12" t="s">
        <v>38</v>
      </c>
      <c r="B12" t="s">
        <v>39</v>
      </c>
      <c r="C12" t="s">
        <v>40</v>
      </c>
      <c r="D12" t="s">
        <v>48</v>
      </c>
      <c r="E12" t="s">
        <v>42</v>
      </c>
      <c r="F12">
        <v>0</v>
      </c>
      <c r="G12">
        <v>0</v>
      </c>
      <c r="H12" s="1">
        <v>0</v>
      </c>
      <c r="I12" s="1">
        <f>IF(Tabela1[[#This Row],[B9_QINI]]&lt;&gt;0,H12/F12,0)</f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44</v>
      </c>
      <c r="AK12" t="s">
        <v>47</v>
      </c>
      <c r="AL12">
        <v>59686</v>
      </c>
      <c r="AM12">
        <v>0</v>
      </c>
    </row>
    <row r="13" spans="1:39" ht="17.25" customHeight="1" x14ac:dyDescent="0.25">
      <c r="A13" t="s">
        <v>46</v>
      </c>
      <c r="B13" t="s">
        <v>39</v>
      </c>
      <c r="C13" t="s">
        <v>40</v>
      </c>
      <c r="D13" t="s">
        <v>49</v>
      </c>
      <c r="E13" t="s">
        <v>42</v>
      </c>
      <c r="F13">
        <v>0</v>
      </c>
      <c r="G13">
        <v>0</v>
      </c>
      <c r="H13" s="1">
        <v>0</v>
      </c>
      <c r="I13" s="1">
        <f>IF(Tabela1[[#This Row],[B9_QINI]]&lt;&gt;0,H13/F13,0)</f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43</v>
      </c>
      <c r="U13">
        <v>150</v>
      </c>
      <c r="V13">
        <v>0</v>
      </c>
      <c r="W13">
        <v>181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44</v>
      </c>
      <c r="AK13" t="s">
        <v>47</v>
      </c>
      <c r="AL13">
        <v>65359</v>
      </c>
      <c r="AM13">
        <v>0</v>
      </c>
    </row>
    <row r="14" spans="1:39" ht="17.25" hidden="1" customHeight="1" x14ac:dyDescent="0.25">
      <c r="A14" t="s">
        <v>38</v>
      </c>
      <c r="B14" t="s">
        <v>39</v>
      </c>
      <c r="C14" t="s">
        <v>40</v>
      </c>
      <c r="D14" t="s">
        <v>49</v>
      </c>
      <c r="E14" t="s">
        <v>42</v>
      </c>
      <c r="F14">
        <v>0</v>
      </c>
      <c r="G14">
        <v>0</v>
      </c>
      <c r="H14" s="1">
        <v>0</v>
      </c>
      <c r="I14" s="1">
        <f>IF(Tabela1[[#This Row],[B9_QINI]]&lt;&gt;0,H14/F14,0)</f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43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44</v>
      </c>
      <c r="AK14" t="s">
        <v>47</v>
      </c>
      <c r="AL14">
        <v>62166</v>
      </c>
      <c r="AM14">
        <v>0</v>
      </c>
    </row>
    <row r="15" spans="1:39" ht="17.25" hidden="1" customHeight="1" x14ac:dyDescent="0.25">
      <c r="A15" t="s">
        <v>38</v>
      </c>
      <c r="B15" t="s">
        <v>39</v>
      </c>
      <c r="C15" t="s">
        <v>40</v>
      </c>
      <c r="D15" t="s">
        <v>50</v>
      </c>
      <c r="E15" t="s">
        <v>42</v>
      </c>
      <c r="F15">
        <v>0</v>
      </c>
      <c r="G15">
        <v>0</v>
      </c>
      <c r="H15" s="1">
        <v>0</v>
      </c>
      <c r="I15" s="1">
        <f>IF(Tabela1[[#This Row],[B9_QINI]]&lt;&gt;0,H15/F15,0)</f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43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44</v>
      </c>
      <c r="AK15" t="s">
        <v>47</v>
      </c>
      <c r="AL15">
        <v>69275</v>
      </c>
      <c r="AM15">
        <v>0</v>
      </c>
    </row>
    <row r="16" spans="1:39" ht="17.25" customHeight="1" x14ac:dyDescent="0.25">
      <c r="A16" t="s">
        <v>46</v>
      </c>
      <c r="B16" t="s">
        <v>39</v>
      </c>
      <c r="C16" t="s">
        <v>40</v>
      </c>
      <c r="D16" t="s">
        <v>50</v>
      </c>
      <c r="E16" t="s">
        <v>42</v>
      </c>
      <c r="F16">
        <v>0</v>
      </c>
      <c r="G16">
        <v>0</v>
      </c>
      <c r="H16" s="1">
        <v>0</v>
      </c>
      <c r="I16" s="1">
        <f>IF(Tabela1[[#This Row],[B9_QINI]]&lt;&gt;0,H16/F16,0)</f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43</v>
      </c>
      <c r="U16">
        <v>150</v>
      </c>
      <c r="V16">
        <v>0</v>
      </c>
      <c r="W16">
        <v>181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44</v>
      </c>
      <c r="AK16" t="s">
        <v>47</v>
      </c>
      <c r="AL16">
        <v>72513</v>
      </c>
      <c r="AM16">
        <v>0</v>
      </c>
    </row>
    <row r="17" spans="1:39" ht="17.25" hidden="1" customHeight="1" x14ac:dyDescent="0.25">
      <c r="A17" t="s">
        <v>38</v>
      </c>
      <c r="B17" t="s">
        <v>39</v>
      </c>
      <c r="C17" t="s">
        <v>40</v>
      </c>
      <c r="D17" t="s">
        <v>51</v>
      </c>
      <c r="E17" t="s">
        <v>42</v>
      </c>
      <c r="F17">
        <v>0</v>
      </c>
      <c r="G17">
        <v>0</v>
      </c>
      <c r="H17" s="1">
        <v>0</v>
      </c>
      <c r="I17" s="1">
        <f>IF(Tabela1[[#This Row],[B9_QINI]]&lt;&gt;0,H17/F17,0)</f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43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44</v>
      </c>
      <c r="AK17" t="s">
        <v>47</v>
      </c>
      <c r="AL17">
        <v>76489</v>
      </c>
      <c r="AM17">
        <v>0</v>
      </c>
    </row>
    <row r="18" spans="1:39" ht="17.25" customHeight="1" x14ac:dyDescent="0.25">
      <c r="A18" t="s">
        <v>46</v>
      </c>
      <c r="B18" t="s">
        <v>39</v>
      </c>
      <c r="C18" t="s">
        <v>40</v>
      </c>
      <c r="D18" t="s">
        <v>51</v>
      </c>
      <c r="E18" t="s">
        <v>42</v>
      </c>
      <c r="F18">
        <v>11</v>
      </c>
      <c r="G18">
        <v>0</v>
      </c>
      <c r="H18" s="2">
        <v>7295.54</v>
      </c>
      <c r="I18" s="2">
        <f>IF(Tabela1[[#This Row],[B9_QINI]]&lt;&gt;0,H18/F18,0)</f>
        <v>663.23090909090911</v>
      </c>
      <c r="J18">
        <v>0</v>
      </c>
      <c r="K18">
        <v>1684.74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43</v>
      </c>
      <c r="U18">
        <v>663.23090000000002</v>
      </c>
      <c r="V18">
        <v>0</v>
      </c>
      <c r="W18">
        <v>153.15809999999999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44</v>
      </c>
      <c r="AK18" t="s">
        <v>47</v>
      </c>
      <c r="AL18">
        <v>79782</v>
      </c>
      <c r="AM18">
        <v>0</v>
      </c>
    </row>
    <row r="19" spans="1:39" ht="17.25" hidden="1" customHeight="1" x14ac:dyDescent="0.25">
      <c r="A19" t="s">
        <v>38</v>
      </c>
      <c r="B19" t="s">
        <v>39</v>
      </c>
      <c r="C19" t="s">
        <v>40</v>
      </c>
      <c r="D19" t="s">
        <v>52</v>
      </c>
      <c r="E19" t="s">
        <v>42</v>
      </c>
      <c r="F19">
        <v>0</v>
      </c>
      <c r="G19">
        <v>0</v>
      </c>
      <c r="H19" s="1">
        <v>0</v>
      </c>
      <c r="I19" s="1">
        <f>IF(Tabela1[[#This Row],[B9_QINI]]&lt;&gt;0,H19/F19,0)</f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43</v>
      </c>
      <c r="U19">
        <v>514.17999999999995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44</v>
      </c>
      <c r="AK19" t="s">
        <v>47</v>
      </c>
      <c r="AL19">
        <v>83820</v>
      </c>
      <c r="AM19">
        <v>0</v>
      </c>
    </row>
    <row r="20" spans="1:39" ht="17.25" customHeight="1" x14ac:dyDescent="0.25">
      <c r="A20" t="s">
        <v>46</v>
      </c>
      <c r="B20" t="s">
        <v>39</v>
      </c>
      <c r="C20" t="s">
        <v>40</v>
      </c>
      <c r="D20" t="s">
        <v>52</v>
      </c>
      <c r="E20" t="s">
        <v>42</v>
      </c>
      <c r="F20">
        <v>15</v>
      </c>
      <c r="G20">
        <v>0</v>
      </c>
      <c r="H20" s="2">
        <v>7834.15</v>
      </c>
      <c r="I20" s="2">
        <f>IF(Tabela1[[#This Row],[B9_QINI]]&lt;&gt;0,H20/F20,0)</f>
        <v>522.27666666666664</v>
      </c>
      <c r="J20">
        <v>0</v>
      </c>
      <c r="K20">
        <v>3299.86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43</v>
      </c>
      <c r="U20">
        <v>522.27660000000003</v>
      </c>
      <c r="V20">
        <v>0</v>
      </c>
      <c r="W20">
        <v>219.9906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44</v>
      </c>
      <c r="AK20" t="s">
        <v>47</v>
      </c>
      <c r="AL20">
        <v>87122</v>
      </c>
      <c r="AM20">
        <v>0</v>
      </c>
    </row>
    <row r="21" spans="1:39" ht="17.25" customHeight="1" x14ac:dyDescent="0.25">
      <c r="A21" t="s">
        <v>46</v>
      </c>
      <c r="B21" t="s">
        <v>39</v>
      </c>
      <c r="C21" t="s">
        <v>40</v>
      </c>
      <c r="D21" t="s">
        <v>53</v>
      </c>
      <c r="E21" t="s">
        <v>42</v>
      </c>
      <c r="F21">
        <v>8</v>
      </c>
      <c r="G21">
        <v>0</v>
      </c>
      <c r="H21" s="2">
        <v>4178.2</v>
      </c>
      <c r="I21" s="2">
        <f>IF(Tabela1[[#This Row],[B9_QINI]]&lt;&gt;0,H21/F21,0)</f>
        <v>522.27499999999998</v>
      </c>
      <c r="J21">
        <v>0</v>
      </c>
      <c r="K21">
        <v>1759.93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43</v>
      </c>
      <c r="U21">
        <v>522.27499999999998</v>
      </c>
      <c r="V21">
        <v>0</v>
      </c>
      <c r="W21">
        <v>219.99119999999999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44</v>
      </c>
      <c r="AK21" t="s">
        <v>47</v>
      </c>
      <c r="AL21">
        <v>92219</v>
      </c>
      <c r="AM21">
        <v>0</v>
      </c>
    </row>
    <row r="22" spans="1:39" ht="17.25" hidden="1" customHeight="1" x14ac:dyDescent="0.25">
      <c r="A22" t="s">
        <v>38</v>
      </c>
      <c r="B22" t="s">
        <v>39</v>
      </c>
      <c r="C22" t="s">
        <v>40</v>
      </c>
      <c r="D22" t="s">
        <v>53</v>
      </c>
      <c r="E22" t="s">
        <v>42</v>
      </c>
      <c r="F22">
        <v>0</v>
      </c>
      <c r="G22">
        <v>0</v>
      </c>
      <c r="H22" s="1">
        <v>0</v>
      </c>
      <c r="I22" s="1">
        <f>IF(Tabela1[[#This Row],[B9_QINI]]&lt;&gt;0,H22/F22,0)</f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43</v>
      </c>
      <c r="U22">
        <v>514.17999999999995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44</v>
      </c>
      <c r="AK22" t="s">
        <v>47</v>
      </c>
      <c r="AL22">
        <v>96995</v>
      </c>
      <c r="AM22">
        <v>0</v>
      </c>
    </row>
    <row r="23" spans="1:39" ht="17.25" customHeight="1" x14ac:dyDescent="0.25">
      <c r="A23" t="s">
        <v>46</v>
      </c>
      <c r="B23" t="s">
        <v>39</v>
      </c>
      <c r="C23" t="s">
        <v>40</v>
      </c>
      <c r="D23" t="s">
        <v>54</v>
      </c>
      <c r="E23" t="s">
        <v>42</v>
      </c>
      <c r="F23">
        <v>0</v>
      </c>
      <c r="G23">
        <v>0</v>
      </c>
      <c r="H23" s="1">
        <v>0</v>
      </c>
      <c r="I23" s="1">
        <f>IF(Tabela1[[#This Row],[B9_QINI]]&lt;&gt;0,H23/F23,0)</f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43</v>
      </c>
      <c r="U23">
        <v>445.495</v>
      </c>
      <c r="V23">
        <v>0</v>
      </c>
      <c r="W23">
        <v>201.89500000000001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44</v>
      </c>
      <c r="AK23" t="s">
        <v>47</v>
      </c>
      <c r="AL23">
        <v>101162</v>
      </c>
      <c r="AM23">
        <v>0</v>
      </c>
    </row>
    <row r="24" spans="1:39" ht="17.25" hidden="1" customHeight="1" x14ac:dyDescent="0.25">
      <c r="A24" t="s">
        <v>38</v>
      </c>
      <c r="B24" t="s">
        <v>39</v>
      </c>
      <c r="C24" t="s">
        <v>40</v>
      </c>
      <c r="D24" t="s">
        <v>54</v>
      </c>
      <c r="E24" t="s">
        <v>42</v>
      </c>
      <c r="F24">
        <v>2</v>
      </c>
      <c r="G24">
        <v>0</v>
      </c>
      <c r="H24" s="2">
        <v>700</v>
      </c>
      <c r="I24" s="2">
        <f>IF(Tabela1[[#This Row],[B9_QINI]]&lt;&gt;0,H24/F24,0)</f>
        <v>350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43</v>
      </c>
      <c r="U24">
        <v>350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44</v>
      </c>
      <c r="AK24" t="s">
        <v>47</v>
      </c>
      <c r="AL24">
        <v>106109</v>
      </c>
      <c r="AM24">
        <v>0</v>
      </c>
    </row>
    <row r="25" spans="1:39" ht="17.25" customHeight="1" x14ac:dyDescent="0.25">
      <c r="A25" t="s">
        <v>46</v>
      </c>
      <c r="B25" t="s">
        <v>39</v>
      </c>
      <c r="C25" t="s">
        <v>40</v>
      </c>
      <c r="D25" t="s">
        <v>55</v>
      </c>
      <c r="E25" t="s">
        <v>42</v>
      </c>
      <c r="F25">
        <v>3</v>
      </c>
      <c r="G25">
        <v>0</v>
      </c>
      <c r="H25" s="2">
        <v>940.26</v>
      </c>
      <c r="I25" s="2">
        <f>IF(Tabela1[[#This Row],[B9_QINI]]&lt;&gt;0,H25/F25,0)</f>
        <v>313.42</v>
      </c>
      <c r="J25">
        <v>0</v>
      </c>
      <c r="K25">
        <v>293.33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43</v>
      </c>
      <c r="U25">
        <v>313.42</v>
      </c>
      <c r="V25">
        <v>0</v>
      </c>
      <c r="W25">
        <v>97.776600000000002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44</v>
      </c>
      <c r="AK25" t="s">
        <v>47</v>
      </c>
      <c r="AL25">
        <v>110406</v>
      </c>
      <c r="AM25">
        <v>0</v>
      </c>
    </row>
    <row r="26" spans="1:39" ht="17.25" hidden="1" customHeight="1" x14ac:dyDescent="0.25">
      <c r="A26" t="s">
        <v>38</v>
      </c>
      <c r="B26" t="s">
        <v>39</v>
      </c>
      <c r="C26" t="s">
        <v>40</v>
      </c>
      <c r="D26" t="s">
        <v>55</v>
      </c>
      <c r="E26" t="s">
        <v>42</v>
      </c>
      <c r="F26">
        <v>2</v>
      </c>
      <c r="G26">
        <v>0</v>
      </c>
      <c r="H26" s="2">
        <v>700</v>
      </c>
      <c r="I26" s="2">
        <f>IF(Tabela1[[#This Row],[B9_QINI]]&lt;&gt;0,H26/F26,0)</f>
        <v>350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43</v>
      </c>
      <c r="U26">
        <v>350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44</v>
      </c>
      <c r="AK26" t="s">
        <v>47</v>
      </c>
      <c r="AL26">
        <v>115540</v>
      </c>
      <c r="AM26">
        <v>0</v>
      </c>
    </row>
    <row r="27" spans="1:39" ht="17.25" customHeight="1" x14ac:dyDescent="0.25">
      <c r="A27" t="s">
        <v>46</v>
      </c>
      <c r="B27" t="s">
        <v>39</v>
      </c>
      <c r="C27" t="s">
        <v>40</v>
      </c>
      <c r="D27" t="s">
        <v>56</v>
      </c>
      <c r="E27" t="s">
        <v>42</v>
      </c>
      <c r="F27">
        <v>13</v>
      </c>
      <c r="G27">
        <v>0</v>
      </c>
      <c r="H27" s="2">
        <v>4271.6000000000004</v>
      </c>
      <c r="I27" s="2">
        <f>IF(Tabela1[[#This Row],[B9_QINI]]&lt;&gt;0,H27/F27,0)</f>
        <v>328.5846153846154</v>
      </c>
      <c r="J27">
        <v>0</v>
      </c>
      <c r="K27">
        <v>1297.3399999999999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43</v>
      </c>
      <c r="U27">
        <v>328.58460000000002</v>
      </c>
      <c r="V27">
        <v>0</v>
      </c>
      <c r="W27">
        <v>99.795299999999997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44</v>
      </c>
      <c r="AK27" t="s">
        <v>47</v>
      </c>
      <c r="AL27">
        <v>120454</v>
      </c>
      <c r="AM27">
        <v>0</v>
      </c>
    </row>
    <row r="28" spans="1:39" ht="17.25" hidden="1" customHeight="1" x14ac:dyDescent="0.25">
      <c r="A28" t="s">
        <v>38</v>
      </c>
      <c r="B28" t="s">
        <v>39</v>
      </c>
      <c r="C28" t="s">
        <v>40</v>
      </c>
      <c r="D28" t="s">
        <v>56</v>
      </c>
      <c r="E28" t="s">
        <v>42</v>
      </c>
      <c r="F28">
        <v>3</v>
      </c>
      <c r="G28">
        <v>0</v>
      </c>
      <c r="H28" s="2">
        <v>828.22</v>
      </c>
      <c r="I28" s="2">
        <f>IF(Tabela1[[#This Row],[B9_QINI]]&lt;&gt;0,H28/F28,0)</f>
        <v>276.07333333333332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43</v>
      </c>
      <c r="U28">
        <v>276.07330000000002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44</v>
      </c>
      <c r="AK28" t="s">
        <v>47</v>
      </c>
      <c r="AL28">
        <v>126160</v>
      </c>
      <c r="AM28">
        <v>0</v>
      </c>
    </row>
    <row r="29" spans="1:39" ht="17.25" customHeight="1" x14ac:dyDescent="0.25">
      <c r="A29" t="s">
        <v>46</v>
      </c>
      <c r="B29" t="s">
        <v>39</v>
      </c>
      <c r="C29" t="s">
        <v>40</v>
      </c>
      <c r="D29" t="s">
        <v>57</v>
      </c>
      <c r="E29" t="s">
        <v>42</v>
      </c>
      <c r="F29">
        <v>7</v>
      </c>
      <c r="G29">
        <v>0</v>
      </c>
      <c r="H29" s="2">
        <v>2820.89</v>
      </c>
      <c r="I29" s="2">
        <f>IF(Tabela1[[#This Row],[B9_QINI]]&lt;&gt;0,H29/F29,0)</f>
        <v>402.9842857142857</v>
      </c>
      <c r="J29">
        <v>0</v>
      </c>
      <c r="K29">
        <v>565.64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43</v>
      </c>
      <c r="U29">
        <v>402.98419999999999</v>
      </c>
      <c r="V29">
        <v>0</v>
      </c>
      <c r="W29">
        <v>80.805700000000002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44</v>
      </c>
      <c r="AK29" t="s">
        <v>47</v>
      </c>
      <c r="AL29">
        <v>132171</v>
      </c>
      <c r="AM29">
        <v>0</v>
      </c>
    </row>
    <row r="30" spans="1:39" ht="17.25" hidden="1" customHeight="1" x14ac:dyDescent="0.25">
      <c r="A30" t="s">
        <v>38</v>
      </c>
      <c r="B30" t="s">
        <v>39</v>
      </c>
      <c r="C30" t="s">
        <v>40</v>
      </c>
      <c r="D30" t="s">
        <v>57</v>
      </c>
      <c r="E30" t="s">
        <v>42</v>
      </c>
      <c r="F30">
        <v>9</v>
      </c>
      <c r="G30">
        <v>0</v>
      </c>
      <c r="H30" s="2">
        <v>2114.3000000000002</v>
      </c>
      <c r="I30" s="2">
        <f>IF(Tabela1[[#This Row],[B9_QINI]]&lt;&gt;0,H30/F30,0)</f>
        <v>234.92222222222225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43</v>
      </c>
      <c r="U30">
        <v>234.9222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44</v>
      </c>
      <c r="AK30" t="s">
        <v>47</v>
      </c>
      <c r="AL30">
        <v>138558</v>
      </c>
      <c r="AM30">
        <v>0</v>
      </c>
    </row>
    <row r="31" spans="1:39" ht="17.25" customHeight="1" x14ac:dyDescent="0.25">
      <c r="A31" t="s">
        <v>46</v>
      </c>
      <c r="B31" t="s">
        <v>39</v>
      </c>
      <c r="C31" t="s">
        <v>40</v>
      </c>
      <c r="D31" t="s">
        <v>58</v>
      </c>
      <c r="E31" t="s">
        <v>42</v>
      </c>
      <c r="F31">
        <v>2</v>
      </c>
      <c r="G31">
        <v>0</v>
      </c>
      <c r="H31" s="2">
        <v>875.03</v>
      </c>
      <c r="I31" s="2">
        <f>IF(Tabela1[[#This Row],[B9_QINI]]&lt;&gt;0,H31/F31,0)</f>
        <v>437.51499999999999</v>
      </c>
      <c r="J31">
        <v>0</v>
      </c>
      <c r="K31">
        <v>193.25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43</v>
      </c>
      <c r="U31">
        <v>437.51499999999999</v>
      </c>
      <c r="V31">
        <v>0</v>
      </c>
      <c r="W31">
        <v>96.625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44</v>
      </c>
      <c r="AK31" t="s">
        <v>47</v>
      </c>
      <c r="AL31">
        <v>144542</v>
      </c>
      <c r="AM31">
        <v>0</v>
      </c>
    </row>
    <row r="32" spans="1:39" ht="17.25" hidden="1" customHeight="1" x14ac:dyDescent="0.25">
      <c r="A32" t="s">
        <v>38</v>
      </c>
      <c r="B32" t="s">
        <v>39</v>
      </c>
      <c r="C32" t="s">
        <v>40</v>
      </c>
      <c r="D32" t="s">
        <v>58</v>
      </c>
      <c r="E32" t="s">
        <v>42</v>
      </c>
      <c r="F32">
        <v>11</v>
      </c>
      <c r="G32">
        <v>0</v>
      </c>
      <c r="H32" s="2">
        <v>2553.2800000000002</v>
      </c>
      <c r="I32" s="2">
        <f>IF(Tabela1[[#This Row],[B9_QINI]]&lt;&gt;0,H32/F32,0)</f>
        <v>232.11636363636364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43</v>
      </c>
      <c r="U32">
        <v>232.1163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44</v>
      </c>
      <c r="AK32" t="s">
        <v>47</v>
      </c>
      <c r="AL32">
        <v>151417</v>
      </c>
      <c r="AM32">
        <v>0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2022-02-16T18:52:26Z</dcterms:created>
  <dcterms:modified xsi:type="dcterms:W3CDTF">2022-02-16T19:36:05Z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