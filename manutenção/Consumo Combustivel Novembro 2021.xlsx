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Unilink\Frota\Abastecimento\Consumo Unilink 2021\11 Novembro Combustivel 2021\"/>
    </mc:Choice>
  </mc:AlternateContent>
  <bookViews>
    <workbookView xWindow="-120" yWindow="-120" windowWidth="20730" windowHeight="11160" activeTab="2"/>
  </bookViews>
  <sheets>
    <sheet name="Gráf1" sheetId="4" r:id="rId1"/>
    <sheet name="Consumo Rodoviario" sheetId="1" r:id="rId2"/>
    <sheet name="Consumo Portuario" sheetId="3" r:id="rId3"/>
  </sheets>
  <definedNames>
    <definedName name="_xlnm._FilterDatabase" localSheetId="2" hidden="1">'Consumo Portuario'!$C$2:$I$15</definedName>
    <definedName name="_xlnm._FilterDatabase" localSheetId="1" hidden="1">'Consumo Rodoviario'!$C$2:$H$69</definedName>
    <definedName name="Classificação" localSheetId="2">'Consumo Portuario'!$A$2:$A$5</definedName>
    <definedName name="Classificação">'Consumo Rodoviario'!$A$2:$A$17</definedName>
    <definedName name="wer" localSheetId="2" hidden="1">'Consumo Portuario'!$C$2:$H$15</definedName>
    <definedName name="wer" localSheetId="1" hidden="1">'Consumo Rodoviario'!$C$2:$G$32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1" i="3" l="1"/>
  <c r="F22" i="3"/>
  <c r="H26" i="3"/>
  <c r="H27" i="3"/>
  <c r="H28" i="3"/>
  <c r="H29" i="3"/>
  <c r="H30" i="3"/>
  <c r="H31" i="3"/>
  <c r="H32" i="3"/>
  <c r="H33" i="3"/>
  <c r="H34" i="3"/>
  <c r="H35" i="3"/>
  <c r="H23" i="3" l="1"/>
  <c r="H24" i="3"/>
  <c r="H25" i="3"/>
  <c r="F18" i="3"/>
  <c r="F19" i="3"/>
  <c r="F20" i="3"/>
  <c r="F16" i="3" l="1"/>
  <c r="F17" i="3"/>
  <c r="G65" i="1" l="1"/>
  <c r="G66" i="1"/>
  <c r="G67" i="1"/>
  <c r="G68" i="1"/>
  <c r="E69" i="1"/>
  <c r="F69" i="1"/>
  <c r="G30" i="1" l="1"/>
  <c r="G8" i="1"/>
  <c r="G28" i="1" l="1"/>
  <c r="G24" i="1"/>
  <c r="G77" i="1" l="1"/>
  <c r="G78" i="1" l="1"/>
  <c r="F4" i="3" l="1"/>
  <c r="F6" i="3"/>
  <c r="F7" i="3"/>
  <c r="F8" i="3"/>
  <c r="F9" i="3"/>
  <c r="F10" i="3"/>
  <c r="F11" i="3"/>
  <c r="F12" i="3"/>
  <c r="F13" i="3"/>
  <c r="F14" i="3"/>
  <c r="F15" i="3"/>
  <c r="G55" i="1" l="1"/>
  <c r="G56" i="1"/>
  <c r="G57" i="1"/>
  <c r="G58" i="1"/>
  <c r="G59" i="1"/>
  <c r="G60" i="1"/>
  <c r="G61" i="1"/>
  <c r="G62" i="1"/>
  <c r="G76" i="1" l="1"/>
  <c r="G64" i="1" l="1"/>
  <c r="E79" i="1" l="1"/>
  <c r="F79" i="1"/>
  <c r="G9" i="1" l="1"/>
  <c r="G10" i="1"/>
  <c r="G11" i="1"/>
  <c r="G12" i="1"/>
  <c r="G13" i="1"/>
  <c r="G53" i="1"/>
  <c r="G54" i="1"/>
  <c r="G63" i="1"/>
  <c r="G17" i="1"/>
  <c r="G18" i="1"/>
  <c r="G19" i="1"/>
  <c r="G20" i="1"/>
  <c r="G21" i="1"/>
  <c r="G22" i="1"/>
  <c r="G23" i="1"/>
  <c r="G25" i="1"/>
  <c r="G26" i="1"/>
  <c r="G27" i="1"/>
  <c r="G29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" i="1" l="1"/>
  <c r="G6" i="1"/>
  <c r="G7" i="1"/>
  <c r="G14" i="1"/>
  <c r="G15" i="1"/>
  <c r="G75" i="1" l="1"/>
  <c r="F3" i="3" l="1"/>
  <c r="G3" i="1" l="1"/>
  <c r="G4" i="1"/>
  <c r="G16" i="1"/>
  <c r="G69" i="1" l="1"/>
  <c r="G74" i="1" l="1"/>
  <c r="G79" i="1" l="1"/>
</calcChain>
</file>

<file path=xl/sharedStrings.xml><?xml version="1.0" encoding="utf-8"?>
<sst xmlns="http://schemas.openxmlformats.org/spreadsheetml/2006/main" count="272" uniqueCount="138">
  <si>
    <t>KM/L</t>
  </si>
  <si>
    <t>Classificação</t>
  </si>
  <si>
    <t>Comercial</t>
  </si>
  <si>
    <t>Prancha Rebaixada</t>
  </si>
  <si>
    <t>Prancha Banheira</t>
  </si>
  <si>
    <t>Manutenção</t>
  </si>
  <si>
    <t>ZPE / CSP</t>
  </si>
  <si>
    <t>Comercial Interno</t>
  </si>
  <si>
    <t>CD - VEICULO</t>
  </si>
  <si>
    <t>KM - ROD</t>
  </si>
  <si>
    <t>QT - LITROS</t>
  </si>
  <si>
    <t>OBSERVAÇÕES</t>
  </si>
  <si>
    <t>LITROS/H. ROD.</t>
  </si>
  <si>
    <t>CFS Pecem</t>
  </si>
  <si>
    <t>ZPE/CSP</t>
  </si>
  <si>
    <t>NÃO APAGAR</t>
  </si>
  <si>
    <t>ZPE/CSP/BARDELA</t>
  </si>
  <si>
    <t>PLACA/MODELO</t>
  </si>
  <si>
    <t>CM1002</t>
  </si>
  <si>
    <t>CM1003</t>
  </si>
  <si>
    <t>CM1004</t>
  </si>
  <si>
    <t>CM1006</t>
  </si>
  <si>
    <t>CM1009</t>
  </si>
  <si>
    <t>CM1010</t>
  </si>
  <si>
    <t>CM1011</t>
  </si>
  <si>
    <t>CM1012</t>
  </si>
  <si>
    <t>CM1013</t>
  </si>
  <si>
    <t>CM1014</t>
  </si>
  <si>
    <t>CM1015</t>
  </si>
  <si>
    <t>CM1017</t>
  </si>
  <si>
    <t>CM1020</t>
  </si>
  <si>
    <t>CM1025</t>
  </si>
  <si>
    <t>CM2003</t>
  </si>
  <si>
    <t>CM2004</t>
  </si>
  <si>
    <t>CM3000</t>
  </si>
  <si>
    <t>CM3002</t>
  </si>
  <si>
    <t>CM3008</t>
  </si>
  <si>
    <t>CM3009</t>
  </si>
  <si>
    <t>CM3010</t>
  </si>
  <si>
    <t>CM3011</t>
  </si>
  <si>
    <t>CM3012</t>
  </si>
  <si>
    <t>CM3013</t>
  </si>
  <si>
    <t>CM3014</t>
  </si>
  <si>
    <t>CM3015</t>
  </si>
  <si>
    <t>CM4000</t>
  </si>
  <si>
    <t>CM4001</t>
  </si>
  <si>
    <t>CM4002</t>
  </si>
  <si>
    <t>CM4003</t>
  </si>
  <si>
    <t>CM5000</t>
  </si>
  <si>
    <t>CM5002</t>
  </si>
  <si>
    <t>CM5003</t>
  </si>
  <si>
    <t>CM5004</t>
  </si>
  <si>
    <t>CM5005</t>
  </si>
  <si>
    <t>CM5007</t>
  </si>
  <si>
    <t>CM5008</t>
  </si>
  <si>
    <t>CM5009</t>
  </si>
  <si>
    <t>CM5010</t>
  </si>
  <si>
    <t>CM5011</t>
  </si>
  <si>
    <t>CM5012</t>
  </si>
  <si>
    <t>CM5013</t>
  </si>
  <si>
    <t>CM5014</t>
  </si>
  <si>
    <t>CM5015</t>
  </si>
  <si>
    <t>CM5016</t>
  </si>
  <si>
    <t>CM5017</t>
  </si>
  <si>
    <t>CM5018</t>
  </si>
  <si>
    <t>CM5019</t>
  </si>
  <si>
    <t>CM5020</t>
  </si>
  <si>
    <t>CM5021</t>
  </si>
  <si>
    <t>CM5022</t>
  </si>
  <si>
    <t>CM5023</t>
  </si>
  <si>
    <t>CM5024</t>
  </si>
  <si>
    <t>CM5025</t>
  </si>
  <si>
    <t>CM5026</t>
  </si>
  <si>
    <t>CM5027</t>
  </si>
  <si>
    <t>CM5028</t>
  </si>
  <si>
    <t>CM5029</t>
  </si>
  <si>
    <t>CM5030</t>
  </si>
  <si>
    <t>CM5031</t>
  </si>
  <si>
    <t>CM5032</t>
  </si>
  <si>
    <t>CM5033</t>
  </si>
  <si>
    <t>CM5034</t>
  </si>
  <si>
    <t>CM5035</t>
  </si>
  <si>
    <t>FH 400 Tk</t>
  </si>
  <si>
    <t>FH 420 Tk</t>
  </si>
  <si>
    <t>FH400 Tk</t>
  </si>
  <si>
    <t>FH400 TK</t>
  </si>
  <si>
    <t>FH 420</t>
  </si>
  <si>
    <t>FH 540</t>
  </si>
  <si>
    <t>SCANIA 420 Tk</t>
  </si>
  <si>
    <t>SCANIA 4X2</t>
  </si>
  <si>
    <t>VW 18.310</t>
  </si>
  <si>
    <t>VW 25.360 6X2</t>
  </si>
  <si>
    <t>TGX 29440</t>
  </si>
  <si>
    <t>ACTROS 2646</t>
  </si>
  <si>
    <t>ACTROS 2651</t>
  </si>
  <si>
    <t>AXOR 2544</t>
  </si>
  <si>
    <t>AXOR 2644</t>
  </si>
  <si>
    <t>c</t>
  </si>
  <si>
    <t>CONSUMO COMBUSTIVEL RODOVIARIO NOVEMBRO DE 2021</t>
  </si>
  <si>
    <t>CM1000</t>
  </si>
  <si>
    <t>NH 380</t>
  </si>
  <si>
    <t>CM1001</t>
  </si>
  <si>
    <t>Fh 400 Tk</t>
  </si>
  <si>
    <t>EP14</t>
  </si>
  <si>
    <t>EP15</t>
  </si>
  <si>
    <t>GERADOR 02</t>
  </si>
  <si>
    <t>GUINDASTE LIEBHERR</t>
  </si>
  <si>
    <t>GUINDASTE TEREX</t>
  </si>
  <si>
    <t>H01</t>
  </si>
  <si>
    <t>KAL02</t>
  </si>
  <si>
    <t>KAL04</t>
  </si>
  <si>
    <t>KAL05</t>
  </si>
  <si>
    <t>KAL06</t>
  </si>
  <si>
    <t>KAL07</t>
  </si>
  <si>
    <t>PA01</t>
  </si>
  <si>
    <t>RS11</t>
  </si>
  <si>
    <t>RS14</t>
  </si>
  <si>
    <t>RS15</t>
  </si>
  <si>
    <t>VL32</t>
  </si>
  <si>
    <t>VL54</t>
  </si>
  <si>
    <t>CONSUMO COMBUSTIVEL PORTUÁRIO DE NOVEMBRO DE 2021</t>
  </si>
  <si>
    <t>EP08</t>
  </si>
  <si>
    <t>EP12</t>
  </si>
  <si>
    <t>EP13</t>
  </si>
  <si>
    <t>VL33</t>
  </si>
  <si>
    <t>VL45</t>
  </si>
  <si>
    <t>VL46</t>
  </si>
  <si>
    <t>BOBCAT01</t>
  </si>
  <si>
    <t>GERADOR 03</t>
  </si>
  <si>
    <t>MT36</t>
  </si>
  <si>
    <t>MT37</t>
  </si>
  <si>
    <t>MT38</t>
  </si>
  <si>
    <t>MT39</t>
  </si>
  <si>
    <t>VL04</t>
  </si>
  <si>
    <t>VL52</t>
  </si>
  <si>
    <t>VL55</t>
  </si>
  <si>
    <t>VL58</t>
  </si>
  <si>
    <t>H.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</si>
</sst>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0" x14ac:knownFonts="1">
    <font>
      <sz val="10"/>
      <name val="Arial"/>
    </font>
    <font>
      <b/>
      <sz val="10"/>
      <color indexed="3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sz val="10"/>
      <color rgb="FFFF0000"/>
      <name val="Arial"/>
      <family val="2"/>
    </font>
    <font>
      <b/>
      <sz val="8"/>
      <color rgb="FF808080"/>
      <name val="Verdana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double">
        <color rgb="FFFF800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3">
    <xf numFmtId="0" fontId="0" fillId="0" borderId="0"/>
    <xf numFmtId="0" fontId="5" fillId="0" borderId="4" applyNumberFormat="0" applyFill="0" applyAlignment="0" applyProtection="0"/>
    <xf numFmtId="0" fontId="3" fillId="0" borderId="0"/>
  </cellStyleXfs>
  <cellXfs count="6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1" xfId="0" applyFont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164" fontId="0" fillId="0" borderId="6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3" fontId="6" fillId="0" borderId="4" xfId="1" applyNumberFormat="1" applyFont="1" applyBorder="1" applyAlignment="1">
      <alignment horizontal="center"/>
    </xf>
    <xf numFmtId="3" fontId="6" fillId="0" borderId="4" xfId="1" applyNumberFormat="1" applyFont="1" applyAlignment="1">
      <alignment horizontal="center"/>
    </xf>
    <xf numFmtId="4" fontId="6" fillId="0" borderId="4" xfId="1" applyNumberFormat="1" applyFont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2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 applyProtection="1">
      <alignment vertical="center"/>
      <protection hidden="1"/>
    </xf>
    <xf numFmtId="3" fontId="3" fillId="6" borderId="9" xfId="0" applyNumberFormat="1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0" borderId="9" xfId="0" applyFont="1" applyBorder="1" applyAlignment="1" applyProtection="1">
      <alignment horizontal="left" vertical="center"/>
      <protection hidden="1"/>
    </xf>
    <xf numFmtId="3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0" xfId="0" applyFont="1" applyFill="1" applyBorder="1" applyAlignment="1" applyProtection="1">
      <alignment vertical="center"/>
      <protection hidden="1"/>
    </xf>
    <xf numFmtId="3" fontId="3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0" xfId="0" applyFont="1" applyBorder="1" applyAlignment="1" applyProtection="1">
      <alignment horizontal="left" vertical="center"/>
      <protection hidden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4" fontId="0" fillId="0" borderId="1" xfId="0" applyNumberFormat="1" applyBorder="1"/>
    <xf numFmtId="4" fontId="0" fillId="0" borderId="6" xfId="0" applyNumberFormat="1" applyBorder="1"/>
    <xf numFmtId="3" fontId="0" fillId="0" borderId="1" xfId="0" applyNumberFormat="1" applyBorder="1"/>
    <xf numFmtId="3" fontId="0" fillId="0" borderId="6" xfId="0" applyNumberFormat="1" applyBorder="1"/>
    <xf numFmtId="4" fontId="7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49" fontId="8" fillId="7" borderId="11" xfId="0" applyNumberFormat="1" applyFont="1" applyFill="1" applyBorder="1" applyAlignment="1">
      <alignment vertical="top"/>
    </xf>
    <xf numFmtId="0" fontId="9" fillId="0" borderId="1" xfId="0" applyFont="1" applyBorder="1" applyAlignment="1"/>
    <xf numFmtId="164" fontId="7" fillId="0" borderId="6" xfId="0" applyNumberFormat="1" applyFont="1" applyBorder="1"/>
    <xf numFmtId="0" fontId="1" fillId="3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3">
    <cellStyle name="Célula Vinculada" xfId="1" builtinId="24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'Consumo Rodoviario'!$E$4:$E$68</c:f>
              <c:numCache>
                <c:formatCode>#,##0</c:formatCode>
                <c:ptCount val="49"/>
                <c:pt idx="0">
                  <c:v>2090</c:v>
                </c:pt>
                <c:pt idx="1">
                  <c:v>3509</c:v>
                </c:pt>
                <c:pt idx="2">
                  <c:v>7526</c:v>
                </c:pt>
                <c:pt idx="3">
                  <c:v>2324</c:v>
                </c:pt>
                <c:pt idx="4">
                  <c:v>3924</c:v>
                </c:pt>
                <c:pt idx="5">
                  <c:v>6730</c:v>
                </c:pt>
                <c:pt idx="6">
                  <c:v>2591</c:v>
                </c:pt>
                <c:pt idx="7">
                  <c:v>4907</c:v>
                </c:pt>
                <c:pt idx="8">
                  <c:v>5749</c:v>
                </c:pt>
                <c:pt idx="9">
                  <c:v>7581</c:v>
                </c:pt>
                <c:pt idx="10">
                  <c:v>4803</c:v>
                </c:pt>
                <c:pt idx="11">
                  <c:v>5614</c:v>
                </c:pt>
                <c:pt idx="12">
                  <c:v>7133</c:v>
                </c:pt>
                <c:pt idx="13">
                  <c:v>5802</c:v>
                </c:pt>
                <c:pt idx="14">
                  <c:v>4205</c:v>
                </c:pt>
                <c:pt idx="15">
                  <c:v>4553</c:v>
                </c:pt>
                <c:pt idx="16">
                  <c:v>3443</c:v>
                </c:pt>
                <c:pt idx="17">
                  <c:v>7661</c:v>
                </c:pt>
                <c:pt idx="18">
                  <c:v>3526</c:v>
                </c:pt>
                <c:pt idx="19">
                  <c:v>5561</c:v>
                </c:pt>
                <c:pt idx="20">
                  <c:v>686</c:v>
                </c:pt>
                <c:pt idx="21">
                  <c:v>5154</c:v>
                </c:pt>
                <c:pt idx="22">
                  <c:v>9991</c:v>
                </c:pt>
                <c:pt idx="23">
                  <c:v>8742</c:v>
                </c:pt>
                <c:pt idx="24">
                  <c:v>8795</c:v>
                </c:pt>
                <c:pt idx="25">
                  <c:v>7072</c:v>
                </c:pt>
                <c:pt idx="26">
                  <c:v>7984</c:v>
                </c:pt>
                <c:pt idx="27">
                  <c:v>7350</c:v>
                </c:pt>
                <c:pt idx="28">
                  <c:v>6445</c:v>
                </c:pt>
                <c:pt idx="29">
                  <c:v>8414</c:v>
                </c:pt>
                <c:pt idx="30">
                  <c:v>6002</c:v>
                </c:pt>
                <c:pt idx="31">
                  <c:v>8747</c:v>
                </c:pt>
                <c:pt idx="32">
                  <c:v>5791</c:v>
                </c:pt>
                <c:pt idx="33">
                  <c:v>3895</c:v>
                </c:pt>
                <c:pt idx="34">
                  <c:v>11491</c:v>
                </c:pt>
                <c:pt idx="35">
                  <c:v>5407</c:v>
                </c:pt>
                <c:pt idx="36">
                  <c:v>6362</c:v>
                </c:pt>
                <c:pt idx="37">
                  <c:v>5074</c:v>
                </c:pt>
                <c:pt idx="38">
                  <c:v>5204</c:v>
                </c:pt>
                <c:pt idx="39">
                  <c:v>5141</c:v>
                </c:pt>
                <c:pt idx="40">
                  <c:v>12371</c:v>
                </c:pt>
                <c:pt idx="41">
                  <c:v>7336</c:v>
                </c:pt>
                <c:pt idx="42">
                  <c:v>7309</c:v>
                </c:pt>
                <c:pt idx="43">
                  <c:v>13944</c:v>
                </c:pt>
                <c:pt idx="44">
                  <c:v>7104</c:v>
                </c:pt>
                <c:pt idx="45">
                  <c:v>7766</c:v>
                </c:pt>
                <c:pt idx="46">
                  <c:v>11168</c:v>
                </c:pt>
                <c:pt idx="47">
                  <c:v>4928</c:v>
                </c:pt>
                <c:pt idx="48">
                  <c:v>10029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72C-4024-B363-8A159DBDB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765672"/>
        <c:axId val="226760968"/>
      </c:barChart>
      <c:catAx>
        <c:axId val="226765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6760968"/>
        <c:crosses val="autoZero"/>
        <c:auto val="1"/>
        <c:lblAlgn val="ctr"/>
        <c:lblOffset val="100"/>
        <c:noMultiLvlLbl val="0"/>
      </c:catAx>
      <c:valAx>
        <c:axId val="22676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676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4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27973" cy="602391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80"/>
  <sheetViews>
    <sheetView showGridLines="0" topLeftCell="B1" workbookViewId="0">
      <pane xSplit="1" ySplit="2" topLeftCell="C57" activePane="bottomRight" state="frozen"/>
      <selection activeCell="B1" sqref="B1"/>
      <selection pane="topRight" activeCell="C1" sqref="C1"/>
      <selection pane="bottomLeft" activeCell="B3" sqref="B3"/>
      <selection pane="bottomRight" activeCell="F61" sqref="F61"/>
    </sheetView>
  </sheetViews>
  <sheetFormatPr defaultRowHeight="12.75" x14ac:dyDescent="0.2"/>
  <cols>
    <col min="1" max="1" width="17.42578125" style="6" bestFit="1" customWidth="1"/>
    <col min="2" max="2" width="3" style="6" bestFit="1" customWidth="1"/>
    <col min="3" max="3" width="18.140625" style="6" bestFit="1" customWidth="1"/>
    <col min="4" max="4" width="20.5703125" style="6" bestFit="1" customWidth="1"/>
    <col min="5" max="5" width="14.140625" style="6" bestFit="1" customWidth="1"/>
    <col min="6" max="6" width="19" style="6" customWidth="1"/>
    <col min="7" max="7" width="10.140625" style="6" bestFit="1" customWidth="1"/>
    <col min="8" max="8" width="19.85546875" style="6" bestFit="1" customWidth="1"/>
    <col min="9" max="9" width="13.140625" style="6" customWidth="1"/>
    <col min="10" max="10" width="9.140625" style="6"/>
    <col min="11" max="11" width="47.85546875" style="6" bestFit="1" customWidth="1"/>
    <col min="12" max="13" width="9.140625" style="6"/>
    <col min="14" max="14" width="0" style="6" hidden="1" customWidth="1"/>
    <col min="15" max="16384" width="9.140625" style="6"/>
  </cols>
  <sheetData>
    <row r="1" spans="1:14" ht="14.25" x14ac:dyDescent="0.2">
      <c r="A1" s="17" t="s">
        <v>1</v>
      </c>
      <c r="B1" s="36"/>
      <c r="C1" s="64" t="s">
        <v>98</v>
      </c>
      <c r="D1" s="64"/>
      <c r="E1" s="64"/>
      <c r="F1" s="64"/>
      <c r="G1" s="64"/>
      <c r="H1" s="64"/>
    </row>
    <row r="2" spans="1:14" x14ac:dyDescent="0.2">
      <c r="B2" s="36"/>
      <c r="C2" s="35" t="s">
        <v>8</v>
      </c>
      <c r="D2" s="35" t="s">
        <v>17</v>
      </c>
      <c r="E2" s="35" t="s">
        <v>9</v>
      </c>
      <c r="F2" s="35" t="s">
        <v>10</v>
      </c>
      <c r="G2" s="35" t="s">
        <v>0</v>
      </c>
      <c r="H2" s="35" t="s">
        <v>11</v>
      </c>
      <c r="N2" s="18" t="s">
        <v>15</v>
      </c>
    </row>
    <row r="3" spans="1:14" x14ac:dyDescent="0.2">
      <c r="A3" s="18" t="s">
        <v>7</v>
      </c>
      <c r="B3" s="37">
        <v>1</v>
      </c>
      <c r="C3" s="38" t="s">
        <v>99</v>
      </c>
      <c r="D3" s="39" t="s">
        <v>100</v>
      </c>
      <c r="E3" s="40">
        <v>1068</v>
      </c>
      <c r="F3" s="41">
        <v>379</v>
      </c>
      <c r="G3" s="42">
        <f t="shared" ref="G3:G34" si="0">E3/F3</f>
        <v>2.8179419525065965</v>
      </c>
      <c r="H3" s="21" t="s">
        <v>2</v>
      </c>
      <c r="K3" s="9"/>
      <c r="N3" s="18" t="s">
        <v>2</v>
      </c>
    </row>
    <row r="4" spans="1:14" hidden="1" x14ac:dyDescent="0.2">
      <c r="A4" s="18" t="s">
        <v>3</v>
      </c>
      <c r="B4" s="37">
        <v>2</v>
      </c>
      <c r="C4" s="38" t="s">
        <v>101</v>
      </c>
      <c r="D4" s="39" t="s">
        <v>102</v>
      </c>
      <c r="E4" s="40">
        <v>3088</v>
      </c>
      <c r="F4" s="41">
        <v>1455</v>
      </c>
      <c r="G4" s="42">
        <f t="shared" si="0"/>
        <v>2.1223367697594502</v>
      </c>
      <c r="H4" s="21" t="s">
        <v>4</v>
      </c>
      <c r="K4" s="9"/>
      <c r="N4" s="18" t="s">
        <v>3</v>
      </c>
    </row>
    <row r="5" spans="1:14" x14ac:dyDescent="0.2">
      <c r="A5" s="18"/>
      <c r="B5" s="37">
        <v>3</v>
      </c>
      <c r="C5" s="38" t="s">
        <v>18</v>
      </c>
      <c r="D5" s="39" t="s">
        <v>82</v>
      </c>
      <c r="E5" s="40">
        <v>2090</v>
      </c>
      <c r="F5" s="41">
        <v>779</v>
      </c>
      <c r="G5" s="42">
        <f t="shared" si="0"/>
        <v>2.6829268292682928</v>
      </c>
      <c r="H5" s="21" t="s">
        <v>2</v>
      </c>
      <c r="K5" s="9"/>
      <c r="N5" s="18" t="s">
        <v>4</v>
      </c>
    </row>
    <row r="6" spans="1:14" x14ac:dyDescent="0.2">
      <c r="A6" s="18"/>
      <c r="B6" s="37">
        <v>4</v>
      </c>
      <c r="C6" s="38" t="s">
        <v>19</v>
      </c>
      <c r="D6" s="39" t="s">
        <v>82</v>
      </c>
      <c r="E6" s="40">
        <v>3509</v>
      </c>
      <c r="F6" s="41">
        <v>1211</v>
      </c>
      <c r="G6" s="42">
        <f t="shared" si="0"/>
        <v>2.8976052848885221</v>
      </c>
      <c r="H6" s="21" t="s">
        <v>2</v>
      </c>
      <c r="K6" s="9"/>
      <c r="N6" s="18" t="s">
        <v>5</v>
      </c>
    </row>
    <row r="7" spans="1:14" hidden="1" x14ac:dyDescent="0.2">
      <c r="A7" s="18"/>
      <c r="B7" s="37">
        <v>5</v>
      </c>
      <c r="C7" s="38" t="s">
        <v>20</v>
      </c>
      <c r="D7" s="39" t="s">
        <v>83</v>
      </c>
      <c r="E7" s="40">
        <v>435</v>
      </c>
      <c r="F7" s="41">
        <v>396</v>
      </c>
      <c r="G7" s="42">
        <f t="shared" si="0"/>
        <v>1.0984848484848484</v>
      </c>
      <c r="H7" s="21" t="s">
        <v>3</v>
      </c>
      <c r="K7" s="9"/>
      <c r="N7" s="18" t="s">
        <v>13</v>
      </c>
    </row>
    <row r="8" spans="1:14" hidden="1" x14ac:dyDescent="0.2">
      <c r="A8" s="18"/>
      <c r="B8" s="37">
        <v>6</v>
      </c>
      <c r="C8" s="38" t="s">
        <v>21</v>
      </c>
      <c r="D8" s="39" t="s">
        <v>83</v>
      </c>
      <c r="E8" s="40">
        <v>2677</v>
      </c>
      <c r="F8" s="41">
        <v>1929</v>
      </c>
      <c r="G8" s="42">
        <f t="shared" si="0"/>
        <v>1.387765681700363</v>
      </c>
      <c r="H8" s="21" t="s">
        <v>3</v>
      </c>
      <c r="K8" s="9"/>
      <c r="N8" s="18"/>
    </row>
    <row r="9" spans="1:14" hidden="1" x14ac:dyDescent="0.2">
      <c r="A9" s="18"/>
      <c r="B9" s="37">
        <v>7</v>
      </c>
      <c r="C9" s="38" t="s">
        <v>22</v>
      </c>
      <c r="D9" s="39" t="s">
        <v>83</v>
      </c>
      <c r="E9" s="40">
        <v>3165</v>
      </c>
      <c r="F9" s="41">
        <v>2194</v>
      </c>
      <c r="G9" s="42">
        <f t="shared" si="0"/>
        <v>1.44257064721969</v>
      </c>
      <c r="H9" s="21" t="s">
        <v>3</v>
      </c>
      <c r="I9" s="65"/>
      <c r="J9" s="66"/>
      <c r="K9" s="66"/>
      <c r="N9" s="18"/>
    </row>
    <row r="10" spans="1:14" hidden="1" x14ac:dyDescent="0.2">
      <c r="A10" s="18"/>
      <c r="B10" s="37">
        <v>8</v>
      </c>
      <c r="C10" s="38" t="s">
        <v>23</v>
      </c>
      <c r="D10" s="39" t="s">
        <v>83</v>
      </c>
      <c r="E10" s="40">
        <v>1637</v>
      </c>
      <c r="F10" s="41">
        <v>1355</v>
      </c>
      <c r="G10" s="42">
        <f t="shared" si="0"/>
        <v>1.2081180811808119</v>
      </c>
      <c r="H10" s="21" t="s">
        <v>4</v>
      </c>
      <c r="K10" s="9"/>
      <c r="N10" s="18"/>
    </row>
    <row r="11" spans="1:14" hidden="1" x14ac:dyDescent="0.2">
      <c r="A11" s="18"/>
      <c r="B11" s="37">
        <v>9</v>
      </c>
      <c r="C11" s="38" t="s">
        <v>24</v>
      </c>
      <c r="D11" s="39" t="s">
        <v>84</v>
      </c>
      <c r="E11" s="40">
        <v>3044</v>
      </c>
      <c r="F11" s="41">
        <v>1915</v>
      </c>
      <c r="G11" s="42">
        <f t="shared" si="0"/>
        <v>1.589556135770235</v>
      </c>
      <c r="H11" s="21" t="s">
        <v>3</v>
      </c>
      <c r="K11" s="9"/>
      <c r="N11" s="18"/>
    </row>
    <row r="12" spans="1:14" x14ac:dyDescent="0.2">
      <c r="A12" s="18"/>
      <c r="B12" s="37">
        <v>10</v>
      </c>
      <c r="C12" s="38" t="s">
        <v>25</v>
      </c>
      <c r="D12" s="39" t="s">
        <v>82</v>
      </c>
      <c r="E12" s="40">
        <v>7526</v>
      </c>
      <c r="F12" s="41">
        <v>2774</v>
      </c>
      <c r="G12" s="42">
        <f t="shared" si="0"/>
        <v>2.7130497476568132</v>
      </c>
      <c r="H12" s="21" t="s">
        <v>2</v>
      </c>
      <c r="K12" s="9"/>
      <c r="N12" s="18"/>
    </row>
    <row r="13" spans="1:14" x14ac:dyDescent="0.2">
      <c r="A13" s="18"/>
      <c r="B13" s="37">
        <v>11</v>
      </c>
      <c r="C13" s="43" t="s">
        <v>26</v>
      </c>
      <c r="D13" s="44" t="s">
        <v>82</v>
      </c>
      <c r="E13" s="45">
        <v>2324</v>
      </c>
      <c r="F13" s="46">
        <v>840</v>
      </c>
      <c r="G13" s="42">
        <f t="shared" si="0"/>
        <v>2.7666666666666666</v>
      </c>
      <c r="H13" s="21" t="s">
        <v>2</v>
      </c>
      <c r="I13" s="18"/>
      <c r="K13" s="9"/>
      <c r="N13" s="18"/>
    </row>
    <row r="14" spans="1:14" x14ac:dyDescent="0.2">
      <c r="A14" s="18"/>
      <c r="B14" s="37">
        <v>12</v>
      </c>
      <c r="C14" s="38" t="s">
        <v>27</v>
      </c>
      <c r="D14" s="39" t="s">
        <v>82</v>
      </c>
      <c r="E14" s="40">
        <v>3924</v>
      </c>
      <c r="F14" s="41">
        <v>1555</v>
      </c>
      <c r="G14" s="42">
        <f t="shared" si="0"/>
        <v>2.5234726688102893</v>
      </c>
      <c r="H14" s="21" t="s">
        <v>2</v>
      </c>
      <c r="K14" s="9"/>
      <c r="N14" s="18" t="s">
        <v>14</v>
      </c>
    </row>
    <row r="15" spans="1:14" x14ac:dyDescent="0.2">
      <c r="A15" s="18"/>
      <c r="B15" s="37">
        <v>13</v>
      </c>
      <c r="C15" s="38" t="s">
        <v>28</v>
      </c>
      <c r="D15" s="39" t="s">
        <v>85</v>
      </c>
      <c r="E15" s="40">
        <v>6730</v>
      </c>
      <c r="F15" s="41">
        <v>2560</v>
      </c>
      <c r="G15" s="42">
        <f t="shared" si="0"/>
        <v>2.62890625</v>
      </c>
      <c r="H15" s="21" t="s">
        <v>2</v>
      </c>
      <c r="K15" s="9"/>
    </row>
    <row r="16" spans="1:14" x14ac:dyDescent="0.2">
      <c r="A16" s="18" t="s">
        <v>5</v>
      </c>
      <c r="B16" s="37">
        <v>14</v>
      </c>
      <c r="C16" s="38" t="s">
        <v>29</v>
      </c>
      <c r="D16" s="39" t="s">
        <v>86</v>
      </c>
      <c r="E16" s="40">
        <v>2591</v>
      </c>
      <c r="F16" s="41">
        <v>1032</v>
      </c>
      <c r="G16" s="42">
        <f t="shared" si="0"/>
        <v>2.510658914728682</v>
      </c>
      <c r="H16" s="21" t="s">
        <v>2</v>
      </c>
      <c r="K16" s="9"/>
    </row>
    <row r="17" spans="1:11" hidden="1" x14ac:dyDescent="0.2">
      <c r="A17" s="18" t="s">
        <v>6</v>
      </c>
      <c r="B17" s="37">
        <v>15</v>
      </c>
      <c r="C17" s="38" t="s">
        <v>30</v>
      </c>
      <c r="D17" s="39" t="s">
        <v>86</v>
      </c>
      <c r="E17" s="40">
        <v>647</v>
      </c>
      <c r="F17" s="41">
        <v>542</v>
      </c>
      <c r="G17" s="42">
        <f t="shared" si="0"/>
        <v>1.1937269372693726</v>
      </c>
      <c r="H17" s="21" t="s">
        <v>4</v>
      </c>
      <c r="K17" s="9"/>
    </row>
    <row r="18" spans="1:11" hidden="1" x14ac:dyDescent="0.2">
      <c r="B18" s="37">
        <v>16</v>
      </c>
      <c r="C18" s="47" t="s">
        <v>31</v>
      </c>
      <c r="D18" s="48" t="s">
        <v>87</v>
      </c>
      <c r="E18" s="49">
        <v>2428</v>
      </c>
      <c r="F18" s="47">
        <v>1989</v>
      </c>
      <c r="G18" s="42">
        <f t="shared" si="0"/>
        <v>1.2207139265962796</v>
      </c>
      <c r="H18" s="21" t="s">
        <v>3</v>
      </c>
      <c r="K18" s="9"/>
    </row>
    <row r="19" spans="1:11" hidden="1" x14ac:dyDescent="0.2">
      <c r="B19" s="37">
        <v>17</v>
      </c>
      <c r="C19" s="47" t="s">
        <v>32</v>
      </c>
      <c r="D19" s="48" t="s">
        <v>88</v>
      </c>
      <c r="E19" s="49">
        <v>3470</v>
      </c>
      <c r="F19" s="47">
        <v>2236</v>
      </c>
      <c r="G19" s="42">
        <f t="shared" si="0"/>
        <v>1.5518783542039356</v>
      </c>
      <c r="H19" s="21" t="s">
        <v>3</v>
      </c>
      <c r="K19" s="9"/>
    </row>
    <row r="20" spans="1:11" hidden="1" x14ac:dyDescent="0.2">
      <c r="B20" s="37">
        <v>18</v>
      </c>
      <c r="C20" s="47" t="s">
        <v>33</v>
      </c>
      <c r="D20" s="48" t="s">
        <v>89</v>
      </c>
      <c r="E20" s="49">
        <v>248</v>
      </c>
      <c r="F20" s="47">
        <v>180</v>
      </c>
      <c r="G20" s="42">
        <f t="shared" si="0"/>
        <v>1.3777777777777778</v>
      </c>
      <c r="H20" s="21" t="s">
        <v>13</v>
      </c>
      <c r="K20" s="9"/>
    </row>
    <row r="21" spans="1:11" hidden="1" x14ac:dyDescent="0.2">
      <c r="B21" s="37" t="s">
        <v>97</v>
      </c>
      <c r="C21" s="47" t="s">
        <v>34</v>
      </c>
      <c r="D21" s="48" t="s">
        <v>90</v>
      </c>
      <c r="E21" s="49">
        <v>1560</v>
      </c>
      <c r="F21" s="47">
        <v>869</v>
      </c>
      <c r="G21" s="42">
        <f t="shared" si="0"/>
        <v>1.7951668584579976</v>
      </c>
      <c r="H21" s="21" t="s">
        <v>4</v>
      </c>
      <c r="K21" s="9"/>
    </row>
    <row r="22" spans="1:11" hidden="1" x14ac:dyDescent="0.2">
      <c r="B22" s="37">
        <v>20</v>
      </c>
      <c r="C22" s="47" t="s">
        <v>35</v>
      </c>
      <c r="D22" s="48" t="s">
        <v>90</v>
      </c>
      <c r="E22" s="49">
        <v>2942</v>
      </c>
      <c r="F22" s="47">
        <v>1600</v>
      </c>
      <c r="G22" s="42">
        <f t="shared" si="0"/>
        <v>1.8387500000000001</v>
      </c>
      <c r="H22" s="21" t="s">
        <v>4</v>
      </c>
      <c r="K22" s="9"/>
    </row>
    <row r="23" spans="1:11" x14ac:dyDescent="0.2">
      <c r="B23" s="37">
        <v>21</v>
      </c>
      <c r="C23" s="47" t="s">
        <v>36</v>
      </c>
      <c r="D23" s="48" t="s">
        <v>91</v>
      </c>
      <c r="E23" s="49">
        <v>4907</v>
      </c>
      <c r="F23" s="47">
        <v>1933</v>
      </c>
      <c r="G23" s="42">
        <f t="shared" si="0"/>
        <v>2.5385411277806518</v>
      </c>
      <c r="H23" s="21" t="s">
        <v>2</v>
      </c>
      <c r="K23" s="9"/>
    </row>
    <row r="24" spans="1:11" x14ac:dyDescent="0.2">
      <c r="B24" s="37">
        <v>22</v>
      </c>
      <c r="C24" s="47" t="s">
        <v>37</v>
      </c>
      <c r="D24" s="48" t="s">
        <v>91</v>
      </c>
      <c r="E24" s="49">
        <v>5749</v>
      </c>
      <c r="F24" s="47">
        <v>2127</v>
      </c>
      <c r="G24" s="42">
        <f t="shared" si="0"/>
        <v>2.7028678890456042</v>
      </c>
      <c r="H24" s="21" t="s">
        <v>2</v>
      </c>
      <c r="I24" s="67"/>
      <c r="J24" s="68"/>
      <c r="K24" s="68"/>
    </row>
    <row r="25" spans="1:11" x14ac:dyDescent="0.2">
      <c r="B25" s="37">
        <v>23</v>
      </c>
      <c r="C25" s="47" t="s">
        <v>38</v>
      </c>
      <c r="D25" s="48" t="s">
        <v>91</v>
      </c>
      <c r="E25" s="49">
        <v>7581</v>
      </c>
      <c r="F25" s="47">
        <v>2595</v>
      </c>
      <c r="G25" s="42">
        <f t="shared" si="0"/>
        <v>2.921387283236994</v>
      </c>
      <c r="H25" s="21" t="s">
        <v>2</v>
      </c>
      <c r="K25" s="9"/>
    </row>
    <row r="26" spans="1:11" x14ac:dyDescent="0.2">
      <c r="B26" s="37">
        <v>24</v>
      </c>
      <c r="C26" s="47" t="s">
        <v>39</v>
      </c>
      <c r="D26" s="48" t="s">
        <v>91</v>
      </c>
      <c r="E26" s="49">
        <v>4803</v>
      </c>
      <c r="F26" s="47">
        <v>1724</v>
      </c>
      <c r="G26" s="42">
        <f t="shared" si="0"/>
        <v>2.7859628770301623</v>
      </c>
      <c r="H26" s="21" t="s">
        <v>2</v>
      </c>
      <c r="K26" s="9"/>
    </row>
    <row r="27" spans="1:11" x14ac:dyDescent="0.2">
      <c r="B27" s="37">
        <v>25</v>
      </c>
      <c r="C27" s="50" t="s">
        <v>40</v>
      </c>
      <c r="D27" s="51" t="s">
        <v>91</v>
      </c>
      <c r="E27" s="52">
        <v>5614</v>
      </c>
      <c r="F27" s="53">
        <v>2002</v>
      </c>
      <c r="G27" s="42">
        <f t="shared" si="0"/>
        <v>2.8041958041958042</v>
      </c>
      <c r="H27" s="21" t="s">
        <v>2</v>
      </c>
      <c r="K27" s="9"/>
    </row>
    <row r="28" spans="1:11" x14ac:dyDescent="0.2">
      <c r="B28" s="37">
        <v>26</v>
      </c>
      <c r="C28" s="50" t="s">
        <v>41</v>
      </c>
      <c r="D28" s="51" t="s">
        <v>91</v>
      </c>
      <c r="E28" s="52">
        <v>7133</v>
      </c>
      <c r="F28" s="53">
        <v>2732</v>
      </c>
      <c r="G28" s="42">
        <f t="shared" si="0"/>
        <v>2.6109077598828696</v>
      </c>
      <c r="H28" s="21" t="s">
        <v>2</v>
      </c>
      <c r="K28" s="9"/>
    </row>
    <row r="29" spans="1:11" x14ac:dyDescent="0.2">
      <c r="B29" s="37">
        <v>27</v>
      </c>
      <c r="C29" s="50" t="s">
        <v>42</v>
      </c>
      <c r="D29" s="51" t="s">
        <v>91</v>
      </c>
      <c r="E29" s="52">
        <v>5802</v>
      </c>
      <c r="F29" s="53">
        <v>2098</v>
      </c>
      <c r="G29" s="42">
        <f t="shared" si="0"/>
        <v>2.7654909437559581</v>
      </c>
      <c r="H29" s="21" t="s">
        <v>2</v>
      </c>
      <c r="K29" s="9"/>
    </row>
    <row r="30" spans="1:11" x14ac:dyDescent="0.2">
      <c r="B30" s="37">
        <v>28</v>
      </c>
      <c r="C30" s="47" t="s">
        <v>43</v>
      </c>
      <c r="D30" s="48" t="s">
        <v>91</v>
      </c>
      <c r="E30" s="49">
        <v>4205</v>
      </c>
      <c r="F30" s="47">
        <v>1486</v>
      </c>
      <c r="G30" s="42">
        <f t="shared" si="0"/>
        <v>2.8297442799461643</v>
      </c>
      <c r="H30" s="21" t="s">
        <v>2</v>
      </c>
      <c r="K30" s="9"/>
    </row>
    <row r="31" spans="1:11" x14ac:dyDescent="0.2">
      <c r="B31" s="37">
        <v>29</v>
      </c>
      <c r="C31" s="47" t="s">
        <v>44</v>
      </c>
      <c r="D31" s="48" t="s">
        <v>92</v>
      </c>
      <c r="E31" s="49">
        <v>4553</v>
      </c>
      <c r="F31" s="47">
        <v>1743</v>
      </c>
      <c r="G31" s="42">
        <f t="shared" si="0"/>
        <v>2.6121629374641424</v>
      </c>
      <c r="H31" s="21" t="s">
        <v>2</v>
      </c>
      <c r="K31" s="9"/>
    </row>
    <row r="32" spans="1:11" x14ac:dyDescent="0.2">
      <c r="B32" s="37">
        <v>30</v>
      </c>
      <c r="C32" s="50" t="s">
        <v>45</v>
      </c>
      <c r="D32" s="51" t="s">
        <v>92</v>
      </c>
      <c r="E32" s="52">
        <v>3443</v>
      </c>
      <c r="F32" s="53">
        <v>1429</v>
      </c>
      <c r="G32" s="42">
        <f t="shared" si="0"/>
        <v>2.4093771868439466</v>
      </c>
      <c r="H32" s="21" t="s">
        <v>2</v>
      </c>
      <c r="K32" s="9"/>
    </row>
    <row r="33" spans="2:11" x14ac:dyDescent="0.2">
      <c r="B33" s="37">
        <v>31</v>
      </c>
      <c r="C33" s="47" t="s">
        <v>46</v>
      </c>
      <c r="D33" s="48" t="s">
        <v>92</v>
      </c>
      <c r="E33" s="49">
        <v>7661</v>
      </c>
      <c r="F33" s="47">
        <v>2976</v>
      </c>
      <c r="G33" s="42">
        <f t="shared" si="0"/>
        <v>2.574260752688172</v>
      </c>
      <c r="H33" s="21" t="s">
        <v>2</v>
      </c>
      <c r="K33" s="9"/>
    </row>
    <row r="34" spans="2:11" x14ac:dyDescent="0.2">
      <c r="B34" s="37">
        <v>32</v>
      </c>
      <c r="C34" s="47" t="s">
        <v>47</v>
      </c>
      <c r="D34" s="48" t="s">
        <v>92</v>
      </c>
      <c r="E34" s="49">
        <v>3526</v>
      </c>
      <c r="F34" s="47">
        <v>1404</v>
      </c>
      <c r="G34" s="42">
        <f t="shared" si="0"/>
        <v>2.5113960113960112</v>
      </c>
      <c r="H34" s="21" t="s">
        <v>2</v>
      </c>
      <c r="I34" s="18"/>
      <c r="K34" s="9"/>
    </row>
    <row r="35" spans="2:11" x14ac:dyDescent="0.2">
      <c r="B35" s="37">
        <v>33</v>
      </c>
      <c r="C35" s="50" t="s">
        <v>48</v>
      </c>
      <c r="D35" s="51" t="s">
        <v>93</v>
      </c>
      <c r="E35" s="52">
        <v>5561</v>
      </c>
      <c r="F35" s="53">
        <v>2200</v>
      </c>
      <c r="G35" s="42">
        <f t="shared" ref="G35:G68" si="1">E35/F35</f>
        <v>2.5277272727272728</v>
      </c>
      <c r="H35" s="21" t="s">
        <v>2</v>
      </c>
      <c r="K35" s="9"/>
    </row>
    <row r="36" spans="2:11" x14ac:dyDescent="0.2">
      <c r="B36" s="37">
        <v>34</v>
      </c>
      <c r="C36" s="47" t="s">
        <v>49</v>
      </c>
      <c r="D36" s="48" t="s">
        <v>93</v>
      </c>
      <c r="E36" s="49">
        <v>686</v>
      </c>
      <c r="F36" s="47">
        <v>286</v>
      </c>
      <c r="G36" s="42">
        <f t="shared" si="1"/>
        <v>2.3986013986013988</v>
      </c>
      <c r="H36" s="21" t="s">
        <v>2</v>
      </c>
      <c r="K36" s="9"/>
    </row>
    <row r="37" spans="2:11" x14ac:dyDescent="0.2">
      <c r="B37" s="37">
        <v>35</v>
      </c>
      <c r="C37" s="47" t="s">
        <v>50</v>
      </c>
      <c r="D37" s="48" t="s">
        <v>94</v>
      </c>
      <c r="E37" s="49">
        <v>5154</v>
      </c>
      <c r="F37" s="47">
        <v>2025</v>
      </c>
      <c r="G37" s="42">
        <f t="shared" si="1"/>
        <v>2.545185185185185</v>
      </c>
      <c r="H37" s="21" t="s">
        <v>2</v>
      </c>
      <c r="K37" s="9"/>
    </row>
    <row r="38" spans="2:11" x14ac:dyDescent="0.2">
      <c r="B38" s="37">
        <v>36</v>
      </c>
      <c r="C38" s="47" t="s">
        <v>51</v>
      </c>
      <c r="D38" s="48" t="s">
        <v>94</v>
      </c>
      <c r="E38" s="49">
        <v>9991</v>
      </c>
      <c r="F38" s="47">
        <v>3742</v>
      </c>
      <c r="G38" s="42">
        <f t="shared" si="1"/>
        <v>2.669962586851951</v>
      </c>
      <c r="H38" s="21" t="s">
        <v>2</v>
      </c>
      <c r="K38" s="9"/>
    </row>
    <row r="39" spans="2:11" x14ac:dyDescent="0.2">
      <c r="B39" s="37">
        <v>37</v>
      </c>
      <c r="C39" s="47" t="s">
        <v>52</v>
      </c>
      <c r="D39" s="48" t="s">
        <v>94</v>
      </c>
      <c r="E39" s="49">
        <v>8742</v>
      </c>
      <c r="F39" s="47">
        <v>3378</v>
      </c>
      <c r="G39" s="42">
        <f t="shared" si="1"/>
        <v>2.5879218472468914</v>
      </c>
      <c r="H39" s="21" t="s">
        <v>2</v>
      </c>
      <c r="K39" s="9"/>
    </row>
    <row r="40" spans="2:11" x14ac:dyDescent="0.2">
      <c r="B40" s="37">
        <v>38</v>
      </c>
      <c r="C40" s="47" t="s">
        <v>53</v>
      </c>
      <c r="D40" s="48" t="s">
        <v>94</v>
      </c>
      <c r="E40" s="49">
        <v>8795</v>
      </c>
      <c r="F40" s="47">
        <v>3401</v>
      </c>
      <c r="G40" s="42">
        <f t="shared" si="1"/>
        <v>2.5860041164363423</v>
      </c>
      <c r="H40" s="21" t="s">
        <v>2</v>
      </c>
      <c r="K40" s="9"/>
    </row>
    <row r="41" spans="2:11" x14ac:dyDescent="0.2">
      <c r="B41" s="37">
        <v>39</v>
      </c>
      <c r="C41" s="50" t="s">
        <v>54</v>
      </c>
      <c r="D41" s="51" t="s">
        <v>94</v>
      </c>
      <c r="E41" s="52">
        <v>7072</v>
      </c>
      <c r="F41" s="53">
        <v>2782</v>
      </c>
      <c r="G41" s="42">
        <f t="shared" si="1"/>
        <v>2.542056074766355</v>
      </c>
      <c r="H41" s="21" t="s">
        <v>2</v>
      </c>
      <c r="I41" s="18"/>
      <c r="K41" s="9"/>
    </row>
    <row r="42" spans="2:11" hidden="1" x14ac:dyDescent="0.2">
      <c r="B42" s="37">
        <v>40</v>
      </c>
      <c r="C42" s="47" t="s">
        <v>55</v>
      </c>
      <c r="D42" s="48" t="s">
        <v>95</v>
      </c>
      <c r="E42" s="49">
        <v>1770</v>
      </c>
      <c r="F42" s="47">
        <v>1155</v>
      </c>
      <c r="G42" s="42">
        <f t="shared" si="1"/>
        <v>1.5324675324675325</v>
      </c>
      <c r="H42" s="21" t="s">
        <v>3</v>
      </c>
      <c r="K42" s="9"/>
    </row>
    <row r="43" spans="2:11" hidden="1" x14ac:dyDescent="0.2">
      <c r="B43" s="37">
        <v>41</v>
      </c>
      <c r="C43" s="47" t="s">
        <v>56</v>
      </c>
      <c r="D43" s="48" t="s">
        <v>95</v>
      </c>
      <c r="E43" s="49">
        <v>2969</v>
      </c>
      <c r="F43" s="47">
        <v>1889</v>
      </c>
      <c r="G43" s="42">
        <f t="shared" si="1"/>
        <v>1.571731074642668</v>
      </c>
      <c r="H43" s="21" t="s">
        <v>3</v>
      </c>
      <c r="K43" s="9"/>
    </row>
    <row r="44" spans="2:11" x14ac:dyDescent="0.2">
      <c r="B44" s="37">
        <v>42</v>
      </c>
      <c r="C44" s="50" t="s">
        <v>57</v>
      </c>
      <c r="D44" s="51" t="s">
        <v>95</v>
      </c>
      <c r="E44" s="52">
        <v>7984</v>
      </c>
      <c r="F44" s="53">
        <v>2920</v>
      </c>
      <c r="G44" s="42">
        <f t="shared" si="1"/>
        <v>2.7342465753424658</v>
      </c>
      <c r="H44" s="21" t="s">
        <v>2</v>
      </c>
      <c r="K44" s="9"/>
    </row>
    <row r="45" spans="2:11" x14ac:dyDescent="0.2">
      <c r="B45" s="37">
        <v>43</v>
      </c>
      <c r="C45" s="47" t="s">
        <v>58</v>
      </c>
      <c r="D45" s="48" t="s">
        <v>95</v>
      </c>
      <c r="E45" s="49">
        <v>7350</v>
      </c>
      <c r="F45" s="47">
        <v>2568</v>
      </c>
      <c r="G45" s="42">
        <f t="shared" si="1"/>
        <v>2.8621495327102804</v>
      </c>
      <c r="H45" s="21" t="s">
        <v>2</v>
      </c>
      <c r="K45" s="9"/>
    </row>
    <row r="46" spans="2:11" hidden="1" x14ac:dyDescent="0.2">
      <c r="B46" s="37">
        <v>44</v>
      </c>
      <c r="C46" s="47" t="s">
        <v>59</v>
      </c>
      <c r="D46" s="48" t="s">
        <v>94</v>
      </c>
      <c r="E46" s="49">
        <v>2682</v>
      </c>
      <c r="F46" s="47">
        <v>1910</v>
      </c>
      <c r="G46" s="42">
        <f t="shared" si="1"/>
        <v>1.4041884816753927</v>
      </c>
      <c r="H46" s="21" t="s">
        <v>3</v>
      </c>
      <c r="K46" s="9"/>
    </row>
    <row r="47" spans="2:11" hidden="1" x14ac:dyDescent="0.2">
      <c r="B47" s="37">
        <v>45</v>
      </c>
      <c r="C47" s="50" t="s">
        <v>60</v>
      </c>
      <c r="D47" s="51" t="s">
        <v>95</v>
      </c>
      <c r="E47" s="52">
        <v>2533</v>
      </c>
      <c r="F47" s="53">
        <v>1781</v>
      </c>
      <c r="G47" s="42">
        <f t="shared" si="1"/>
        <v>1.4222346996069624</v>
      </c>
      <c r="H47" s="21" t="s">
        <v>3</v>
      </c>
      <c r="K47" s="9"/>
    </row>
    <row r="48" spans="2:11" x14ac:dyDescent="0.2">
      <c r="B48" s="37">
        <v>46</v>
      </c>
      <c r="C48" s="50" t="s">
        <v>61</v>
      </c>
      <c r="D48" s="51" t="s">
        <v>95</v>
      </c>
      <c r="E48" s="52">
        <v>6445</v>
      </c>
      <c r="F48" s="53">
        <v>2327</v>
      </c>
      <c r="G48" s="42">
        <f t="shared" si="1"/>
        <v>2.7696605070906748</v>
      </c>
      <c r="H48" s="21" t="s">
        <v>2</v>
      </c>
      <c r="K48" s="9"/>
    </row>
    <row r="49" spans="2:11" x14ac:dyDescent="0.2">
      <c r="B49" s="37">
        <v>47</v>
      </c>
      <c r="C49" s="47" t="s">
        <v>62</v>
      </c>
      <c r="D49" s="48" t="s">
        <v>96</v>
      </c>
      <c r="E49" s="49">
        <v>8414</v>
      </c>
      <c r="F49" s="47">
        <v>3252</v>
      </c>
      <c r="G49" s="42">
        <f t="shared" si="1"/>
        <v>2.587330873308733</v>
      </c>
      <c r="H49" s="21" t="s">
        <v>2</v>
      </c>
      <c r="K49" s="9"/>
    </row>
    <row r="50" spans="2:11" x14ac:dyDescent="0.2">
      <c r="B50" s="37">
        <v>48</v>
      </c>
      <c r="C50" s="47" t="s">
        <v>63</v>
      </c>
      <c r="D50" s="48" t="s">
        <v>96</v>
      </c>
      <c r="E50" s="49">
        <v>6002</v>
      </c>
      <c r="F50" s="47">
        <v>2203</v>
      </c>
      <c r="G50" s="42">
        <f t="shared" si="1"/>
        <v>2.7244666364049026</v>
      </c>
      <c r="H50" s="21" t="s">
        <v>2</v>
      </c>
      <c r="K50" s="9"/>
    </row>
    <row r="51" spans="2:11" x14ac:dyDescent="0.2">
      <c r="B51" s="37">
        <v>49</v>
      </c>
      <c r="C51" s="47" t="s">
        <v>64</v>
      </c>
      <c r="D51" s="48" t="s">
        <v>96</v>
      </c>
      <c r="E51" s="49">
        <v>8747</v>
      </c>
      <c r="F51" s="47">
        <v>3369</v>
      </c>
      <c r="G51" s="42">
        <f t="shared" si="1"/>
        <v>2.5963193826061146</v>
      </c>
      <c r="H51" s="21" t="s">
        <v>2</v>
      </c>
      <c r="K51" s="9"/>
    </row>
    <row r="52" spans="2:11" x14ac:dyDescent="0.2">
      <c r="B52" s="37">
        <v>50</v>
      </c>
      <c r="C52" s="47" t="s">
        <v>65</v>
      </c>
      <c r="D52" s="48" t="s">
        <v>96</v>
      </c>
      <c r="E52" s="49">
        <v>5791</v>
      </c>
      <c r="F52" s="47">
        <v>2236</v>
      </c>
      <c r="G52" s="42">
        <f t="shared" si="1"/>
        <v>2.5898926654740606</v>
      </c>
      <c r="H52" s="21" t="s">
        <v>2</v>
      </c>
      <c r="K52" s="9"/>
    </row>
    <row r="53" spans="2:11" x14ac:dyDescent="0.2">
      <c r="B53" s="37">
        <v>51</v>
      </c>
      <c r="C53" s="47" t="s">
        <v>66</v>
      </c>
      <c r="D53" s="48" t="s">
        <v>96</v>
      </c>
      <c r="E53" s="49">
        <v>3895</v>
      </c>
      <c r="F53" s="47">
        <v>1492</v>
      </c>
      <c r="G53" s="42">
        <f t="shared" si="1"/>
        <v>2.6105898123324396</v>
      </c>
      <c r="H53" s="21" t="s">
        <v>2</v>
      </c>
      <c r="K53" s="9"/>
    </row>
    <row r="54" spans="2:11" x14ac:dyDescent="0.2">
      <c r="B54" s="37">
        <v>52</v>
      </c>
      <c r="C54" s="47" t="s">
        <v>67</v>
      </c>
      <c r="D54" s="48" t="s">
        <v>96</v>
      </c>
      <c r="E54" s="49">
        <v>11491</v>
      </c>
      <c r="F54" s="47">
        <v>4260</v>
      </c>
      <c r="G54" s="42">
        <f t="shared" si="1"/>
        <v>2.6974178403755871</v>
      </c>
      <c r="H54" s="21" t="s">
        <v>2</v>
      </c>
      <c r="K54" s="9"/>
    </row>
    <row r="55" spans="2:11" x14ac:dyDescent="0.2">
      <c r="B55" s="37">
        <v>53</v>
      </c>
      <c r="C55" s="50" t="s">
        <v>68</v>
      </c>
      <c r="D55" s="51" t="s">
        <v>96</v>
      </c>
      <c r="E55" s="52">
        <v>5407</v>
      </c>
      <c r="F55" s="53">
        <v>1984</v>
      </c>
      <c r="G55" s="42">
        <f t="shared" si="1"/>
        <v>2.7253024193548385</v>
      </c>
      <c r="H55" s="21" t="s">
        <v>2</v>
      </c>
      <c r="K55" s="9"/>
    </row>
    <row r="56" spans="2:11" x14ac:dyDescent="0.2">
      <c r="B56" s="37">
        <v>54</v>
      </c>
      <c r="C56" s="50" t="s">
        <v>69</v>
      </c>
      <c r="D56" s="51" t="s">
        <v>96</v>
      </c>
      <c r="E56" s="52">
        <v>6362</v>
      </c>
      <c r="F56" s="53">
        <v>2355</v>
      </c>
      <c r="G56" s="42">
        <f t="shared" si="1"/>
        <v>2.7014861995753714</v>
      </c>
      <c r="H56" s="21" t="s">
        <v>2</v>
      </c>
      <c r="K56" s="9"/>
    </row>
    <row r="57" spans="2:11" x14ac:dyDescent="0.2">
      <c r="B57" s="37">
        <v>55</v>
      </c>
      <c r="C57" s="50" t="s">
        <v>70</v>
      </c>
      <c r="D57" s="51" t="s">
        <v>96</v>
      </c>
      <c r="E57" s="52">
        <v>5074</v>
      </c>
      <c r="F57" s="53">
        <v>1929</v>
      </c>
      <c r="G57" s="42">
        <f t="shared" si="1"/>
        <v>2.6303784344219805</v>
      </c>
      <c r="H57" s="21" t="s">
        <v>2</v>
      </c>
      <c r="K57" s="9"/>
    </row>
    <row r="58" spans="2:11" x14ac:dyDescent="0.2">
      <c r="B58" s="37">
        <v>56</v>
      </c>
      <c r="C58" s="47" t="s">
        <v>71</v>
      </c>
      <c r="D58" s="48" t="s">
        <v>96</v>
      </c>
      <c r="E58" s="49">
        <v>5204</v>
      </c>
      <c r="F58" s="47">
        <v>1934</v>
      </c>
      <c r="G58" s="42">
        <f t="shared" si="1"/>
        <v>2.6907962771458118</v>
      </c>
      <c r="H58" s="21" t="s">
        <v>2</v>
      </c>
      <c r="K58" s="9"/>
    </row>
    <row r="59" spans="2:11" x14ac:dyDescent="0.2">
      <c r="B59" s="37">
        <v>57</v>
      </c>
      <c r="C59" s="50" t="s">
        <v>72</v>
      </c>
      <c r="D59" s="51" t="s">
        <v>94</v>
      </c>
      <c r="E59" s="52">
        <v>5141</v>
      </c>
      <c r="F59" s="53">
        <v>2102</v>
      </c>
      <c r="G59" s="42">
        <f t="shared" si="1"/>
        <v>2.4457659372026641</v>
      </c>
      <c r="H59" s="21" t="s">
        <v>2</v>
      </c>
      <c r="K59" s="9"/>
    </row>
    <row r="60" spans="2:11" x14ac:dyDescent="0.2">
      <c r="B60" s="37">
        <v>58</v>
      </c>
      <c r="C60" s="50" t="s">
        <v>73</v>
      </c>
      <c r="D60" s="51" t="s">
        <v>94</v>
      </c>
      <c r="E60" s="52">
        <v>12371</v>
      </c>
      <c r="F60" s="53">
        <v>4559</v>
      </c>
      <c r="G60" s="42">
        <f t="shared" si="1"/>
        <v>2.7135336696643999</v>
      </c>
      <c r="H60" s="21" t="s">
        <v>2</v>
      </c>
      <c r="K60" s="9"/>
    </row>
    <row r="61" spans="2:11" x14ac:dyDescent="0.2">
      <c r="B61" s="37">
        <v>59</v>
      </c>
      <c r="C61" s="47" t="s">
        <v>74</v>
      </c>
      <c r="D61" s="48" t="s">
        <v>94</v>
      </c>
      <c r="E61" s="49">
        <v>7336</v>
      </c>
      <c r="F61" s="54">
        <v>2864</v>
      </c>
      <c r="G61" s="42">
        <f t="shared" si="1"/>
        <v>2.5614525139664805</v>
      </c>
      <c r="H61" s="21" t="s">
        <v>2</v>
      </c>
      <c r="K61" s="9"/>
    </row>
    <row r="62" spans="2:11" x14ac:dyDescent="0.2">
      <c r="B62" s="37">
        <v>60</v>
      </c>
      <c r="C62" s="47" t="s">
        <v>75</v>
      </c>
      <c r="D62" s="48" t="s">
        <v>94</v>
      </c>
      <c r="E62" s="49">
        <v>7309</v>
      </c>
      <c r="F62" s="47">
        <v>2662</v>
      </c>
      <c r="G62" s="42">
        <f t="shared" si="1"/>
        <v>2.7456799398948157</v>
      </c>
      <c r="H62" s="21" t="s">
        <v>2</v>
      </c>
      <c r="K62" s="9"/>
    </row>
    <row r="63" spans="2:11" x14ac:dyDescent="0.2">
      <c r="B63" s="37">
        <v>61</v>
      </c>
      <c r="C63" s="47" t="s">
        <v>76</v>
      </c>
      <c r="D63" s="48" t="s">
        <v>94</v>
      </c>
      <c r="E63" s="49">
        <v>13944</v>
      </c>
      <c r="F63" s="47">
        <v>5052</v>
      </c>
      <c r="G63" s="42">
        <f t="shared" si="1"/>
        <v>2.7600950118764844</v>
      </c>
      <c r="H63" s="21" t="s">
        <v>2</v>
      </c>
      <c r="K63" s="9"/>
    </row>
    <row r="64" spans="2:11" x14ac:dyDescent="0.2">
      <c r="B64" s="37">
        <v>62</v>
      </c>
      <c r="C64" s="47" t="s">
        <v>77</v>
      </c>
      <c r="D64" s="48" t="s">
        <v>94</v>
      </c>
      <c r="E64" s="49">
        <v>7104</v>
      </c>
      <c r="F64" s="47">
        <v>2635</v>
      </c>
      <c r="G64" s="42">
        <f t="shared" si="1"/>
        <v>2.6960151802656545</v>
      </c>
      <c r="H64" s="21" t="s">
        <v>2</v>
      </c>
      <c r="K64" s="9"/>
    </row>
    <row r="65" spans="2:11" x14ac:dyDescent="0.2">
      <c r="B65" s="37">
        <v>63</v>
      </c>
      <c r="C65" s="47" t="s">
        <v>78</v>
      </c>
      <c r="D65" s="48" t="s">
        <v>94</v>
      </c>
      <c r="E65" s="49">
        <v>7766</v>
      </c>
      <c r="F65" s="49">
        <v>2886</v>
      </c>
      <c r="G65" s="42">
        <f t="shared" si="1"/>
        <v>2.6909216909216909</v>
      </c>
      <c r="H65" s="21" t="s">
        <v>2</v>
      </c>
      <c r="K65" s="9"/>
    </row>
    <row r="66" spans="2:11" x14ac:dyDescent="0.2">
      <c r="B66" s="37">
        <v>64</v>
      </c>
      <c r="C66" s="47" t="s">
        <v>79</v>
      </c>
      <c r="D66" s="48" t="s">
        <v>94</v>
      </c>
      <c r="E66" s="49">
        <v>11168</v>
      </c>
      <c r="F66" s="47">
        <v>4041</v>
      </c>
      <c r="G66" s="42">
        <f t="shared" si="1"/>
        <v>2.7636723583271467</v>
      </c>
      <c r="H66" s="21" t="s">
        <v>2</v>
      </c>
      <c r="K66" s="9"/>
    </row>
    <row r="67" spans="2:11" x14ac:dyDescent="0.2">
      <c r="B67" s="37">
        <v>65</v>
      </c>
      <c r="C67" s="50" t="s">
        <v>80</v>
      </c>
      <c r="D67" s="51" t="s">
        <v>94</v>
      </c>
      <c r="E67" s="52">
        <v>4928</v>
      </c>
      <c r="F67" s="53">
        <v>1939</v>
      </c>
      <c r="G67" s="42">
        <f t="shared" si="1"/>
        <v>2.5415162454873648</v>
      </c>
      <c r="H67" s="21" t="s">
        <v>2</v>
      </c>
      <c r="K67" s="9"/>
    </row>
    <row r="68" spans="2:11" ht="13.5" thickBot="1" x14ac:dyDescent="0.25">
      <c r="B68" s="37">
        <v>66</v>
      </c>
      <c r="C68" s="47" t="s">
        <v>81</v>
      </c>
      <c r="D68" s="48" t="s">
        <v>94</v>
      </c>
      <c r="E68" s="49">
        <v>10029</v>
      </c>
      <c r="F68" s="47">
        <v>3699</v>
      </c>
      <c r="G68" s="42">
        <f t="shared" si="1"/>
        <v>2.7112733171127332</v>
      </c>
      <c r="H68" s="21" t="s">
        <v>2</v>
      </c>
      <c r="K68" s="9"/>
    </row>
    <row r="69" spans="2:11" ht="16.5" hidden="1" thickBot="1" x14ac:dyDescent="0.3">
      <c r="B69" s="23"/>
      <c r="C69" s="24"/>
      <c r="D69" s="24"/>
      <c r="E69" s="25">
        <f>SUM(E3:E68)</f>
        <v>351297</v>
      </c>
      <c r="F69" s="25">
        <f>SUM(F3:F68)</f>
        <v>141856</v>
      </c>
      <c r="G69" s="26">
        <f t="shared" ref="G69" si="2">E69/F69</f>
        <v>2.4764338484096551</v>
      </c>
      <c r="K69" s="9"/>
    </row>
    <row r="70" spans="2:11" ht="13.5" thickTop="1" x14ac:dyDescent="0.2">
      <c r="C70" s="9"/>
      <c r="D70" s="9"/>
      <c r="E70" s="9"/>
      <c r="F70" s="22"/>
      <c r="G70" s="27"/>
      <c r="H70" s="9"/>
      <c r="I70" s="9"/>
    </row>
    <row r="71" spans="2:11" x14ac:dyDescent="0.2">
      <c r="C71" s="9"/>
      <c r="D71" s="9"/>
      <c r="E71" s="9"/>
      <c r="F71" s="22"/>
      <c r="G71" s="28"/>
      <c r="H71" s="29"/>
      <c r="I71" s="29"/>
    </row>
    <row r="72" spans="2:11" x14ac:dyDescent="0.2">
      <c r="C72" s="9"/>
      <c r="D72" s="9"/>
      <c r="E72" s="9"/>
      <c r="F72" s="9"/>
      <c r="G72" s="9"/>
      <c r="H72" s="9"/>
    </row>
    <row r="73" spans="2:11" x14ac:dyDescent="0.2">
      <c r="E73" s="5" t="s">
        <v>9</v>
      </c>
      <c r="F73" s="11" t="s">
        <v>10</v>
      </c>
      <c r="G73" s="5" t="s">
        <v>0</v>
      </c>
      <c r="H73" s="5" t="s">
        <v>11</v>
      </c>
    </row>
    <row r="74" spans="2:11" x14ac:dyDescent="0.2">
      <c r="E74" s="30">
        <v>316002</v>
      </c>
      <c r="F74" s="30">
        <v>118461</v>
      </c>
      <c r="G74" s="20">
        <f>E74/F74</f>
        <v>2.6675614759287867</v>
      </c>
      <c r="H74" s="34" t="s">
        <v>2</v>
      </c>
    </row>
    <row r="75" spans="2:11" x14ac:dyDescent="0.2">
      <c r="E75" s="31">
        <v>25173</v>
      </c>
      <c r="F75" s="31">
        <v>17394</v>
      </c>
      <c r="G75" s="20">
        <f t="shared" ref="G75:G77" si="3">E75/F75</f>
        <v>1.447223180407037</v>
      </c>
      <c r="H75" s="21" t="s">
        <v>3</v>
      </c>
      <c r="J75" s="32"/>
    </row>
    <row r="76" spans="2:11" x14ac:dyDescent="0.2">
      <c r="E76" s="31">
        <v>9874</v>
      </c>
      <c r="F76" s="31">
        <v>5821</v>
      </c>
      <c r="G76" s="20">
        <f t="shared" si="3"/>
        <v>1.6962721181927505</v>
      </c>
      <c r="H76" s="21" t="s">
        <v>4</v>
      </c>
      <c r="J76" s="32"/>
    </row>
    <row r="77" spans="2:11" x14ac:dyDescent="0.2">
      <c r="E77" s="33">
        <v>248</v>
      </c>
      <c r="F77" s="33">
        <v>180</v>
      </c>
      <c r="G77" s="20">
        <f t="shared" si="3"/>
        <v>1.3777777777777778</v>
      </c>
      <c r="H77" s="21" t="s">
        <v>13</v>
      </c>
    </row>
    <row r="78" spans="2:11" x14ac:dyDescent="0.2">
      <c r="E78" s="31"/>
      <c r="F78" s="33"/>
      <c r="G78" s="20" t="str">
        <f>IF(E78=0,"",E78/F78)</f>
        <v/>
      </c>
      <c r="H78" s="21" t="s">
        <v>16</v>
      </c>
      <c r="I78" s="18"/>
    </row>
    <row r="79" spans="2:11" ht="16.5" thickBot="1" x14ac:dyDescent="0.3">
      <c r="E79" s="25">
        <f>SUM(E74:E78)</f>
        <v>351297</v>
      </c>
      <c r="F79" s="25">
        <f>SUM(F74:F78)</f>
        <v>141856</v>
      </c>
      <c r="G79" s="26">
        <f>E79/F79</f>
        <v>2.4764338484096551</v>
      </c>
      <c r="H79" s="10"/>
    </row>
    <row r="80" spans="2:11" ht="13.5" thickTop="1" x14ac:dyDescent="0.2"/>
  </sheetData>
  <autoFilter ref="C2:H69">
    <filterColumn colId="5">
      <filters>
        <filter val="Comercial"/>
      </filters>
    </filterColumn>
    <sortState ref="C3:H73">
      <sortCondition ref="C2:C73"/>
    </sortState>
  </autoFilter>
  <mergeCells count="3">
    <mergeCell ref="C1:H1"/>
    <mergeCell ref="I9:K9"/>
    <mergeCell ref="I24:K24"/>
  </mergeCells>
  <dataValidations count="2">
    <dataValidation type="list" allowBlank="1" showInputMessage="1" showErrorMessage="1" sqref="H74:H78">
      <formula1>Classificação</formula1>
    </dataValidation>
    <dataValidation type="list" allowBlank="1" showInputMessage="1" showErrorMessage="1" sqref="H3:H68">
      <formula1>$N$3:$N$15</formula1>
    </dataValidation>
  </dataValidations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ignoredErrors>
    <ignoredError sqref="G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showGridLines="0" tabSelected="1" topLeftCell="B1" zoomScale="95" zoomScaleNormal="95" workbookViewId="0">
      <pane xSplit="1" ySplit="2" topLeftCell="C3" activePane="bottomRight" state="frozen"/>
      <selection activeCell="B1" sqref="B1"/>
      <selection pane="topRight" activeCell="C1" sqref="C1"/>
      <selection pane="bottomLeft" activeCell="B3" sqref="B3"/>
      <selection pane="bottomRight" activeCell="L14" sqref="L14"/>
    </sheetView>
  </sheetViews>
  <sheetFormatPr defaultRowHeight="12.75" x14ac:dyDescent="0.2"/>
  <cols>
    <col min="1" max="1" width="17.42578125" bestFit="1" customWidth="1"/>
    <col min="2" max="2" width="3" bestFit="1" customWidth="1"/>
    <col min="3" max="3" width="21.5703125" style="6" bestFit="1" customWidth="1"/>
    <col min="4" max="4" width="15" style="6" customWidth="1"/>
    <col min="5" max="5" width="11.85546875" style="6" customWidth="1"/>
    <col min="6" max="6" width="15.5703125" style="6" customWidth="1"/>
    <col min="7" max="7" width="14.140625" bestFit="1" customWidth="1"/>
    <col min="8" max="8" width="10.140625" bestFit="1" customWidth="1"/>
    <col min="9" max="9" width="20.85546875" style="8" bestFit="1" customWidth="1"/>
  </cols>
  <sheetData>
    <row r="1" spans="1:9" ht="14.25" x14ac:dyDescent="0.2">
      <c r="A1" s="3" t="s">
        <v>1</v>
      </c>
      <c r="B1" s="13"/>
      <c r="C1" s="64" t="s">
        <v>120</v>
      </c>
      <c r="D1" s="64"/>
      <c r="E1" s="64"/>
      <c r="F1" s="64"/>
      <c r="G1" s="64"/>
      <c r="H1" s="64"/>
      <c r="I1" s="64"/>
    </row>
    <row r="2" spans="1:9" x14ac:dyDescent="0.2">
      <c r="B2" s="13"/>
      <c r="C2" s="14" t="s">
        <v>8</v>
      </c>
      <c r="D2" s="14" t="s">
        <v>10</v>
      </c>
      <c r="E2" s="60" t="s">
        <v>137</v>
      </c>
      <c r="F2" s="14" t="s">
        <v>12</v>
      </c>
      <c r="G2" s="14" t="s">
        <v>9</v>
      </c>
      <c r="H2" s="14" t="s">
        <v>0</v>
      </c>
      <c r="I2" s="14" t="s">
        <v>11</v>
      </c>
    </row>
    <row r="3" spans="1:9" x14ac:dyDescent="0.2">
      <c r="A3" s="4" t="s">
        <v>2</v>
      </c>
      <c r="B3" s="1">
        <v>1</v>
      </c>
      <c r="C3" s="61" t="s">
        <v>127</v>
      </c>
      <c r="D3" s="57">
        <v>460</v>
      </c>
      <c r="E3" s="57">
        <v>134</v>
      </c>
      <c r="F3" s="55">
        <f>D3/E3</f>
        <v>3.4328358208955225</v>
      </c>
      <c r="G3" s="57"/>
      <c r="H3" s="56"/>
      <c r="I3" s="12"/>
    </row>
    <row r="4" spans="1:9" x14ac:dyDescent="0.2">
      <c r="A4" s="4" t="s">
        <v>7</v>
      </c>
      <c r="B4" s="1">
        <v>2</v>
      </c>
      <c r="C4" s="61" t="s">
        <v>121</v>
      </c>
      <c r="D4" s="57">
        <v>80</v>
      </c>
      <c r="E4" s="57">
        <v>44</v>
      </c>
      <c r="F4" s="55">
        <f>D4/E4</f>
        <v>1.8181818181818181</v>
      </c>
      <c r="G4" s="57"/>
      <c r="H4" s="56"/>
      <c r="I4" s="12"/>
    </row>
    <row r="5" spans="1:9" x14ac:dyDescent="0.2">
      <c r="A5" s="4" t="s">
        <v>5</v>
      </c>
      <c r="B5" s="1">
        <v>3</v>
      </c>
      <c r="C5" s="61" t="s">
        <v>122</v>
      </c>
      <c r="D5" s="57">
        <v>20</v>
      </c>
      <c r="E5" s="57">
        <v>0</v>
      </c>
      <c r="F5" s="55">
        <v>0</v>
      </c>
      <c r="G5" s="57"/>
      <c r="H5" s="56"/>
      <c r="I5" s="12"/>
    </row>
    <row r="6" spans="1:9" x14ac:dyDescent="0.2">
      <c r="B6" s="1">
        <v>4</v>
      </c>
      <c r="C6" s="61" t="s">
        <v>123</v>
      </c>
      <c r="D6" s="57">
        <v>260</v>
      </c>
      <c r="E6" s="57">
        <v>111</v>
      </c>
      <c r="F6" s="59">
        <f t="shared" ref="F6:F20" si="0">D6/E6</f>
        <v>2.3423423423423424</v>
      </c>
      <c r="G6" s="57"/>
      <c r="H6" s="56"/>
      <c r="I6" s="12"/>
    </row>
    <row r="7" spans="1:9" x14ac:dyDescent="0.2">
      <c r="B7" s="1">
        <v>5</v>
      </c>
      <c r="C7" s="61" t="s">
        <v>103</v>
      </c>
      <c r="D7" s="57">
        <v>241</v>
      </c>
      <c r="E7" s="57">
        <v>102</v>
      </c>
      <c r="F7" s="55">
        <f t="shared" si="0"/>
        <v>2.3627450980392157</v>
      </c>
      <c r="G7" s="57"/>
      <c r="H7" s="56"/>
      <c r="I7" s="12"/>
    </row>
    <row r="8" spans="1:9" x14ac:dyDescent="0.2">
      <c r="B8" s="1">
        <v>6</v>
      </c>
      <c r="C8" s="61" t="s">
        <v>104</v>
      </c>
      <c r="D8" s="57">
        <v>393</v>
      </c>
      <c r="E8" s="57">
        <v>111</v>
      </c>
      <c r="F8" s="55">
        <f t="shared" si="0"/>
        <v>3.5405405405405403</v>
      </c>
      <c r="G8" s="57"/>
      <c r="H8" s="56"/>
      <c r="I8" s="12"/>
    </row>
    <row r="9" spans="1:9" x14ac:dyDescent="0.2">
      <c r="B9" s="1">
        <v>7</v>
      </c>
      <c r="C9" s="61" t="s">
        <v>105</v>
      </c>
      <c r="D9" s="57">
        <v>304</v>
      </c>
      <c r="E9" s="57">
        <v>85</v>
      </c>
      <c r="F9" s="55">
        <f t="shared" si="0"/>
        <v>3.5764705882352943</v>
      </c>
      <c r="G9" s="57"/>
      <c r="H9" s="56"/>
      <c r="I9" s="12"/>
    </row>
    <row r="10" spans="1:9" x14ac:dyDescent="0.2">
      <c r="B10" s="1">
        <v>8</v>
      </c>
      <c r="C10" s="61" t="s">
        <v>128</v>
      </c>
      <c r="D10" s="57">
        <v>1033</v>
      </c>
      <c r="E10" s="57">
        <v>228</v>
      </c>
      <c r="F10" s="55">
        <f t="shared" si="0"/>
        <v>4.5307017543859649</v>
      </c>
      <c r="G10" s="57"/>
      <c r="H10" s="56"/>
      <c r="I10" s="12"/>
    </row>
    <row r="11" spans="1:9" x14ac:dyDescent="0.2">
      <c r="B11" s="1">
        <v>9</v>
      </c>
      <c r="C11" s="61" t="s">
        <v>106</v>
      </c>
      <c r="D11" s="57">
        <v>9949</v>
      </c>
      <c r="E11" s="57">
        <v>152</v>
      </c>
      <c r="F11" s="59">
        <f t="shared" si="0"/>
        <v>65.453947368421055</v>
      </c>
      <c r="G11" s="57"/>
      <c r="H11" s="56"/>
      <c r="I11" s="12"/>
    </row>
    <row r="12" spans="1:9" x14ac:dyDescent="0.2">
      <c r="B12" s="1">
        <v>10</v>
      </c>
      <c r="C12" s="61" t="s">
        <v>107</v>
      </c>
      <c r="D12" s="57">
        <v>23377</v>
      </c>
      <c r="E12" s="57">
        <v>564</v>
      </c>
      <c r="F12" s="55">
        <f t="shared" si="0"/>
        <v>41.448581560283685</v>
      </c>
      <c r="G12" s="57"/>
      <c r="H12" s="56"/>
      <c r="I12" s="12"/>
    </row>
    <row r="13" spans="1:9" x14ac:dyDescent="0.2">
      <c r="B13" s="1">
        <v>11</v>
      </c>
      <c r="C13" s="61" t="s">
        <v>108</v>
      </c>
      <c r="D13" s="57">
        <v>3431</v>
      </c>
      <c r="E13" s="57">
        <v>187</v>
      </c>
      <c r="F13" s="55">
        <f t="shared" si="0"/>
        <v>18.347593582887701</v>
      </c>
      <c r="G13" s="57"/>
      <c r="H13" s="56"/>
      <c r="I13" s="7"/>
    </row>
    <row r="14" spans="1:9" x14ac:dyDescent="0.2">
      <c r="B14" s="1">
        <v>12</v>
      </c>
      <c r="C14" s="61" t="s">
        <v>109</v>
      </c>
      <c r="D14" s="57">
        <v>360</v>
      </c>
      <c r="E14" s="57">
        <v>42</v>
      </c>
      <c r="F14" s="55">
        <f t="shared" si="0"/>
        <v>8.5714285714285712</v>
      </c>
      <c r="G14" s="57"/>
      <c r="H14" s="56"/>
      <c r="I14" s="7"/>
    </row>
    <row r="15" spans="1:9" x14ac:dyDescent="0.2">
      <c r="B15" s="1">
        <v>13</v>
      </c>
      <c r="C15" s="61" t="s">
        <v>110</v>
      </c>
      <c r="D15" s="57">
        <v>227</v>
      </c>
      <c r="E15" s="57">
        <v>21</v>
      </c>
      <c r="F15" s="59">
        <f t="shared" si="0"/>
        <v>10.80952380952381</v>
      </c>
      <c r="G15" s="57"/>
      <c r="H15" s="56"/>
      <c r="I15" s="7"/>
    </row>
    <row r="16" spans="1:9" x14ac:dyDescent="0.2">
      <c r="B16" s="1">
        <v>14</v>
      </c>
      <c r="C16" s="61" t="s">
        <v>111</v>
      </c>
      <c r="D16" s="58">
        <v>4973</v>
      </c>
      <c r="E16" s="58">
        <v>36</v>
      </c>
      <c r="F16" s="59">
        <f t="shared" si="0"/>
        <v>138.13888888888889</v>
      </c>
      <c r="G16" s="58"/>
      <c r="H16" s="56"/>
      <c r="I16" s="15"/>
    </row>
    <row r="17" spans="2:9" x14ac:dyDescent="0.2">
      <c r="B17" s="1">
        <v>15</v>
      </c>
      <c r="C17" s="61" t="s">
        <v>112</v>
      </c>
      <c r="D17" s="57">
        <v>4448</v>
      </c>
      <c r="E17" s="57">
        <v>314</v>
      </c>
      <c r="F17" s="55">
        <f t="shared" si="0"/>
        <v>14.165605095541402</v>
      </c>
      <c r="G17" s="57"/>
      <c r="H17" s="56"/>
      <c r="I17" s="7"/>
    </row>
    <row r="18" spans="2:9" x14ac:dyDescent="0.2">
      <c r="B18" s="1">
        <v>16</v>
      </c>
      <c r="C18" s="62" t="s">
        <v>113</v>
      </c>
      <c r="D18" s="57">
        <v>3598</v>
      </c>
      <c r="E18" s="57">
        <v>264</v>
      </c>
      <c r="F18" s="55">
        <f t="shared" si="0"/>
        <v>13.628787878787879</v>
      </c>
      <c r="G18" s="57"/>
      <c r="H18" s="56"/>
      <c r="I18" s="7"/>
    </row>
    <row r="19" spans="2:9" x14ac:dyDescent="0.2">
      <c r="B19" s="1">
        <v>17</v>
      </c>
      <c r="C19" s="62" t="s">
        <v>114</v>
      </c>
      <c r="D19" s="57">
        <v>200</v>
      </c>
      <c r="E19" s="57">
        <v>49</v>
      </c>
      <c r="F19" s="55">
        <f t="shared" si="0"/>
        <v>4.0816326530612246</v>
      </c>
      <c r="G19" s="57"/>
      <c r="H19" s="56"/>
      <c r="I19" s="7"/>
    </row>
    <row r="20" spans="2:9" x14ac:dyDescent="0.2">
      <c r="B20" s="1">
        <v>18</v>
      </c>
      <c r="C20" s="62" t="s">
        <v>115</v>
      </c>
      <c r="D20" s="1">
        <v>1039</v>
      </c>
      <c r="E20" s="1">
        <v>101</v>
      </c>
      <c r="F20" s="55">
        <f t="shared" si="0"/>
        <v>10.287128712871286</v>
      </c>
      <c r="G20" s="1"/>
      <c r="H20" s="16"/>
      <c r="I20" s="7"/>
    </row>
    <row r="21" spans="2:9" x14ac:dyDescent="0.2">
      <c r="B21" s="1">
        <v>19</v>
      </c>
      <c r="C21" s="62" t="s">
        <v>116</v>
      </c>
      <c r="D21" s="1">
        <v>1217</v>
      </c>
      <c r="E21" s="1">
        <v>128</v>
      </c>
      <c r="F21" s="55">
        <f t="shared" ref="F21:F22" si="1">D21/E21</f>
        <v>9.5078125</v>
      </c>
      <c r="G21" s="1"/>
      <c r="H21" s="16"/>
      <c r="I21" s="7"/>
    </row>
    <row r="22" spans="2:9" x14ac:dyDescent="0.2">
      <c r="B22" s="1">
        <v>20</v>
      </c>
      <c r="C22" s="62" t="s">
        <v>117</v>
      </c>
      <c r="D22" s="1">
        <v>973</v>
      </c>
      <c r="E22" s="1">
        <v>117</v>
      </c>
      <c r="F22" s="55">
        <f t="shared" si="1"/>
        <v>8.3162393162393169</v>
      </c>
      <c r="G22" s="1"/>
      <c r="H22" s="16"/>
      <c r="I22" s="7"/>
    </row>
    <row r="23" spans="2:9" x14ac:dyDescent="0.2">
      <c r="B23" s="1">
        <v>21</v>
      </c>
      <c r="C23" s="62" t="s">
        <v>129</v>
      </c>
      <c r="D23" s="1">
        <v>70.42</v>
      </c>
      <c r="E23" s="7"/>
      <c r="F23" s="2"/>
      <c r="G23" s="12">
        <v>20912</v>
      </c>
      <c r="H23" s="63">
        <f t="shared" ref="H23:H35" si="2">G23/D23</f>
        <v>296.96109059926158</v>
      </c>
      <c r="I23" s="7"/>
    </row>
    <row r="24" spans="2:9" x14ac:dyDescent="0.2">
      <c r="B24" s="1">
        <v>22</v>
      </c>
      <c r="C24" s="62" t="s">
        <v>130</v>
      </c>
      <c r="D24" s="1">
        <v>8.25</v>
      </c>
      <c r="E24" s="7"/>
      <c r="F24" s="2"/>
      <c r="G24" s="12">
        <v>299</v>
      </c>
      <c r="H24" s="16">
        <f t="shared" si="2"/>
        <v>36.242424242424242</v>
      </c>
      <c r="I24" s="7"/>
    </row>
    <row r="25" spans="2:9" x14ac:dyDescent="0.2">
      <c r="B25" s="1">
        <v>23</v>
      </c>
      <c r="C25" s="62" t="s">
        <v>131</v>
      </c>
      <c r="D25" s="1">
        <v>54.08</v>
      </c>
      <c r="E25" s="7"/>
      <c r="F25" s="2"/>
      <c r="G25" s="12">
        <v>13978</v>
      </c>
      <c r="H25" s="63">
        <f t="shared" si="2"/>
        <v>258.46893491124263</v>
      </c>
      <c r="I25" s="7"/>
    </row>
    <row r="26" spans="2:9" x14ac:dyDescent="0.2">
      <c r="B26" s="1">
        <v>24</v>
      </c>
      <c r="C26" s="19" t="s">
        <v>132</v>
      </c>
      <c r="D26" s="1">
        <v>45.96</v>
      </c>
      <c r="E26" s="7"/>
      <c r="F26" s="2"/>
      <c r="G26" s="12">
        <v>12248</v>
      </c>
      <c r="H26" s="63">
        <f t="shared" si="2"/>
        <v>266.49260226283724</v>
      </c>
      <c r="I26" s="7"/>
    </row>
    <row r="27" spans="2:9" x14ac:dyDescent="0.2">
      <c r="B27" s="1">
        <v>25</v>
      </c>
      <c r="C27" s="19" t="s">
        <v>133</v>
      </c>
      <c r="D27" s="1">
        <v>56</v>
      </c>
      <c r="E27" s="7"/>
      <c r="F27" s="2"/>
      <c r="G27" s="12">
        <v>0</v>
      </c>
      <c r="H27" s="16">
        <f t="shared" si="2"/>
        <v>0</v>
      </c>
      <c r="I27" s="7"/>
    </row>
    <row r="28" spans="2:9" x14ac:dyDescent="0.2">
      <c r="B28" s="1">
        <v>26</v>
      </c>
      <c r="C28" s="19" t="s">
        <v>118</v>
      </c>
      <c r="D28" s="1">
        <v>490</v>
      </c>
      <c r="E28" s="7"/>
      <c r="F28" s="2"/>
      <c r="G28" s="1">
        <v>3192</v>
      </c>
      <c r="H28" s="16">
        <f t="shared" si="2"/>
        <v>6.5142857142857142</v>
      </c>
      <c r="I28" s="7"/>
    </row>
    <row r="29" spans="2:9" x14ac:dyDescent="0.2">
      <c r="B29" s="1">
        <v>27</v>
      </c>
      <c r="C29" s="19" t="s">
        <v>124</v>
      </c>
      <c r="D29" s="1">
        <v>340.56</v>
      </c>
      <c r="E29" s="7"/>
      <c r="F29" s="2"/>
      <c r="G29" s="1">
        <v>3823</v>
      </c>
      <c r="H29" s="16">
        <f t="shared" si="2"/>
        <v>11.225628376791168</v>
      </c>
      <c r="I29" s="7"/>
    </row>
    <row r="30" spans="2:9" x14ac:dyDescent="0.2">
      <c r="B30" s="1">
        <v>28</v>
      </c>
      <c r="C30" s="19" t="s">
        <v>125</v>
      </c>
      <c r="D30" s="1">
        <v>316.85000000000002</v>
      </c>
      <c r="E30" s="7"/>
      <c r="F30" s="2"/>
      <c r="G30" s="1">
        <v>3857</v>
      </c>
      <c r="H30" s="16">
        <f t="shared" si="2"/>
        <v>12.172952501183524</v>
      </c>
      <c r="I30" s="7"/>
    </row>
    <row r="31" spans="2:9" x14ac:dyDescent="0.2">
      <c r="B31" s="1">
        <v>29</v>
      </c>
      <c r="C31" s="19" t="s">
        <v>126</v>
      </c>
      <c r="D31" s="1">
        <v>48</v>
      </c>
      <c r="E31" s="7"/>
      <c r="F31" s="2"/>
      <c r="G31" s="1">
        <v>848</v>
      </c>
      <c r="H31" s="16">
        <f t="shared" si="2"/>
        <v>17.666666666666668</v>
      </c>
      <c r="I31" s="7"/>
    </row>
    <row r="32" spans="2:9" x14ac:dyDescent="0.2">
      <c r="B32" s="1">
        <v>30</v>
      </c>
      <c r="C32" s="19" t="s">
        <v>134</v>
      </c>
      <c r="D32" s="1">
        <v>382.43</v>
      </c>
      <c r="E32" s="7"/>
      <c r="F32" s="2"/>
      <c r="G32" s="1">
        <v>3220</v>
      </c>
      <c r="H32" s="16">
        <f t="shared" si="2"/>
        <v>8.4198415396281678</v>
      </c>
      <c r="I32" s="7"/>
    </row>
    <row r="33" spans="2:9" x14ac:dyDescent="0.2">
      <c r="B33" s="1">
        <v>31</v>
      </c>
      <c r="C33" s="19" t="s">
        <v>119</v>
      </c>
      <c r="D33" s="1">
        <v>383.73</v>
      </c>
      <c r="E33" s="7"/>
      <c r="F33" s="2"/>
      <c r="G33" s="1">
        <v>3848</v>
      </c>
      <c r="H33" s="16">
        <f t="shared" si="2"/>
        <v>10.027884189404007</v>
      </c>
      <c r="I33" s="7"/>
    </row>
    <row r="34" spans="2:9" x14ac:dyDescent="0.2">
      <c r="B34" s="1">
        <v>32</v>
      </c>
      <c r="C34" s="19" t="s">
        <v>135</v>
      </c>
      <c r="D34" s="1">
        <v>145.4</v>
      </c>
      <c r="E34" s="7"/>
      <c r="F34" s="2"/>
      <c r="G34" s="1">
        <v>1456</v>
      </c>
      <c r="H34" s="16">
        <f t="shared" si="2"/>
        <v>10.013755158184319</v>
      </c>
      <c r="I34" s="7"/>
    </row>
    <row r="35" spans="2:9" x14ac:dyDescent="0.2">
      <c r="B35" s="1">
        <v>33</v>
      </c>
      <c r="C35" s="19" t="s">
        <v>136</v>
      </c>
      <c r="D35" s="1">
        <v>108.98</v>
      </c>
      <c r="E35" s="7"/>
      <c r="F35" s="2"/>
      <c r="G35" s="1">
        <v>1160</v>
      </c>
      <c r="H35" s="16">
        <f t="shared" si="2"/>
        <v>10.644154890805652</v>
      </c>
      <c r="I35" s="7"/>
    </row>
    <row r="36" spans="2:9" x14ac:dyDescent="0.2">
      <c r="B36" s="1">
        <v>34</v>
      </c>
      <c r="C36" s="19"/>
      <c r="D36" s="1"/>
      <c r="E36" s="7"/>
      <c r="F36" s="2"/>
      <c r="G36" s="1"/>
      <c r="H36" s="16"/>
      <c r="I36" s="7"/>
    </row>
  </sheetData>
  <autoFilter ref="C2:I15">
    <sortState ref="C3:O84">
      <sortCondition ref="I2:I84"/>
    </sortState>
  </autoFilter>
  <mergeCells count="1">
    <mergeCell ref="C1:I1"/>
  </mergeCells>
  <dataValidations count="1">
    <dataValidation type="list" allowBlank="1" showInputMessage="1" showErrorMessage="1" sqref="I3:I15">
      <formula1>Classificação</formula1>
    </dataValidation>
  </dataValidations>
  <pageMargins left="0.78740157480314965" right="0.78740157480314965" top="0.98425196850393704" bottom="0.98425196850393704" header="0.51181102362204722" footer="0.51181102362204722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Consumo Rodoviario</vt:lpstr>
      <vt:lpstr>Consumo Portuario</vt:lpstr>
      <vt:lpstr>Gráf1</vt:lpstr>
      <vt:lpstr>'Consumo Portuario'!Classificação</vt:lpstr>
      <vt:lpstr>Classificação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Castro Albuquerque</dc:creator>
  <cp:lastModifiedBy>wellington</cp:lastModifiedBy>
  <cp:lastPrinted>2021-12-16T17:53:47Z</cp:lastPrinted>
  <dcterms:created xsi:type="dcterms:W3CDTF">2017-06-23T14:04:44Z</dcterms:created>
  <dcterms:modified xsi:type="dcterms:W3CDTF">2021-12-16T17:57:17Z</dcterms:modified>
</cp:coreProperties>
</file>