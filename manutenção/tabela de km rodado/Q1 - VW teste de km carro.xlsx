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manutenção\tabela de km rodado\"/>
    </mc:Choice>
  </mc:AlternateContent>
  <bookViews>
    <workbookView xWindow="0" yWindow="0" windowWidth="20490" windowHeight="7635"/>
  </bookViews>
  <sheets>
    <sheet name="1. Q1 - VW" sheetId="1" r:id="rId1"/>
  </sheets>
  <definedNames>
    <definedName name="_xlnm.Print_Titles" localSheetId="0">'1. Q1 - VW'!$A:$C,'1. Q1 - VW'!$4:$4</definedName>
  </definedNames>
  <calcPr calcId="152511"/>
</workbook>
</file>

<file path=xl/calcChain.xml><?xml version="1.0" encoding="utf-8"?>
<calcChain xmlns="http://schemas.openxmlformats.org/spreadsheetml/2006/main">
  <c r="R53" i="1" l="1"/>
  <c r="R54" i="1"/>
  <c r="R55" i="1"/>
  <c r="R56" i="1"/>
  <c r="R58" i="1"/>
  <c r="R57" i="1"/>
  <c r="R6" i="1"/>
  <c r="R7" i="1"/>
  <c r="R8" i="1"/>
  <c r="R9" i="1"/>
  <c r="R10" i="1"/>
  <c r="R5" i="1"/>
</calcChain>
</file>

<file path=xl/sharedStrings.xml><?xml version="1.0" encoding="utf-8"?>
<sst xmlns="http://schemas.openxmlformats.org/spreadsheetml/2006/main" count="163" uniqueCount="49">
  <si>
    <t>Applied filters:</t>
  </si>
  <si>
    <t>Descrição da família IN (VEÍCULO PESADO)</t>
  </si>
  <si>
    <t>Descrição do fabricante IN (VOLKSWAGEN)</t>
  </si>
  <si>
    <t>Descrição do modelo</t>
  </si>
  <si>
    <t>Descrição do bem</t>
  </si>
  <si>
    <t>Mês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</si>
  <si>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</si>
  <si>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</si>
  <si>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</si>
  <si>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</si>
  <si>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</si>
  <si>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</si>
  <si>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</si>
  <si>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</si>
  <si>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</si>
  <si>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</si>
  <si>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</si>
  <si>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</si>
  <si>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</t>
  </si>
  <si>
    <t>CONSTTELATION 25.360</t>
  </si>
  <si>
    <t>CM3008</t>
  </si>
  <si>
    <t>Abastecimento (R$)</t>
  </si>
  <si>
    <t>Litros (L)</t>
  </si>
  <si>
    <t>Manutenção (R$)</t>
  </si>
  <si>
    <t>Pneus (R$)</t>
  </si>
  <si>
    <t>km rodado</t>
  </si>
  <si>
    <t>CPK geral</t>
  </si>
  <si>
    <t>CM3009</t>
  </si>
  <si>
    <t>CM3010</t>
  </si>
  <si>
    <t>CM3011</t>
  </si>
  <si>
    <t>CM3012</t>
  </si>
  <si>
    <t>CM3013</t>
  </si>
  <si>
    <t>CM3014</t>
  </si>
  <si>
    <t>CM3015</t>
  </si>
  <si>
    <t>MAN TGX 29440</t>
  </si>
  <si>
    <t>CM4000</t>
  </si>
  <si>
    <t>CM4001</t>
  </si>
  <si>
    <t>CM4002</t>
  </si>
  <si>
    <t>CM4003</t>
  </si>
  <si>
    <t>VW 18.310</t>
  </si>
  <si>
    <t>CM3000</t>
  </si>
  <si>
    <t>CM3001</t>
  </si>
  <si>
    <t>CM3002</t>
  </si>
  <si>
    <t>CM3003</t>
  </si>
  <si>
    <t>CM3004</t>
  </si>
  <si>
    <t>CM3005</t>
  </si>
  <si>
    <t>VW 19.320</t>
  </si>
  <si>
    <t>CM3006</t>
  </si>
  <si>
    <t>CM3007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</si>
</sst>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.00;#,###.0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4" fillId="3" borderId="7" xfId="0" applyNumberFormat="1" applyFont="1" applyFill="1" applyBorder="1" applyAlignment="1">
      <alignment horizontal="left" vertical="top"/>
    </xf>
    <xf numFmtId="164" fontId="1" fillId="4" borderId="6" xfId="0" applyNumberFormat="1" applyFont="1" applyFill="1" applyBorder="1" applyAlignment="1">
      <alignment horizontal="right" vertical="center"/>
    </xf>
    <xf numFmtId="2" fontId="1" fillId="4" borderId="6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2" fontId="1" fillId="2" borderId="6" xfId="0" applyNumberFormat="1" applyFont="1" applyFill="1" applyBorder="1" applyAlignment="1">
      <alignment horizontal="right" vertical="center"/>
    </xf>
    <xf numFmtId="4" fontId="1" fillId="4" borderId="6" xfId="0" applyNumberFormat="1" applyFont="1" applyFill="1" applyBorder="1" applyAlignment="1">
      <alignment horizontal="right" vertical="center"/>
    </xf>
    <xf numFmtId="0" fontId="1" fillId="4" borderId="6" xfId="0" applyNumberFormat="1" applyFont="1" applyFill="1" applyBorder="1" applyAlignment="1">
      <alignment horizontal="right" vertical="center"/>
    </xf>
    <xf numFmtId="0" fontId="1" fillId="2" borderId="6" xfId="0" applyNumberFormat="1" applyFont="1" applyFill="1" applyBorder="1" applyAlignment="1">
      <alignment horizontal="right" vertical="center"/>
    </xf>
    <xf numFmtId="4" fontId="1" fillId="2" borderId="6" xfId="0" applyNumberFormat="1" applyFont="1" applyFill="1" applyBorder="1" applyAlignment="1">
      <alignment horizontal="right" vertical="center"/>
    </xf>
    <xf numFmtId="49" fontId="3" fillId="2" borderId="6" xfId="0" applyNumberFormat="1" applyFont="1" applyFill="1" applyBorder="1" applyAlignment="1">
      <alignment horizontal="left" vertical="top"/>
    </xf>
    <xf numFmtId="49" fontId="3" fillId="2" borderId="5" xfId="0" applyNumberFormat="1" applyFont="1" applyFill="1" applyBorder="1" applyAlignment="1">
      <alignment horizontal="left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4"/>
  <sheetViews>
    <sheetView tabSelected="1" topLeftCell="A50" workbookViewId="0">
      <selection activeCell="R53" sqref="R53"/>
    </sheetView>
  </sheetViews>
  <sheetFormatPr defaultRowHeight="15" x14ac:dyDescent="0.25"/>
  <cols>
    <col min="1" max="3" width="17.5703125" customWidth="1"/>
    <col min="4" max="4" width="16.42578125" customWidth="1"/>
    <col min="5" max="15" width="16.42578125" hidden="1" customWidth="1"/>
    <col min="16" max="16" width="16.42578125" customWidth="1"/>
    <col min="18" max="18" width="10.140625" bestFit="1" customWidth="1"/>
  </cols>
  <sheetData>
    <row r="1" spans="1:18" x14ac:dyDescent="0.25">
      <c r="A1" s="1" t="s">
        <v>0</v>
      </c>
      <c r="B1" s="1" t="s">
        <v>1</v>
      </c>
    </row>
    <row r="2" spans="1:18" x14ac:dyDescent="0.25">
      <c r="B2" s="1" t="s">
        <v>2</v>
      </c>
    </row>
    <row r="4" spans="1:18" x14ac:dyDescent="0.25">
      <c r="A4" s="2" t="s">
        <v>3</v>
      </c>
      <c r="B4" s="3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6" t="s">
        <v>18</v>
      </c>
    </row>
    <row r="5" spans="1:18" x14ac:dyDescent="0.25">
      <c r="A5" s="17" t="s">
        <v>19</v>
      </c>
      <c r="B5" s="16" t="s">
        <v>20</v>
      </c>
      <c r="C5" s="7" t="s">
        <v>21</v>
      </c>
      <c r="D5" s="8">
        <v>4544.67</v>
      </c>
      <c r="E5" s="8">
        <v>2259.4499999999998</v>
      </c>
      <c r="F5" s="8">
        <v>2789.92</v>
      </c>
      <c r="G5" s="8">
        <v>3851.24</v>
      </c>
      <c r="H5" s="8">
        <v>6666.8280000000004</v>
      </c>
      <c r="I5" s="8">
        <v>3517.53</v>
      </c>
      <c r="J5" s="8">
        <v>3293.02</v>
      </c>
      <c r="K5" s="8">
        <v>3183.47</v>
      </c>
      <c r="L5" s="8">
        <v>4343.3900000000003</v>
      </c>
      <c r="M5" s="8">
        <v>7031.56</v>
      </c>
      <c r="N5" s="9">
        <v>0</v>
      </c>
      <c r="O5" s="9">
        <v>0</v>
      </c>
      <c r="P5" s="8">
        <v>41481.078000000001</v>
      </c>
      <c r="R5" s="18">
        <f>P5+P11+P17+P23+P29+P35+P41+P47</f>
        <v>345515.63010000001</v>
      </c>
    </row>
    <row r="6" spans="1:18" x14ac:dyDescent="0.25">
      <c r="A6" s="17"/>
      <c r="B6" s="16"/>
      <c r="C6" s="7" t="s">
        <v>22</v>
      </c>
      <c r="D6" s="10">
        <v>1859</v>
      </c>
      <c r="E6" s="10">
        <v>887</v>
      </c>
      <c r="F6" s="10">
        <v>1074</v>
      </c>
      <c r="G6" s="10">
        <v>1453</v>
      </c>
      <c r="H6" s="10">
        <v>1886.18</v>
      </c>
      <c r="I6" s="10">
        <v>1222</v>
      </c>
      <c r="J6" s="10">
        <v>1125</v>
      </c>
      <c r="K6" s="10">
        <v>1062</v>
      </c>
      <c r="L6" s="10">
        <v>1167</v>
      </c>
      <c r="M6" s="10">
        <v>2082</v>
      </c>
      <c r="N6" s="11">
        <v>0</v>
      </c>
      <c r="O6" s="11">
        <v>0</v>
      </c>
      <c r="P6" s="10">
        <v>13817.18</v>
      </c>
      <c r="R6" s="18">
        <f t="shared" ref="R6:R10" si="0">P6+P12+P18+P24+P30+P36+P42+P48</f>
        <v>114306.59999999999</v>
      </c>
    </row>
    <row r="7" spans="1:18" x14ac:dyDescent="0.25">
      <c r="A7" s="17"/>
      <c r="B7" s="16"/>
      <c r="C7" s="7" t="s">
        <v>23</v>
      </c>
      <c r="D7" s="8">
        <v>127.24</v>
      </c>
      <c r="E7" s="8">
        <v>1261.69</v>
      </c>
      <c r="F7" s="8">
        <v>50.35</v>
      </c>
      <c r="G7" s="8">
        <v>0.37</v>
      </c>
      <c r="H7" s="8">
        <v>33.83</v>
      </c>
      <c r="I7" s="8">
        <v>0</v>
      </c>
      <c r="J7" s="8">
        <v>163</v>
      </c>
      <c r="K7" s="8">
        <v>275.57</v>
      </c>
      <c r="L7" s="8">
        <v>342.44</v>
      </c>
      <c r="M7" s="8">
        <v>3.92</v>
      </c>
      <c r="N7" s="8">
        <v>0.01</v>
      </c>
      <c r="O7" s="9">
        <v>0</v>
      </c>
      <c r="P7" s="8">
        <v>2258.42</v>
      </c>
      <c r="R7" s="18">
        <f t="shared" si="0"/>
        <v>69136.89</v>
      </c>
    </row>
    <row r="8" spans="1:18" x14ac:dyDescent="0.25">
      <c r="A8" s="17"/>
      <c r="B8" s="16"/>
      <c r="C8" s="7" t="s">
        <v>24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R8" s="18">
        <f t="shared" si="0"/>
        <v>3356.1</v>
      </c>
    </row>
    <row r="9" spans="1:18" x14ac:dyDescent="0.25">
      <c r="A9" s="17"/>
      <c r="B9" s="16"/>
      <c r="C9" s="7" t="s">
        <v>25</v>
      </c>
      <c r="D9" s="12">
        <v>8236</v>
      </c>
      <c r="E9" s="12">
        <v>4740</v>
      </c>
      <c r="F9" s="12">
        <v>5822</v>
      </c>
      <c r="G9" s="12">
        <v>7692</v>
      </c>
      <c r="H9" s="12">
        <v>5272</v>
      </c>
      <c r="I9" s="12">
        <v>11600</v>
      </c>
      <c r="J9" s="12">
        <v>5672</v>
      </c>
      <c r="K9" s="12">
        <v>4996</v>
      </c>
      <c r="L9" s="12">
        <v>3608</v>
      </c>
      <c r="M9" s="12">
        <v>14296</v>
      </c>
      <c r="N9" s="13"/>
      <c r="O9" s="13"/>
      <c r="P9" s="12">
        <v>71934</v>
      </c>
      <c r="R9" s="18">
        <f t="shared" si="0"/>
        <v>569900</v>
      </c>
    </row>
    <row r="10" spans="1:18" x14ac:dyDescent="0.25">
      <c r="A10" s="17"/>
      <c r="B10" s="16"/>
      <c r="C10" s="7" t="s">
        <v>26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R10" s="18">
        <f t="shared" si="0"/>
        <v>4.0339513319921361</v>
      </c>
    </row>
    <row r="11" spans="1:18" x14ac:dyDescent="0.25">
      <c r="A11" s="17"/>
      <c r="B11" s="16" t="s">
        <v>27</v>
      </c>
      <c r="C11" s="7" t="s">
        <v>21</v>
      </c>
      <c r="D11" s="8">
        <v>1517.09</v>
      </c>
      <c r="E11" s="8">
        <v>2254.15</v>
      </c>
      <c r="F11" s="8">
        <v>7599.37</v>
      </c>
      <c r="G11" s="8">
        <v>2980.98</v>
      </c>
      <c r="H11" s="8">
        <v>4271.43</v>
      </c>
      <c r="I11" s="8">
        <v>5695.66</v>
      </c>
      <c r="J11" s="8">
        <v>4101.51</v>
      </c>
      <c r="K11" s="8">
        <v>3990.22</v>
      </c>
      <c r="L11" s="8">
        <v>6174.27</v>
      </c>
      <c r="M11" s="8">
        <v>7950.4472999999998</v>
      </c>
      <c r="N11" s="9">
        <v>0</v>
      </c>
      <c r="O11" s="9">
        <v>0</v>
      </c>
      <c r="P11" s="8">
        <v>46535.1273</v>
      </c>
    </row>
    <row r="12" spans="1:18" x14ac:dyDescent="0.25">
      <c r="A12" s="17"/>
      <c r="B12" s="16"/>
      <c r="C12" s="7" t="s">
        <v>22</v>
      </c>
      <c r="D12" s="10">
        <v>617</v>
      </c>
      <c r="E12" s="10">
        <v>881</v>
      </c>
      <c r="F12" s="10">
        <v>2256</v>
      </c>
      <c r="G12" s="10">
        <v>1108</v>
      </c>
      <c r="H12" s="10">
        <v>1511</v>
      </c>
      <c r="I12" s="10">
        <v>1984</v>
      </c>
      <c r="J12" s="10">
        <v>1399</v>
      </c>
      <c r="K12" s="10">
        <v>1327</v>
      </c>
      <c r="L12" s="10">
        <v>1739</v>
      </c>
      <c r="M12" s="10">
        <v>2137.37</v>
      </c>
      <c r="N12" s="11">
        <v>0</v>
      </c>
      <c r="O12" s="11">
        <v>0</v>
      </c>
      <c r="P12" s="10">
        <v>14959.37</v>
      </c>
    </row>
    <row r="13" spans="1:18" x14ac:dyDescent="0.25">
      <c r="A13" s="17"/>
      <c r="B13" s="16"/>
      <c r="C13" s="7" t="s">
        <v>23</v>
      </c>
      <c r="D13" s="8">
        <v>49.28</v>
      </c>
      <c r="E13" s="8">
        <v>1371.87</v>
      </c>
      <c r="F13" s="8">
        <v>68</v>
      </c>
      <c r="G13" s="8">
        <v>1061.08</v>
      </c>
      <c r="H13" s="8">
        <v>0</v>
      </c>
      <c r="I13" s="8">
        <v>0</v>
      </c>
      <c r="J13" s="8">
        <v>0</v>
      </c>
      <c r="K13" s="8">
        <v>6.5</v>
      </c>
      <c r="L13" s="8">
        <v>0</v>
      </c>
      <c r="M13" s="8">
        <v>0</v>
      </c>
      <c r="N13" s="8">
        <v>6.48</v>
      </c>
      <c r="O13" s="8">
        <v>0</v>
      </c>
      <c r="P13" s="8">
        <v>2563.21</v>
      </c>
    </row>
    <row r="14" spans="1:18" x14ac:dyDescent="0.25">
      <c r="A14" s="17"/>
      <c r="B14" s="16"/>
      <c r="C14" s="7" t="s">
        <v>24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0">
        <v>535.41999999999996</v>
      </c>
      <c r="K14" s="11">
        <v>0</v>
      </c>
      <c r="L14" s="11">
        <v>0</v>
      </c>
      <c r="M14" s="11">
        <v>0</v>
      </c>
      <c r="N14" s="11">
        <v>0</v>
      </c>
      <c r="O14" s="10">
        <v>90.75</v>
      </c>
      <c r="P14" s="10">
        <v>626.16999999999996</v>
      </c>
    </row>
    <row r="15" spans="1:18" x14ac:dyDescent="0.25">
      <c r="A15" s="17"/>
      <c r="B15" s="16"/>
      <c r="C15" s="7" t="s">
        <v>25</v>
      </c>
      <c r="D15" s="12">
        <v>957</v>
      </c>
      <c r="E15" s="12">
        <v>4659</v>
      </c>
      <c r="F15" s="12">
        <v>12430</v>
      </c>
      <c r="G15" s="12">
        <v>5634</v>
      </c>
      <c r="H15" s="12">
        <v>6881</v>
      </c>
      <c r="I15" s="12">
        <v>10637</v>
      </c>
      <c r="J15" s="12">
        <v>7162</v>
      </c>
      <c r="K15" s="12">
        <v>6478</v>
      </c>
      <c r="L15" s="12">
        <v>7058</v>
      </c>
      <c r="M15" s="12">
        <v>12204</v>
      </c>
      <c r="N15" s="12">
        <v>0</v>
      </c>
      <c r="O15" s="13"/>
      <c r="P15" s="12">
        <v>74100</v>
      </c>
    </row>
    <row r="16" spans="1:18" x14ac:dyDescent="0.25">
      <c r="A16" s="17"/>
      <c r="B16" s="16"/>
      <c r="C16" s="7" t="s">
        <v>26</v>
      </c>
      <c r="D16" s="14"/>
      <c r="E16" s="14"/>
      <c r="F16" s="14"/>
      <c r="G16" s="14"/>
      <c r="H16" s="14"/>
      <c r="I16" s="14"/>
      <c r="J16" s="15">
        <v>0.64743507400167599</v>
      </c>
      <c r="K16" s="14"/>
      <c r="L16" s="14"/>
      <c r="M16" s="14"/>
      <c r="N16" s="14"/>
      <c r="O16" s="14"/>
      <c r="P16" s="15">
        <v>0.64743507400167599</v>
      </c>
    </row>
    <row r="17" spans="1:16" x14ac:dyDescent="0.25">
      <c r="A17" s="17"/>
      <c r="B17" s="16" t="s">
        <v>28</v>
      </c>
      <c r="C17" s="7" t="s">
        <v>21</v>
      </c>
      <c r="D17" s="8">
        <v>6027.3895000000002</v>
      </c>
      <c r="E17" s="8">
        <v>5004.1000000000004</v>
      </c>
      <c r="F17" s="8">
        <v>4231.88</v>
      </c>
      <c r="G17" s="8">
        <v>9098.7199999999993</v>
      </c>
      <c r="H17" s="8">
        <v>3489.28</v>
      </c>
      <c r="I17" s="8">
        <v>7121.64</v>
      </c>
      <c r="J17" s="8">
        <v>3953.03</v>
      </c>
      <c r="K17" s="8">
        <v>4246.5600000000004</v>
      </c>
      <c r="L17" s="8">
        <v>3638.85</v>
      </c>
      <c r="M17" s="8">
        <v>7809.45</v>
      </c>
      <c r="N17" s="9">
        <v>0</v>
      </c>
      <c r="O17" s="9">
        <v>0</v>
      </c>
      <c r="P17" s="8">
        <v>54620.8995</v>
      </c>
    </row>
    <row r="18" spans="1:16" x14ac:dyDescent="0.25">
      <c r="A18" s="17"/>
      <c r="B18" s="16"/>
      <c r="C18" s="7" t="s">
        <v>22</v>
      </c>
      <c r="D18" s="10">
        <v>2145.0100000000002</v>
      </c>
      <c r="E18" s="10">
        <v>1955</v>
      </c>
      <c r="F18" s="10">
        <v>1646</v>
      </c>
      <c r="G18" s="10">
        <v>2934</v>
      </c>
      <c r="H18" s="10">
        <v>1245</v>
      </c>
      <c r="I18" s="10">
        <v>2472</v>
      </c>
      <c r="J18" s="10">
        <v>1351</v>
      </c>
      <c r="K18" s="10">
        <v>1416</v>
      </c>
      <c r="L18" s="10">
        <v>1163</v>
      </c>
      <c r="M18" s="10">
        <v>2229</v>
      </c>
      <c r="N18" s="11">
        <v>0</v>
      </c>
      <c r="O18" s="11">
        <v>0</v>
      </c>
      <c r="P18" s="10">
        <v>18556.009999999998</v>
      </c>
    </row>
    <row r="19" spans="1:16" x14ac:dyDescent="0.25">
      <c r="A19" s="17"/>
      <c r="B19" s="16"/>
      <c r="C19" s="7" t="s">
        <v>23</v>
      </c>
      <c r="D19" s="8">
        <v>6.75</v>
      </c>
      <c r="E19" s="8">
        <v>2633.64</v>
      </c>
      <c r="F19" s="8">
        <v>21.27</v>
      </c>
      <c r="G19" s="8">
        <v>163.41999999999999</v>
      </c>
      <c r="H19" s="8">
        <v>1686.33</v>
      </c>
      <c r="I19" s="8">
        <v>52.8</v>
      </c>
      <c r="J19" s="8">
        <v>0</v>
      </c>
      <c r="K19" s="8">
        <v>45.26</v>
      </c>
      <c r="L19" s="8">
        <v>1095.82</v>
      </c>
      <c r="M19" s="8">
        <v>1176.6600000000001</v>
      </c>
      <c r="N19" s="8">
        <v>635.25</v>
      </c>
      <c r="O19" s="9">
        <v>0</v>
      </c>
      <c r="P19" s="8">
        <v>7517.2</v>
      </c>
    </row>
    <row r="20" spans="1:16" x14ac:dyDescent="0.25">
      <c r="A20" s="17"/>
      <c r="B20" s="16"/>
      <c r="C20" s="7" t="s">
        <v>24</v>
      </c>
      <c r="D20" s="11">
        <v>0</v>
      </c>
      <c r="E20" s="10">
        <v>526.35</v>
      </c>
      <c r="F20" s="11">
        <v>0</v>
      </c>
      <c r="G20" s="11">
        <v>0</v>
      </c>
      <c r="H20" s="11">
        <v>0</v>
      </c>
      <c r="I20" s="10">
        <v>557.20000000000005</v>
      </c>
      <c r="J20" s="11">
        <v>0</v>
      </c>
      <c r="K20" s="11">
        <v>0</v>
      </c>
      <c r="L20" s="11">
        <v>0</v>
      </c>
      <c r="M20" s="10">
        <v>557.20000000000005</v>
      </c>
      <c r="N20" s="10">
        <v>90.75</v>
      </c>
      <c r="O20" s="11">
        <v>0</v>
      </c>
      <c r="P20" s="10">
        <v>1731.5</v>
      </c>
    </row>
    <row r="21" spans="1:16" x14ac:dyDescent="0.25">
      <c r="A21" s="17"/>
      <c r="B21" s="16"/>
      <c r="C21" s="7" t="s">
        <v>25</v>
      </c>
      <c r="D21" s="12">
        <v>6158</v>
      </c>
      <c r="E21" s="12">
        <v>11128</v>
      </c>
      <c r="F21" s="12">
        <v>10216</v>
      </c>
      <c r="G21" s="12">
        <v>15324</v>
      </c>
      <c r="H21" s="12">
        <v>6144</v>
      </c>
      <c r="I21" s="12">
        <v>12778</v>
      </c>
      <c r="J21" s="12">
        <v>6404</v>
      </c>
      <c r="K21" s="12">
        <v>7838</v>
      </c>
      <c r="L21" s="12">
        <v>5364</v>
      </c>
      <c r="M21" s="12">
        <v>10514</v>
      </c>
      <c r="N21" s="12">
        <v>0</v>
      </c>
      <c r="O21" s="13"/>
      <c r="P21" s="12">
        <v>91868</v>
      </c>
    </row>
    <row r="22" spans="1:16" x14ac:dyDescent="0.25">
      <c r="A22" s="17"/>
      <c r="B22" s="16"/>
      <c r="C22" s="7" t="s">
        <v>26</v>
      </c>
      <c r="D22" s="14"/>
      <c r="E22" s="15">
        <v>0.73365294751976995</v>
      </c>
      <c r="F22" s="14"/>
      <c r="G22" s="14"/>
      <c r="H22" s="14"/>
      <c r="I22" s="15">
        <v>0.60507434653310399</v>
      </c>
      <c r="J22" s="14"/>
      <c r="K22" s="14"/>
      <c r="L22" s="14"/>
      <c r="M22" s="15">
        <v>0.90767643142476695</v>
      </c>
      <c r="N22" s="14"/>
      <c r="O22" s="14"/>
      <c r="P22" s="15">
        <v>2.2464037254776401</v>
      </c>
    </row>
    <row r="23" spans="1:16" x14ac:dyDescent="0.25">
      <c r="A23" s="17"/>
      <c r="B23" s="16" t="s">
        <v>29</v>
      </c>
      <c r="C23" s="7" t="s">
        <v>21</v>
      </c>
      <c r="D23" s="8">
        <v>2759.27</v>
      </c>
      <c r="E23" s="8">
        <v>2202.87</v>
      </c>
      <c r="F23" s="8">
        <v>3785.9</v>
      </c>
      <c r="G23" s="8">
        <v>3204.18</v>
      </c>
      <c r="H23" s="8">
        <v>3134.71</v>
      </c>
      <c r="I23" s="8">
        <v>3582.16</v>
      </c>
      <c r="J23" s="8">
        <v>2830.1</v>
      </c>
      <c r="K23" s="8">
        <v>4584.22</v>
      </c>
      <c r="L23" s="8">
        <v>4415.74</v>
      </c>
      <c r="M23" s="8">
        <v>7393.58</v>
      </c>
      <c r="N23" s="9">
        <v>0</v>
      </c>
      <c r="O23" s="9">
        <v>0</v>
      </c>
      <c r="P23" s="8">
        <v>37892.730000000003</v>
      </c>
    </row>
    <row r="24" spans="1:16" x14ac:dyDescent="0.25">
      <c r="A24" s="17"/>
      <c r="B24" s="16"/>
      <c r="C24" s="7" t="s">
        <v>22</v>
      </c>
      <c r="D24" s="10">
        <v>1121</v>
      </c>
      <c r="E24" s="10">
        <v>862</v>
      </c>
      <c r="F24" s="10">
        <v>1309</v>
      </c>
      <c r="G24" s="10">
        <v>1210</v>
      </c>
      <c r="H24" s="10">
        <v>1112</v>
      </c>
      <c r="I24" s="10">
        <v>1240</v>
      </c>
      <c r="J24" s="10">
        <v>962</v>
      </c>
      <c r="K24" s="10">
        <v>1526</v>
      </c>
      <c r="L24" s="10">
        <v>1409</v>
      </c>
      <c r="M24" s="10">
        <v>2192</v>
      </c>
      <c r="N24" s="11">
        <v>0</v>
      </c>
      <c r="O24" s="11">
        <v>0</v>
      </c>
      <c r="P24" s="10">
        <v>12943</v>
      </c>
    </row>
    <row r="25" spans="1:16" x14ac:dyDescent="0.25">
      <c r="A25" s="17"/>
      <c r="B25" s="16"/>
      <c r="C25" s="7" t="s">
        <v>23</v>
      </c>
      <c r="D25" s="8">
        <v>2.31</v>
      </c>
      <c r="E25" s="8">
        <v>2.67</v>
      </c>
      <c r="F25" s="8">
        <v>15.57</v>
      </c>
      <c r="G25" s="8">
        <v>1.22</v>
      </c>
      <c r="H25" s="8">
        <v>206.49</v>
      </c>
      <c r="I25" s="8">
        <v>23.76</v>
      </c>
      <c r="J25" s="8">
        <v>1276.23</v>
      </c>
      <c r="K25" s="8">
        <v>111.5</v>
      </c>
      <c r="L25" s="8">
        <v>61.1</v>
      </c>
      <c r="M25" s="8">
        <v>4.9400000000000004</v>
      </c>
      <c r="N25" s="8">
        <v>0</v>
      </c>
      <c r="O25" s="8">
        <v>0</v>
      </c>
      <c r="P25" s="8">
        <v>1705.79</v>
      </c>
    </row>
    <row r="26" spans="1:16" x14ac:dyDescent="0.25">
      <c r="A26" s="17"/>
      <c r="B26" s="16"/>
      <c r="C26" s="7" t="s">
        <v>24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0">
        <v>90.75</v>
      </c>
      <c r="P26" s="10">
        <v>90.75</v>
      </c>
    </row>
    <row r="27" spans="1:16" x14ac:dyDescent="0.25">
      <c r="A27" s="17"/>
      <c r="B27" s="16"/>
      <c r="C27" s="7" t="s">
        <v>25</v>
      </c>
      <c r="D27" s="12">
        <v>3583</v>
      </c>
      <c r="E27" s="12">
        <v>4794</v>
      </c>
      <c r="F27" s="12">
        <v>7137</v>
      </c>
      <c r="G27" s="12">
        <v>6875</v>
      </c>
      <c r="H27" s="12">
        <v>6150</v>
      </c>
      <c r="I27" s="12">
        <v>6370</v>
      </c>
      <c r="J27" s="12">
        <v>5086</v>
      </c>
      <c r="K27" s="12">
        <v>8086</v>
      </c>
      <c r="L27" s="12">
        <v>6947</v>
      </c>
      <c r="M27" s="12">
        <v>12267</v>
      </c>
      <c r="N27" s="12">
        <v>0</v>
      </c>
      <c r="O27" s="13"/>
      <c r="P27" s="12">
        <v>67295</v>
      </c>
    </row>
    <row r="28" spans="1:16" x14ac:dyDescent="0.25">
      <c r="A28" s="17"/>
      <c r="B28" s="16"/>
      <c r="C28" s="7" t="s">
        <v>26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25">
      <c r="A29" s="17"/>
      <c r="B29" s="16" t="s">
        <v>30</v>
      </c>
      <c r="C29" s="7" t="s">
        <v>21</v>
      </c>
      <c r="D29" s="8">
        <v>2455.7199999999998</v>
      </c>
      <c r="E29" s="8">
        <v>1543.99</v>
      </c>
      <c r="F29" s="8">
        <v>3077.48</v>
      </c>
      <c r="G29" s="8">
        <v>4663.74</v>
      </c>
      <c r="H29" s="8">
        <v>2249.6</v>
      </c>
      <c r="I29" s="8">
        <v>3920.95</v>
      </c>
      <c r="J29" s="8">
        <v>1238.1600000000001</v>
      </c>
      <c r="K29" s="8">
        <v>2839.31</v>
      </c>
      <c r="L29" s="8">
        <v>2858.5</v>
      </c>
      <c r="M29" s="8">
        <v>6625.37</v>
      </c>
      <c r="N29" s="8">
        <v>162.9</v>
      </c>
      <c r="O29" s="9">
        <v>0</v>
      </c>
      <c r="P29" s="8">
        <v>31635.72</v>
      </c>
    </row>
    <row r="30" spans="1:16" x14ac:dyDescent="0.25">
      <c r="A30" s="17"/>
      <c r="B30" s="16"/>
      <c r="C30" s="7" t="s">
        <v>22</v>
      </c>
      <c r="D30" s="10">
        <v>988</v>
      </c>
      <c r="E30" s="10">
        <v>605</v>
      </c>
      <c r="F30" s="10">
        <v>1191</v>
      </c>
      <c r="G30" s="10">
        <v>1751</v>
      </c>
      <c r="H30" s="10">
        <v>790</v>
      </c>
      <c r="I30" s="10">
        <v>1350</v>
      </c>
      <c r="J30" s="10">
        <v>428</v>
      </c>
      <c r="K30" s="10">
        <v>928</v>
      </c>
      <c r="L30" s="10">
        <v>859</v>
      </c>
      <c r="M30" s="10">
        <v>1936</v>
      </c>
      <c r="N30" s="10">
        <v>30</v>
      </c>
      <c r="O30" s="11">
        <v>0</v>
      </c>
      <c r="P30" s="10">
        <v>10856</v>
      </c>
    </row>
    <row r="31" spans="1:16" x14ac:dyDescent="0.25">
      <c r="A31" s="17"/>
      <c r="B31" s="16"/>
      <c r="C31" s="7" t="s">
        <v>23</v>
      </c>
      <c r="D31" s="8">
        <v>10.84</v>
      </c>
      <c r="E31" s="8">
        <v>5.74</v>
      </c>
      <c r="F31" s="8">
        <v>41.77</v>
      </c>
      <c r="G31" s="8">
        <v>84.43</v>
      </c>
      <c r="H31" s="8">
        <v>0</v>
      </c>
      <c r="I31" s="8">
        <v>8341.2900000000009</v>
      </c>
      <c r="J31" s="8">
        <v>37314.32</v>
      </c>
      <c r="K31" s="8">
        <v>166.52</v>
      </c>
      <c r="L31" s="8">
        <v>0</v>
      </c>
      <c r="M31" s="8">
        <v>0</v>
      </c>
      <c r="N31" s="8">
        <v>94.71</v>
      </c>
      <c r="O31" s="8">
        <v>0</v>
      </c>
      <c r="P31" s="8">
        <v>46059.62</v>
      </c>
    </row>
    <row r="32" spans="1:16" x14ac:dyDescent="0.25">
      <c r="A32" s="17"/>
      <c r="B32" s="16"/>
      <c r="C32" s="7" t="s">
        <v>24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0">
        <v>100</v>
      </c>
      <c r="P32" s="10">
        <v>100</v>
      </c>
    </row>
    <row r="33" spans="1:16" x14ac:dyDescent="0.25">
      <c r="A33" s="17"/>
      <c r="B33" s="16"/>
      <c r="C33" s="7" t="s">
        <v>25</v>
      </c>
      <c r="D33" s="12">
        <v>2170</v>
      </c>
      <c r="E33" s="12">
        <v>3525</v>
      </c>
      <c r="F33" s="12">
        <v>8036</v>
      </c>
      <c r="G33" s="12">
        <v>9576</v>
      </c>
      <c r="H33" s="12">
        <v>2030</v>
      </c>
      <c r="I33" s="12">
        <v>7831</v>
      </c>
      <c r="J33" s="12">
        <v>2741</v>
      </c>
      <c r="K33" s="12">
        <v>4007</v>
      </c>
      <c r="L33" s="12">
        <v>4801</v>
      </c>
      <c r="M33" s="12">
        <v>10618</v>
      </c>
      <c r="N33" s="12">
        <v>0</v>
      </c>
      <c r="O33" s="13"/>
      <c r="P33" s="12">
        <v>55335</v>
      </c>
    </row>
    <row r="34" spans="1:16" x14ac:dyDescent="0.25">
      <c r="A34" s="17"/>
      <c r="B34" s="16"/>
      <c r="C34" s="7" t="s">
        <v>26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5">
      <c r="A35" s="17"/>
      <c r="B35" s="16" t="s">
        <v>31</v>
      </c>
      <c r="C35" s="7" t="s">
        <v>21</v>
      </c>
      <c r="D35" s="8">
        <v>1261.8699999999999</v>
      </c>
      <c r="E35" s="8">
        <v>1996.39</v>
      </c>
      <c r="F35" s="8">
        <v>1368.08</v>
      </c>
      <c r="G35" s="8">
        <v>5132.96</v>
      </c>
      <c r="H35" s="8">
        <v>1397.6</v>
      </c>
      <c r="I35" s="8">
        <v>3688.83</v>
      </c>
      <c r="J35" s="8">
        <v>2499.14</v>
      </c>
      <c r="K35" s="8">
        <v>4359.3900000000003</v>
      </c>
      <c r="L35" s="8">
        <v>5539.38</v>
      </c>
      <c r="M35" s="8">
        <v>12003.140299999999</v>
      </c>
      <c r="N35" s="8">
        <v>1900.5</v>
      </c>
      <c r="O35" s="9">
        <v>0</v>
      </c>
      <c r="P35" s="8">
        <v>41147.280299999999</v>
      </c>
    </row>
    <row r="36" spans="1:16" x14ac:dyDescent="0.25">
      <c r="A36" s="17"/>
      <c r="B36" s="16"/>
      <c r="C36" s="7" t="s">
        <v>22</v>
      </c>
      <c r="D36" s="10">
        <v>491</v>
      </c>
      <c r="E36" s="10">
        <v>781</v>
      </c>
      <c r="F36" s="10">
        <v>526</v>
      </c>
      <c r="G36" s="10">
        <v>1895</v>
      </c>
      <c r="H36" s="10">
        <v>512</v>
      </c>
      <c r="I36" s="10">
        <v>1270</v>
      </c>
      <c r="J36" s="10">
        <v>856</v>
      </c>
      <c r="K36" s="10">
        <v>1452</v>
      </c>
      <c r="L36" s="10">
        <v>1767</v>
      </c>
      <c r="M36" s="10">
        <v>2930.01</v>
      </c>
      <c r="N36" s="10">
        <v>350</v>
      </c>
      <c r="O36" s="11">
        <v>0</v>
      </c>
      <c r="P36" s="10">
        <v>12830.01</v>
      </c>
    </row>
    <row r="37" spans="1:16" x14ac:dyDescent="0.25">
      <c r="A37" s="17"/>
      <c r="B37" s="16"/>
      <c r="C37" s="7" t="s">
        <v>23</v>
      </c>
      <c r="D37" s="8">
        <v>0</v>
      </c>
      <c r="E37" s="8">
        <v>165.08</v>
      </c>
      <c r="F37" s="8">
        <v>17.87</v>
      </c>
      <c r="G37" s="8">
        <v>0.74</v>
      </c>
      <c r="H37" s="8">
        <v>135.41999999999999</v>
      </c>
      <c r="I37" s="8">
        <v>0</v>
      </c>
      <c r="J37" s="8">
        <v>1306.8</v>
      </c>
      <c r="K37" s="8">
        <v>2.4</v>
      </c>
      <c r="L37" s="8">
        <v>740.51</v>
      </c>
      <c r="M37" s="8">
        <v>317.22000000000003</v>
      </c>
      <c r="N37" s="8">
        <v>1296.23</v>
      </c>
      <c r="O37" s="8">
        <v>0</v>
      </c>
      <c r="P37" s="8">
        <v>3982.27</v>
      </c>
    </row>
    <row r="38" spans="1:16" x14ac:dyDescent="0.25">
      <c r="A38" s="17"/>
      <c r="B38" s="16"/>
      <c r="C38" s="7" t="s">
        <v>24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0">
        <v>90.75</v>
      </c>
      <c r="P38" s="10">
        <v>90.75</v>
      </c>
    </row>
    <row r="39" spans="1:16" x14ac:dyDescent="0.25">
      <c r="A39" s="17"/>
      <c r="B39" s="16"/>
      <c r="C39" s="7" t="s">
        <v>25</v>
      </c>
      <c r="D39" s="12">
        <v>0</v>
      </c>
      <c r="E39" s="12">
        <v>1659</v>
      </c>
      <c r="F39" s="12">
        <v>3424</v>
      </c>
      <c r="G39" s="12">
        <v>8245</v>
      </c>
      <c r="H39" s="12">
        <v>3536</v>
      </c>
      <c r="I39" s="12">
        <v>5983</v>
      </c>
      <c r="J39" s="12">
        <v>4314</v>
      </c>
      <c r="K39" s="12">
        <v>7582</v>
      </c>
      <c r="L39" s="12">
        <v>9038</v>
      </c>
      <c r="M39" s="12">
        <v>11189</v>
      </c>
      <c r="N39" s="12">
        <v>0</v>
      </c>
      <c r="O39" s="13"/>
      <c r="P39" s="12">
        <v>54970</v>
      </c>
    </row>
    <row r="40" spans="1:16" x14ac:dyDescent="0.25">
      <c r="A40" s="17"/>
      <c r="B40" s="16"/>
      <c r="C40" s="7" t="s">
        <v>26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x14ac:dyDescent="0.25">
      <c r="A41" s="17"/>
      <c r="B41" s="16" t="s">
        <v>32</v>
      </c>
      <c r="C41" s="7" t="s">
        <v>21</v>
      </c>
      <c r="D41" s="8">
        <v>5928.5</v>
      </c>
      <c r="E41" s="8">
        <v>2652.63</v>
      </c>
      <c r="F41" s="8">
        <v>4436.68</v>
      </c>
      <c r="G41" s="8">
        <v>5621.8</v>
      </c>
      <c r="H41" s="8">
        <v>4529.58</v>
      </c>
      <c r="I41" s="8">
        <v>4647.72</v>
      </c>
      <c r="J41" s="8">
        <v>2917.07</v>
      </c>
      <c r="K41" s="8">
        <v>2938.51</v>
      </c>
      <c r="L41" s="8">
        <v>6413.05</v>
      </c>
      <c r="M41" s="8">
        <v>5182.53</v>
      </c>
      <c r="N41" s="9">
        <v>0</v>
      </c>
      <c r="O41" s="9">
        <v>0</v>
      </c>
      <c r="P41" s="8">
        <v>45268.07</v>
      </c>
    </row>
    <row r="42" spans="1:16" x14ac:dyDescent="0.25">
      <c r="A42" s="17"/>
      <c r="B42" s="16"/>
      <c r="C42" s="7" t="s">
        <v>22</v>
      </c>
      <c r="D42" s="10">
        <v>2096</v>
      </c>
      <c r="E42" s="10">
        <v>1036</v>
      </c>
      <c r="F42" s="10">
        <v>1613</v>
      </c>
      <c r="G42" s="10">
        <v>2107</v>
      </c>
      <c r="H42" s="10">
        <v>1630</v>
      </c>
      <c r="I42" s="10">
        <v>1606</v>
      </c>
      <c r="J42" s="10">
        <v>1002</v>
      </c>
      <c r="K42" s="10">
        <v>960</v>
      </c>
      <c r="L42" s="10">
        <v>1772</v>
      </c>
      <c r="M42" s="10">
        <v>1551</v>
      </c>
      <c r="N42" s="11">
        <v>0</v>
      </c>
      <c r="O42" s="11">
        <v>0</v>
      </c>
      <c r="P42" s="10">
        <v>15373</v>
      </c>
    </row>
    <row r="43" spans="1:16" x14ac:dyDescent="0.25">
      <c r="A43" s="17"/>
      <c r="B43" s="16"/>
      <c r="C43" s="7" t="s">
        <v>23</v>
      </c>
      <c r="D43" s="8">
        <v>73.95</v>
      </c>
      <c r="E43" s="8">
        <v>116.93</v>
      </c>
      <c r="F43" s="8">
        <v>5.21</v>
      </c>
      <c r="G43" s="8">
        <v>114.76</v>
      </c>
      <c r="H43" s="8">
        <v>73.75</v>
      </c>
      <c r="I43" s="8">
        <v>0</v>
      </c>
      <c r="J43" s="8">
        <v>26.88</v>
      </c>
      <c r="K43" s="8">
        <v>1085.03</v>
      </c>
      <c r="L43" s="8">
        <v>175.22</v>
      </c>
      <c r="M43" s="8">
        <v>0</v>
      </c>
      <c r="N43" s="8">
        <v>0</v>
      </c>
      <c r="O43" s="9">
        <v>0</v>
      </c>
      <c r="P43" s="8">
        <v>1671.73</v>
      </c>
    </row>
    <row r="44" spans="1:16" x14ac:dyDescent="0.25">
      <c r="A44" s="17"/>
      <c r="B44" s="16"/>
      <c r="C44" s="7" t="s">
        <v>24</v>
      </c>
      <c r="D44" s="11">
        <v>0</v>
      </c>
      <c r="E44" s="11">
        <v>0</v>
      </c>
      <c r="F44" s="11">
        <v>0</v>
      </c>
      <c r="G44" s="11">
        <v>0</v>
      </c>
      <c r="H44" s="10">
        <v>535.42999999999995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0">
        <v>90.75</v>
      </c>
      <c r="O44" s="11">
        <v>0</v>
      </c>
      <c r="P44" s="10">
        <v>626.17999999999995</v>
      </c>
    </row>
    <row r="45" spans="1:16" x14ac:dyDescent="0.25">
      <c r="A45" s="17"/>
      <c r="B45" s="16"/>
      <c r="C45" s="7" t="s">
        <v>25</v>
      </c>
      <c r="D45" s="12">
        <v>6868</v>
      </c>
      <c r="E45" s="12">
        <v>7220</v>
      </c>
      <c r="F45" s="12">
        <v>8570</v>
      </c>
      <c r="G45" s="12">
        <v>10014</v>
      </c>
      <c r="H45" s="12">
        <v>9742</v>
      </c>
      <c r="I45" s="12">
        <v>7611</v>
      </c>
      <c r="J45" s="12">
        <v>5929</v>
      </c>
      <c r="K45" s="12">
        <v>3510</v>
      </c>
      <c r="L45" s="12">
        <v>4417</v>
      </c>
      <c r="M45" s="12">
        <v>13273</v>
      </c>
      <c r="N45" s="13"/>
      <c r="O45" s="13"/>
      <c r="P45" s="12">
        <v>77154</v>
      </c>
    </row>
    <row r="46" spans="1:16" x14ac:dyDescent="0.25">
      <c r="A46" s="17"/>
      <c r="B46" s="16"/>
      <c r="C46" s="7" t="s">
        <v>26</v>
      </c>
      <c r="D46" s="14"/>
      <c r="E46" s="14"/>
      <c r="F46" s="14"/>
      <c r="G46" s="14"/>
      <c r="H46" s="15">
        <v>0.52748511599260905</v>
      </c>
      <c r="I46" s="14"/>
      <c r="J46" s="14"/>
      <c r="K46" s="14"/>
      <c r="L46" s="14"/>
      <c r="M46" s="14"/>
      <c r="N46" s="14"/>
      <c r="O46" s="14"/>
      <c r="P46" s="15">
        <v>0.52748511599260905</v>
      </c>
    </row>
    <row r="47" spans="1:16" x14ac:dyDescent="0.25">
      <c r="A47" s="17"/>
      <c r="B47" s="16" t="s">
        <v>33</v>
      </c>
      <c r="C47" s="7" t="s">
        <v>21</v>
      </c>
      <c r="D47" s="8">
        <v>2363.96</v>
      </c>
      <c r="E47" s="8">
        <v>1412.47</v>
      </c>
      <c r="F47" s="8">
        <v>4155</v>
      </c>
      <c r="G47" s="8">
        <v>4196.42</v>
      </c>
      <c r="H47" s="8">
        <v>3773.9850000000001</v>
      </c>
      <c r="I47" s="8">
        <v>4959.34</v>
      </c>
      <c r="J47" s="8">
        <v>3867.8</v>
      </c>
      <c r="K47" s="8">
        <v>3945.09</v>
      </c>
      <c r="L47" s="8">
        <v>3650.28</v>
      </c>
      <c r="M47" s="8">
        <v>14610.38</v>
      </c>
      <c r="N47" s="9">
        <v>0</v>
      </c>
      <c r="O47" s="9">
        <v>0</v>
      </c>
      <c r="P47" s="8">
        <v>46934.724999999999</v>
      </c>
    </row>
    <row r="48" spans="1:16" x14ac:dyDescent="0.25">
      <c r="A48" s="17"/>
      <c r="B48" s="16"/>
      <c r="C48" s="7" t="s">
        <v>22</v>
      </c>
      <c r="D48" s="10">
        <v>958</v>
      </c>
      <c r="E48" s="10">
        <v>553</v>
      </c>
      <c r="F48" s="10">
        <v>1595</v>
      </c>
      <c r="G48" s="10">
        <v>1578</v>
      </c>
      <c r="H48" s="10">
        <v>1200.03</v>
      </c>
      <c r="I48" s="10">
        <v>1719</v>
      </c>
      <c r="J48" s="10">
        <v>1319</v>
      </c>
      <c r="K48" s="10">
        <v>1315</v>
      </c>
      <c r="L48" s="10">
        <v>1181</v>
      </c>
      <c r="M48" s="10">
        <v>3554</v>
      </c>
      <c r="N48" s="11">
        <v>0</v>
      </c>
      <c r="O48" s="11">
        <v>0</v>
      </c>
      <c r="P48" s="10">
        <v>14972.03</v>
      </c>
    </row>
    <row r="49" spans="1:18" x14ac:dyDescent="0.25">
      <c r="A49" s="17"/>
      <c r="B49" s="16"/>
      <c r="C49" s="7" t="s">
        <v>23</v>
      </c>
      <c r="D49" s="8">
        <v>0.09</v>
      </c>
      <c r="E49" s="8">
        <v>9.18</v>
      </c>
      <c r="F49" s="8">
        <v>39.590000000000003</v>
      </c>
      <c r="G49" s="8">
        <v>35.840000000000003</v>
      </c>
      <c r="H49" s="8">
        <v>1646.94</v>
      </c>
      <c r="I49" s="8">
        <v>527.27</v>
      </c>
      <c r="J49" s="8">
        <v>0</v>
      </c>
      <c r="K49" s="8">
        <v>1085.03</v>
      </c>
      <c r="L49" s="8">
        <v>6.24</v>
      </c>
      <c r="M49" s="8">
        <v>0</v>
      </c>
      <c r="N49" s="8">
        <v>28.47</v>
      </c>
      <c r="O49" s="8">
        <v>0</v>
      </c>
      <c r="P49" s="8">
        <v>3378.65</v>
      </c>
    </row>
    <row r="50" spans="1:18" x14ac:dyDescent="0.25">
      <c r="A50" s="17"/>
      <c r="B50" s="16"/>
      <c r="C50" s="7" t="s">
        <v>24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0">
        <v>90.75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0">
        <v>0</v>
      </c>
      <c r="P50" s="10">
        <v>90.75</v>
      </c>
    </row>
    <row r="51" spans="1:18" x14ac:dyDescent="0.25">
      <c r="A51" s="17"/>
      <c r="B51" s="16"/>
      <c r="C51" s="7" t="s">
        <v>25</v>
      </c>
      <c r="D51" s="12">
        <v>1405</v>
      </c>
      <c r="E51" s="12">
        <v>2930</v>
      </c>
      <c r="F51" s="12">
        <v>8211</v>
      </c>
      <c r="G51" s="12">
        <v>8404</v>
      </c>
      <c r="H51" s="12">
        <v>6720</v>
      </c>
      <c r="I51" s="12">
        <v>9104</v>
      </c>
      <c r="J51" s="12">
        <v>7212</v>
      </c>
      <c r="K51" s="12">
        <v>7000</v>
      </c>
      <c r="L51" s="12">
        <v>6348</v>
      </c>
      <c r="M51" s="12">
        <v>19910</v>
      </c>
      <c r="N51" s="13"/>
      <c r="O51" s="13"/>
      <c r="P51" s="12">
        <v>77244</v>
      </c>
    </row>
    <row r="52" spans="1:18" x14ac:dyDescent="0.25">
      <c r="A52" s="17"/>
      <c r="B52" s="16"/>
      <c r="C52" s="7" t="s">
        <v>26</v>
      </c>
      <c r="D52" s="14"/>
      <c r="E52" s="14"/>
      <c r="F52" s="14"/>
      <c r="G52" s="14"/>
      <c r="H52" s="14"/>
      <c r="I52" s="15">
        <v>0.61262741652021102</v>
      </c>
      <c r="J52" s="14"/>
      <c r="K52" s="14"/>
      <c r="L52" s="14"/>
      <c r="M52" s="14"/>
      <c r="N52" s="14"/>
      <c r="O52" s="14"/>
      <c r="P52" s="15">
        <v>0.61262741652021102</v>
      </c>
    </row>
    <row r="53" spans="1:18" x14ac:dyDescent="0.25">
      <c r="A53" s="17" t="s">
        <v>34</v>
      </c>
      <c r="B53" s="16" t="s">
        <v>35</v>
      </c>
      <c r="C53" s="7" t="s">
        <v>21</v>
      </c>
      <c r="D53" s="8">
        <v>5423.7448000000004</v>
      </c>
      <c r="E53" s="8">
        <v>681.21</v>
      </c>
      <c r="F53" s="8">
        <v>8519.16</v>
      </c>
      <c r="G53" s="8">
        <v>4977.49</v>
      </c>
      <c r="H53" s="8">
        <v>3820.58</v>
      </c>
      <c r="I53" s="8">
        <v>5432.54</v>
      </c>
      <c r="J53" s="9">
        <v>0</v>
      </c>
      <c r="K53" s="9">
        <v>0</v>
      </c>
      <c r="L53" s="8">
        <v>5742.87</v>
      </c>
      <c r="M53" s="8">
        <v>9184.99</v>
      </c>
      <c r="N53" s="9">
        <v>0</v>
      </c>
      <c r="O53" s="9">
        <v>0</v>
      </c>
      <c r="P53" s="8">
        <v>43782.584799999997</v>
      </c>
      <c r="R53" s="18">
        <f t="shared" ref="R53:R56" si="1">P53+P59+P65+P71</f>
        <v>184669.54249999998</v>
      </c>
    </row>
    <row r="54" spans="1:18" x14ac:dyDescent="0.25">
      <c r="A54" s="17"/>
      <c r="B54" s="16"/>
      <c r="C54" s="7" t="s">
        <v>22</v>
      </c>
      <c r="D54" s="10">
        <v>1888.16</v>
      </c>
      <c r="E54" s="10">
        <v>263</v>
      </c>
      <c r="F54" s="10">
        <v>2937</v>
      </c>
      <c r="G54" s="10">
        <v>1824</v>
      </c>
      <c r="H54" s="10">
        <v>1322</v>
      </c>
      <c r="I54" s="10">
        <v>1823</v>
      </c>
      <c r="J54" s="11">
        <v>0</v>
      </c>
      <c r="K54" s="11">
        <v>0</v>
      </c>
      <c r="L54" s="10">
        <v>1693</v>
      </c>
      <c r="M54" s="10">
        <v>2546</v>
      </c>
      <c r="N54" s="11">
        <v>0</v>
      </c>
      <c r="O54" s="11">
        <v>0</v>
      </c>
      <c r="P54" s="10">
        <v>14296.16</v>
      </c>
      <c r="R54" s="18">
        <f t="shared" si="1"/>
        <v>56492.31</v>
      </c>
    </row>
    <row r="55" spans="1:18" x14ac:dyDescent="0.25">
      <c r="A55" s="17"/>
      <c r="B55" s="16"/>
      <c r="C55" s="7" t="s">
        <v>23</v>
      </c>
      <c r="D55" s="8">
        <v>82.55</v>
      </c>
      <c r="E55" s="8">
        <v>1702.44</v>
      </c>
      <c r="F55" s="8">
        <v>268.92</v>
      </c>
      <c r="G55" s="8">
        <v>11667.02</v>
      </c>
      <c r="H55" s="8">
        <v>650.39</v>
      </c>
      <c r="I55" s="8">
        <v>1078.1600000000001</v>
      </c>
      <c r="J55" s="8">
        <v>1802.45</v>
      </c>
      <c r="K55" s="8">
        <v>2368.5700000000002</v>
      </c>
      <c r="L55" s="8">
        <v>5064.28</v>
      </c>
      <c r="M55" s="8">
        <v>2.65</v>
      </c>
      <c r="N55" s="8">
        <v>564.34</v>
      </c>
      <c r="O55" s="9">
        <v>0</v>
      </c>
      <c r="P55" s="8">
        <v>25251.77</v>
      </c>
      <c r="R55" s="18">
        <f t="shared" si="1"/>
        <v>118492.61000000002</v>
      </c>
    </row>
    <row r="56" spans="1:18" x14ac:dyDescent="0.25">
      <c r="A56" s="17"/>
      <c r="B56" s="16"/>
      <c r="C56" s="7" t="s">
        <v>24</v>
      </c>
      <c r="D56" s="11">
        <v>0</v>
      </c>
      <c r="E56" s="11">
        <v>0</v>
      </c>
      <c r="F56" s="11">
        <v>0</v>
      </c>
      <c r="G56" s="10">
        <v>90.75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0">
        <v>546.32000000000005</v>
      </c>
      <c r="O56" s="11">
        <v>0</v>
      </c>
      <c r="P56" s="10">
        <v>637.07000000000005</v>
      </c>
      <c r="R56" s="18">
        <f t="shared" si="1"/>
        <v>8913.52</v>
      </c>
    </row>
    <row r="57" spans="1:18" x14ac:dyDescent="0.25">
      <c r="A57" s="17"/>
      <c r="B57" s="16"/>
      <c r="C57" s="7" t="s">
        <v>25</v>
      </c>
      <c r="D57" s="12">
        <v>3743</v>
      </c>
      <c r="E57" s="12">
        <v>689</v>
      </c>
      <c r="F57" s="12">
        <v>7753</v>
      </c>
      <c r="G57" s="12">
        <v>17069</v>
      </c>
      <c r="H57" s="12">
        <v>3413</v>
      </c>
      <c r="I57" s="12">
        <v>4641</v>
      </c>
      <c r="J57" s="13"/>
      <c r="K57" s="13"/>
      <c r="L57" s="12">
        <v>14130</v>
      </c>
      <c r="M57" s="12">
        <v>10275</v>
      </c>
      <c r="N57" s="13"/>
      <c r="O57" s="13"/>
      <c r="P57" s="12">
        <v>61713</v>
      </c>
      <c r="R57" s="18">
        <f>P57+P63+P69+P75</f>
        <v>231548</v>
      </c>
    </row>
    <row r="58" spans="1:18" x14ac:dyDescent="0.25">
      <c r="A58" s="17"/>
      <c r="B58" s="16"/>
      <c r="C58" s="7" t="s">
        <v>26</v>
      </c>
      <c r="D58" s="14"/>
      <c r="E58" s="14"/>
      <c r="F58" s="14"/>
      <c r="G58" s="15">
        <v>0.98044759505536305</v>
      </c>
      <c r="H58" s="14"/>
      <c r="I58" s="14"/>
      <c r="J58" s="14"/>
      <c r="K58" s="14"/>
      <c r="L58" s="14"/>
      <c r="M58" s="14"/>
      <c r="N58" s="14"/>
      <c r="O58" s="14"/>
      <c r="P58" s="15">
        <v>0.98044759505536305</v>
      </c>
      <c r="R58" s="18">
        <f>P58+P64+P70+P76</f>
        <v>14.252657200668663</v>
      </c>
    </row>
    <row r="59" spans="1:18" x14ac:dyDescent="0.25">
      <c r="A59" s="17"/>
      <c r="B59" s="16" t="s">
        <v>36</v>
      </c>
      <c r="C59" s="7" t="s">
        <v>21</v>
      </c>
      <c r="D59" s="8">
        <v>4755.93</v>
      </c>
      <c r="E59" s="9">
        <v>0</v>
      </c>
      <c r="F59" s="8">
        <v>1538.32</v>
      </c>
      <c r="G59" s="8">
        <v>6245.49</v>
      </c>
      <c r="H59" s="8">
        <v>7418.22</v>
      </c>
      <c r="I59" s="8">
        <v>3069.12</v>
      </c>
      <c r="J59" s="8">
        <v>3551.24</v>
      </c>
      <c r="K59" s="8">
        <v>5490.38</v>
      </c>
      <c r="L59" s="8">
        <v>984.7</v>
      </c>
      <c r="M59" s="8">
        <v>12419.5203</v>
      </c>
      <c r="N59" s="8">
        <v>923.1</v>
      </c>
      <c r="O59" s="9">
        <v>0</v>
      </c>
      <c r="P59" s="8">
        <v>46396.020299999996</v>
      </c>
    </row>
    <row r="60" spans="1:18" x14ac:dyDescent="0.25">
      <c r="A60" s="17"/>
      <c r="B60" s="16"/>
      <c r="C60" s="7" t="s">
        <v>22</v>
      </c>
      <c r="D60" s="10">
        <v>1929</v>
      </c>
      <c r="E60" s="11">
        <v>0</v>
      </c>
      <c r="F60" s="10">
        <v>574</v>
      </c>
      <c r="G60" s="10">
        <v>2353</v>
      </c>
      <c r="H60" s="10">
        <v>2044</v>
      </c>
      <c r="I60" s="10">
        <v>1071</v>
      </c>
      <c r="J60" s="10">
        <v>1200</v>
      </c>
      <c r="K60" s="10">
        <v>1813</v>
      </c>
      <c r="L60" s="10">
        <v>322</v>
      </c>
      <c r="M60" s="10">
        <v>2994.01</v>
      </c>
      <c r="N60" s="10">
        <v>170</v>
      </c>
      <c r="O60" s="11">
        <v>0</v>
      </c>
      <c r="P60" s="10">
        <v>14470.01</v>
      </c>
    </row>
    <row r="61" spans="1:18" x14ac:dyDescent="0.25">
      <c r="A61" s="17"/>
      <c r="B61" s="16"/>
      <c r="C61" s="7" t="s">
        <v>23</v>
      </c>
      <c r="D61" s="8">
        <v>3295.84</v>
      </c>
      <c r="E61" s="8">
        <v>604.30999999999995</v>
      </c>
      <c r="F61" s="8">
        <v>1566.56</v>
      </c>
      <c r="G61" s="8">
        <v>8754.43</v>
      </c>
      <c r="H61" s="8">
        <v>12.47</v>
      </c>
      <c r="I61" s="8">
        <v>5146.05</v>
      </c>
      <c r="J61" s="8">
        <v>0</v>
      </c>
      <c r="K61" s="8">
        <v>625.52</v>
      </c>
      <c r="L61" s="8">
        <v>3410.59</v>
      </c>
      <c r="M61" s="8">
        <v>6555.31</v>
      </c>
      <c r="N61" s="8">
        <v>1591.05</v>
      </c>
      <c r="O61" s="9">
        <v>0</v>
      </c>
      <c r="P61" s="8">
        <v>31562.13</v>
      </c>
    </row>
    <row r="62" spans="1:18" x14ac:dyDescent="0.25">
      <c r="A62" s="17"/>
      <c r="B62" s="16"/>
      <c r="C62" s="7" t="s">
        <v>24</v>
      </c>
      <c r="D62" s="10">
        <v>535.41999999999996</v>
      </c>
      <c r="E62" s="11">
        <v>0</v>
      </c>
      <c r="F62" s="11">
        <v>0</v>
      </c>
      <c r="G62" s="10">
        <v>626.17999999999995</v>
      </c>
      <c r="H62" s="11">
        <v>0</v>
      </c>
      <c r="I62" s="11">
        <v>0</v>
      </c>
      <c r="J62" s="11">
        <v>0</v>
      </c>
      <c r="K62" s="10">
        <v>546.32000000000005</v>
      </c>
      <c r="L62" s="10">
        <v>546.32000000000005</v>
      </c>
      <c r="M62" s="10">
        <v>526.35</v>
      </c>
      <c r="N62" s="10">
        <v>568.09</v>
      </c>
      <c r="O62" s="11">
        <v>0</v>
      </c>
      <c r="P62" s="10">
        <v>3348.68</v>
      </c>
    </row>
    <row r="63" spans="1:18" x14ac:dyDescent="0.25">
      <c r="A63" s="17"/>
      <c r="B63" s="16"/>
      <c r="C63" s="7" t="s">
        <v>25</v>
      </c>
      <c r="D63" s="12">
        <v>7400</v>
      </c>
      <c r="E63" s="13"/>
      <c r="F63" s="12">
        <v>1233</v>
      </c>
      <c r="G63" s="12">
        <v>13529</v>
      </c>
      <c r="H63" s="12">
        <v>4762</v>
      </c>
      <c r="I63" s="12">
        <v>10922</v>
      </c>
      <c r="J63" s="12">
        <v>5796</v>
      </c>
      <c r="K63" s="12">
        <v>9164</v>
      </c>
      <c r="L63" s="12">
        <v>1455</v>
      </c>
      <c r="M63" s="12">
        <v>9749</v>
      </c>
      <c r="N63" s="12">
        <v>0</v>
      </c>
      <c r="O63" s="13"/>
      <c r="P63" s="12">
        <v>64010</v>
      </c>
    </row>
    <row r="64" spans="1:18" x14ac:dyDescent="0.25">
      <c r="A64" s="17"/>
      <c r="B64" s="16"/>
      <c r="C64" s="7" t="s">
        <v>26</v>
      </c>
      <c r="D64" s="15">
        <v>1.1604310810810801</v>
      </c>
      <c r="E64" s="14"/>
      <c r="F64" s="14"/>
      <c r="G64" s="15">
        <v>1.1550077611057701</v>
      </c>
      <c r="H64" s="14"/>
      <c r="I64" s="14"/>
      <c r="J64" s="14"/>
      <c r="K64" s="15">
        <v>0.72699912701876901</v>
      </c>
      <c r="L64" s="15">
        <v>3.3962955326460502</v>
      </c>
      <c r="M64" s="15">
        <v>2.0003262180736501</v>
      </c>
      <c r="N64" s="14"/>
      <c r="O64" s="14"/>
      <c r="P64" s="15">
        <v>8.4390597199253197</v>
      </c>
    </row>
    <row r="65" spans="1:16" x14ac:dyDescent="0.25">
      <c r="A65" s="17"/>
      <c r="B65" s="16" t="s">
        <v>37</v>
      </c>
      <c r="C65" s="7" t="s">
        <v>21</v>
      </c>
      <c r="D65" s="8">
        <v>4950.92</v>
      </c>
      <c r="E65" s="8">
        <v>4687.12</v>
      </c>
      <c r="F65" s="8">
        <v>2986.38</v>
      </c>
      <c r="G65" s="8">
        <v>5839.62</v>
      </c>
      <c r="H65" s="8">
        <v>5186.8500000000004</v>
      </c>
      <c r="I65" s="8">
        <v>3090.62</v>
      </c>
      <c r="J65" s="8">
        <v>1662.48</v>
      </c>
      <c r="K65" s="8">
        <v>2770.44</v>
      </c>
      <c r="L65" s="8">
        <v>3826.19</v>
      </c>
      <c r="M65" s="8">
        <v>12050.2238</v>
      </c>
      <c r="N65" s="9">
        <v>0</v>
      </c>
      <c r="O65" s="9">
        <v>0</v>
      </c>
      <c r="P65" s="8">
        <v>47050.843800000002</v>
      </c>
    </row>
    <row r="66" spans="1:16" x14ac:dyDescent="0.25">
      <c r="A66" s="17"/>
      <c r="B66" s="16"/>
      <c r="C66" s="7" t="s">
        <v>22</v>
      </c>
      <c r="D66" s="10">
        <v>2008</v>
      </c>
      <c r="E66" s="10">
        <v>1828</v>
      </c>
      <c r="F66" s="10">
        <v>1141</v>
      </c>
      <c r="G66" s="10">
        <v>2187</v>
      </c>
      <c r="H66" s="10">
        <v>1723</v>
      </c>
      <c r="I66" s="10">
        <v>1074</v>
      </c>
      <c r="J66" s="10">
        <v>558</v>
      </c>
      <c r="K66" s="10">
        <v>900</v>
      </c>
      <c r="L66" s="10">
        <v>1221</v>
      </c>
      <c r="M66" s="10">
        <v>3062.46</v>
      </c>
      <c r="N66" s="11">
        <v>0</v>
      </c>
      <c r="O66" s="11">
        <v>0</v>
      </c>
      <c r="P66" s="10">
        <v>15702.46</v>
      </c>
    </row>
    <row r="67" spans="1:16" x14ac:dyDescent="0.25">
      <c r="A67" s="17"/>
      <c r="B67" s="16"/>
      <c r="C67" s="7" t="s">
        <v>23</v>
      </c>
      <c r="D67" s="8">
        <v>0</v>
      </c>
      <c r="E67" s="8">
        <v>7406.04</v>
      </c>
      <c r="F67" s="8">
        <v>2755.95</v>
      </c>
      <c r="G67" s="8">
        <v>2792.26</v>
      </c>
      <c r="H67" s="8">
        <v>76.58</v>
      </c>
      <c r="I67" s="8">
        <v>5437.91</v>
      </c>
      <c r="J67" s="8">
        <v>509.18</v>
      </c>
      <c r="K67" s="8">
        <v>363.12</v>
      </c>
      <c r="L67" s="8">
        <v>6717.74</v>
      </c>
      <c r="M67" s="8">
        <v>226.61</v>
      </c>
      <c r="N67" s="8">
        <v>47.19</v>
      </c>
      <c r="O67" s="9">
        <v>0</v>
      </c>
      <c r="P67" s="8">
        <v>26332.58</v>
      </c>
    </row>
    <row r="68" spans="1:16" x14ac:dyDescent="0.25">
      <c r="A68" s="17"/>
      <c r="B68" s="16"/>
      <c r="C68" s="7" t="s">
        <v>24</v>
      </c>
      <c r="D68" s="11">
        <v>0</v>
      </c>
      <c r="E68" s="10">
        <v>1034.56</v>
      </c>
      <c r="F68" s="11">
        <v>0</v>
      </c>
      <c r="G68" s="11">
        <v>0</v>
      </c>
      <c r="H68" s="11">
        <v>0</v>
      </c>
      <c r="I68" s="11">
        <v>0</v>
      </c>
      <c r="J68" s="10">
        <v>626.17999999999995</v>
      </c>
      <c r="K68" s="11">
        <v>0</v>
      </c>
      <c r="L68" s="11">
        <v>0</v>
      </c>
      <c r="M68" s="11">
        <v>0</v>
      </c>
      <c r="N68" s="10">
        <v>535.42999999999995</v>
      </c>
      <c r="O68" s="11">
        <v>0</v>
      </c>
      <c r="P68" s="10">
        <v>2196.17</v>
      </c>
    </row>
    <row r="69" spans="1:16" x14ac:dyDescent="0.25">
      <c r="A69" s="17"/>
      <c r="B69" s="16"/>
      <c r="C69" s="7" t="s">
        <v>25</v>
      </c>
      <c r="D69" s="12">
        <v>6782</v>
      </c>
      <c r="E69" s="12">
        <v>8444</v>
      </c>
      <c r="F69" s="12">
        <v>5498</v>
      </c>
      <c r="G69" s="12">
        <v>10026</v>
      </c>
      <c r="H69" s="12">
        <v>7370</v>
      </c>
      <c r="I69" s="12">
        <v>5828</v>
      </c>
      <c r="J69" s="12">
        <v>2715</v>
      </c>
      <c r="K69" s="12">
        <v>3789</v>
      </c>
      <c r="L69" s="12">
        <v>5456</v>
      </c>
      <c r="M69" s="12">
        <v>10628</v>
      </c>
      <c r="N69" s="12">
        <v>0</v>
      </c>
      <c r="O69" s="13"/>
      <c r="P69" s="12">
        <v>66536</v>
      </c>
    </row>
    <row r="70" spans="1:16" x14ac:dyDescent="0.25">
      <c r="A70" s="17"/>
      <c r="B70" s="16"/>
      <c r="C70" s="7" t="s">
        <v>26</v>
      </c>
      <c r="D70" s="14"/>
      <c r="E70" s="15">
        <v>1.5546802463287499</v>
      </c>
      <c r="F70" s="14"/>
      <c r="G70" s="14"/>
      <c r="H70" s="14"/>
      <c r="I70" s="14"/>
      <c r="J70" s="15">
        <v>1.03051197053407</v>
      </c>
      <c r="K70" s="14"/>
      <c r="L70" s="14"/>
      <c r="M70" s="14"/>
      <c r="N70" s="14"/>
      <c r="O70" s="14"/>
      <c r="P70" s="15">
        <v>2.5851922168628199</v>
      </c>
    </row>
    <row r="71" spans="1:16" x14ac:dyDescent="0.25">
      <c r="A71" s="17"/>
      <c r="B71" s="16" t="s">
        <v>38</v>
      </c>
      <c r="C71" s="7" t="s">
        <v>21</v>
      </c>
      <c r="D71" s="8">
        <v>688.88</v>
      </c>
      <c r="E71" s="9">
        <v>0</v>
      </c>
      <c r="F71" s="9">
        <v>0</v>
      </c>
      <c r="G71" s="9">
        <v>0</v>
      </c>
      <c r="H71" s="9">
        <v>0</v>
      </c>
      <c r="I71" s="8">
        <v>4839.9399999999996</v>
      </c>
      <c r="J71" s="8">
        <v>1340.53</v>
      </c>
      <c r="K71" s="8">
        <v>5828.95</v>
      </c>
      <c r="L71" s="8">
        <v>5933.08</v>
      </c>
      <c r="M71" s="8">
        <v>28808.713599999999</v>
      </c>
      <c r="N71" s="9">
        <v>0</v>
      </c>
      <c r="O71" s="9">
        <v>0</v>
      </c>
      <c r="P71" s="8">
        <v>47440.0936</v>
      </c>
    </row>
    <row r="72" spans="1:16" x14ac:dyDescent="0.25">
      <c r="A72" s="17"/>
      <c r="B72" s="16"/>
      <c r="C72" s="7" t="s">
        <v>22</v>
      </c>
      <c r="D72" s="10">
        <v>280</v>
      </c>
      <c r="E72" s="11">
        <v>0</v>
      </c>
      <c r="F72" s="11">
        <v>0</v>
      </c>
      <c r="G72" s="11">
        <v>0</v>
      </c>
      <c r="H72" s="11">
        <v>0</v>
      </c>
      <c r="I72" s="10">
        <v>1641</v>
      </c>
      <c r="J72" s="10">
        <v>479</v>
      </c>
      <c r="K72" s="10">
        <v>1925</v>
      </c>
      <c r="L72" s="10">
        <v>1745</v>
      </c>
      <c r="M72" s="10">
        <v>5953.68</v>
      </c>
      <c r="N72" s="11">
        <v>0</v>
      </c>
      <c r="O72" s="11">
        <v>0</v>
      </c>
      <c r="P72" s="10">
        <v>12023.68</v>
      </c>
    </row>
    <row r="73" spans="1:16" x14ac:dyDescent="0.25">
      <c r="A73" s="17"/>
      <c r="B73" s="16"/>
      <c r="C73" s="7" t="s">
        <v>23</v>
      </c>
      <c r="D73" s="8">
        <v>4100.71</v>
      </c>
      <c r="E73" s="8">
        <v>7061.25</v>
      </c>
      <c r="F73" s="8">
        <v>1443.03</v>
      </c>
      <c r="G73" s="8">
        <v>4255.5200000000004</v>
      </c>
      <c r="H73" s="8">
        <v>1039.44</v>
      </c>
      <c r="I73" s="8">
        <v>988.45</v>
      </c>
      <c r="J73" s="8">
        <v>3132.32</v>
      </c>
      <c r="K73" s="8">
        <v>5487.62</v>
      </c>
      <c r="L73" s="8">
        <v>738.34</v>
      </c>
      <c r="M73" s="8">
        <v>7095.6</v>
      </c>
      <c r="N73" s="8">
        <v>3.85</v>
      </c>
      <c r="O73" s="9">
        <v>0</v>
      </c>
      <c r="P73" s="8">
        <v>35346.129999999997</v>
      </c>
    </row>
    <row r="74" spans="1:16" x14ac:dyDescent="0.25">
      <c r="A74" s="17"/>
      <c r="B74" s="16"/>
      <c r="C74" s="7" t="s">
        <v>24</v>
      </c>
      <c r="D74" s="10">
        <v>1092.6400000000001</v>
      </c>
      <c r="E74" s="10">
        <v>546.32000000000005</v>
      </c>
      <c r="F74" s="10">
        <v>546.32000000000005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0">
        <v>546.32000000000005</v>
      </c>
      <c r="N74" s="11">
        <v>0</v>
      </c>
      <c r="O74" s="11">
        <v>0</v>
      </c>
      <c r="P74" s="10">
        <v>2731.6</v>
      </c>
    </row>
    <row r="75" spans="1:16" x14ac:dyDescent="0.25">
      <c r="A75" s="17"/>
      <c r="B75" s="16"/>
      <c r="C75" s="7" t="s">
        <v>25</v>
      </c>
      <c r="D75" s="12">
        <v>0</v>
      </c>
      <c r="E75" s="13"/>
      <c r="F75" s="13"/>
      <c r="G75" s="13"/>
      <c r="H75" s="13"/>
      <c r="I75" s="12">
        <v>4577</v>
      </c>
      <c r="J75" s="12">
        <v>4087</v>
      </c>
      <c r="K75" s="12">
        <v>7666</v>
      </c>
      <c r="L75" s="12">
        <v>6744</v>
      </c>
      <c r="M75" s="12">
        <v>16215</v>
      </c>
      <c r="N75" s="13"/>
      <c r="O75" s="13"/>
      <c r="P75" s="12">
        <v>39289</v>
      </c>
    </row>
    <row r="76" spans="1:16" x14ac:dyDescent="0.25">
      <c r="A76" s="17"/>
      <c r="B76" s="16"/>
      <c r="C76" s="7" t="s">
        <v>26</v>
      </c>
      <c r="D76" s="14"/>
      <c r="E76" s="14"/>
      <c r="F76" s="14"/>
      <c r="G76" s="14"/>
      <c r="H76" s="14"/>
      <c r="I76" s="14"/>
      <c r="J76" s="14"/>
      <c r="K76" s="14"/>
      <c r="L76" s="14"/>
      <c r="M76" s="15">
        <v>2.2479576688251601</v>
      </c>
      <c r="N76" s="14"/>
      <c r="O76" s="14"/>
      <c r="P76" s="15">
        <v>2.2479576688251601</v>
      </c>
    </row>
    <row r="77" spans="1:16" x14ac:dyDescent="0.25">
      <c r="A77" s="17" t="s">
        <v>39</v>
      </c>
      <c r="B77" s="16" t="s">
        <v>40</v>
      </c>
      <c r="C77" s="7" t="s">
        <v>21</v>
      </c>
      <c r="D77" s="9">
        <v>0</v>
      </c>
      <c r="E77" s="9">
        <v>0</v>
      </c>
      <c r="F77" s="9">
        <v>0</v>
      </c>
      <c r="G77" s="8">
        <v>753.5</v>
      </c>
      <c r="H77" s="8">
        <v>1618.56</v>
      </c>
      <c r="I77" s="8">
        <v>4422.32</v>
      </c>
      <c r="J77" s="8">
        <v>4134.38</v>
      </c>
      <c r="K77" s="8">
        <v>3341.8</v>
      </c>
      <c r="L77" s="8">
        <v>2997.82</v>
      </c>
      <c r="M77" s="8">
        <v>3406.92</v>
      </c>
      <c r="N77" s="9">
        <v>0</v>
      </c>
      <c r="O77" s="9">
        <v>0</v>
      </c>
      <c r="P77" s="8">
        <v>20675.3</v>
      </c>
    </row>
    <row r="78" spans="1:16" x14ac:dyDescent="0.25">
      <c r="A78" s="17"/>
      <c r="B78" s="16"/>
      <c r="C78" s="7" t="s">
        <v>22</v>
      </c>
      <c r="D78" s="11">
        <v>0</v>
      </c>
      <c r="E78" s="11">
        <v>0</v>
      </c>
      <c r="F78" s="11">
        <v>0</v>
      </c>
      <c r="G78" s="10">
        <v>275</v>
      </c>
      <c r="H78" s="10">
        <v>562</v>
      </c>
      <c r="I78" s="10">
        <v>1484</v>
      </c>
      <c r="J78" s="10">
        <v>1369</v>
      </c>
      <c r="K78" s="10">
        <v>1078</v>
      </c>
      <c r="L78" s="10">
        <v>931</v>
      </c>
      <c r="M78" s="10">
        <v>979</v>
      </c>
      <c r="N78" s="11">
        <v>0</v>
      </c>
      <c r="O78" s="11">
        <v>0</v>
      </c>
      <c r="P78" s="10">
        <v>6678</v>
      </c>
    </row>
    <row r="79" spans="1:16" x14ac:dyDescent="0.25">
      <c r="A79" s="17"/>
      <c r="B79" s="16"/>
      <c r="C79" s="7" t="s">
        <v>23</v>
      </c>
      <c r="D79" s="8">
        <v>1596.57</v>
      </c>
      <c r="E79" s="8">
        <v>847.22</v>
      </c>
      <c r="F79" s="8">
        <v>12288.3</v>
      </c>
      <c r="G79" s="8">
        <v>7615.66</v>
      </c>
      <c r="H79" s="8">
        <v>2068.39</v>
      </c>
      <c r="I79" s="8">
        <v>66943.88</v>
      </c>
      <c r="J79" s="8">
        <v>55176.74</v>
      </c>
      <c r="K79" s="8">
        <v>2156.83</v>
      </c>
      <c r="L79" s="8">
        <v>3304.27</v>
      </c>
      <c r="M79" s="8">
        <v>2074.84</v>
      </c>
      <c r="N79" s="8">
        <v>181.52</v>
      </c>
      <c r="O79" s="9">
        <v>0</v>
      </c>
      <c r="P79" s="8">
        <v>154254.22</v>
      </c>
    </row>
    <row r="80" spans="1:16" x14ac:dyDescent="0.25">
      <c r="A80" s="17"/>
      <c r="B80" s="16"/>
      <c r="C80" s="7" t="s">
        <v>24</v>
      </c>
      <c r="D80" s="11">
        <v>0</v>
      </c>
      <c r="E80" s="11">
        <v>0</v>
      </c>
      <c r="F80" s="10">
        <v>446.49</v>
      </c>
      <c r="G80" s="11">
        <v>0</v>
      </c>
      <c r="H80" s="10">
        <v>90.75</v>
      </c>
      <c r="I80" s="10">
        <v>446.49</v>
      </c>
      <c r="J80" s="10">
        <v>535.42999999999995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0">
        <v>1519.16</v>
      </c>
    </row>
    <row r="81" spans="1:16" x14ac:dyDescent="0.25">
      <c r="A81" s="17"/>
      <c r="B81" s="16"/>
      <c r="C81" s="7" t="s">
        <v>25</v>
      </c>
      <c r="D81" s="13"/>
      <c r="E81" s="13"/>
      <c r="F81" s="13"/>
      <c r="G81" s="12">
        <v>0</v>
      </c>
      <c r="H81" s="12">
        <v>1028</v>
      </c>
      <c r="I81" s="12">
        <v>2925</v>
      </c>
      <c r="J81" s="12">
        <v>2699</v>
      </c>
      <c r="K81" s="12">
        <v>2106</v>
      </c>
      <c r="L81" s="12">
        <v>1841</v>
      </c>
      <c r="M81" s="12">
        <v>2135</v>
      </c>
      <c r="N81" s="13"/>
      <c r="O81" s="13"/>
      <c r="P81" s="12">
        <v>12734</v>
      </c>
    </row>
    <row r="82" spans="1:16" x14ac:dyDescent="0.25">
      <c r="A82" s="17"/>
      <c r="B82" s="16"/>
      <c r="C82" s="7" t="s">
        <v>26</v>
      </c>
      <c r="D82" s="14"/>
      <c r="E82" s="14"/>
      <c r="F82" s="14"/>
      <c r="G82" s="14"/>
      <c r="H82" s="15">
        <v>3.6748054474708201</v>
      </c>
      <c r="I82" s="15">
        <v>24.551347008547001</v>
      </c>
      <c r="J82" s="15">
        <v>22.1736013338273</v>
      </c>
      <c r="K82" s="14"/>
      <c r="L82" s="14"/>
      <c r="M82" s="14"/>
      <c r="N82" s="14"/>
      <c r="O82" s="14"/>
      <c r="P82" s="15">
        <v>50.399753789845199</v>
      </c>
    </row>
    <row r="83" spans="1:16" x14ac:dyDescent="0.25">
      <c r="A83" s="17"/>
      <c r="B83" s="16" t="s">
        <v>41</v>
      </c>
      <c r="C83" s="7" t="s">
        <v>21</v>
      </c>
      <c r="D83" s="8">
        <v>3988.64</v>
      </c>
      <c r="E83" s="8">
        <v>4276.38</v>
      </c>
      <c r="F83" s="8">
        <v>2296.48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8">
        <v>10561.5</v>
      </c>
    </row>
    <row r="84" spans="1:16" x14ac:dyDescent="0.25">
      <c r="A84" s="17"/>
      <c r="B84" s="16"/>
      <c r="C84" s="7" t="s">
        <v>22</v>
      </c>
      <c r="D84" s="10">
        <v>1552</v>
      </c>
      <c r="E84" s="10">
        <v>1626</v>
      </c>
      <c r="F84" s="10">
        <v>684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0">
        <v>3862</v>
      </c>
    </row>
    <row r="85" spans="1:16" x14ac:dyDescent="0.25">
      <c r="A85" s="17"/>
      <c r="B85" s="16"/>
      <c r="C85" s="7" t="s">
        <v>23</v>
      </c>
      <c r="D85" s="8">
        <v>438.63</v>
      </c>
      <c r="E85" s="8">
        <v>327.25</v>
      </c>
      <c r="F85" s="8">
        <v>266.95999999999998</v>
      </c>
      <c r="G85" s="9">
        <v>0</v>
      </c>
      <c r="H85" s="8">
        <v>874.01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8">
        <v>1906.85</v>
      </c>
    </row>
    <row r="86" spans="1:16" x14ac:dyDescent="0.25">
      <c r="A86" s="17"/>
      <c r="B86" s="16"/>
      <c r="C86" s="7" t="s">
        <v>24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</row>
    <row r="87" spans="1:16" x14ac:dyDescent="0.25">
      <c r="A87" s="17"/>
      <c r="B87" s="16"/>
      <c r="C87" s="7" t="s">
        <v>25</v>
      </c>
      <c r="D87" s="12">
        <v>0</v>
      </c>
      <c r="E87" s="12">
        <v>0</v>
      </c>
      <c r="F87" s="12">
        <v>0</v>
      </c>
      <c r="G87" s="13"/>
      <c r="H87" s="13"/>
      <c r="I87" s="13"/>
      <c r="J87" s="13"/>
      <c r="K87" s="13"/>
      <c r="L87" s="13"/>
      <c r="M87" s="13"/>
      <c r="N87" s="13"/>
      <c r="O87" s="13"/>
      <c r="P87" s="12">
        <v>0</v>
      </c>
    </row>
    <row r="88" spans="1:16" x14ac:dyDescent="0.25">
      <c r="A88" s="17"/>
      <c r="B88" s="16"/>
      <c r="C88" s="7" t="s">
        <v>26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spans="1:16" x14ac:dyDescent="0.25">
      <c r="A89" s="17"/>
      <c r="B89" s="16" t="s">
        <v>42</v>
      </c>
      <c r="C89" s="7" t="s">
        <v>21</v>
      </c>
      <c r="D89" s="9">
        <v>0</v>
      </c>
      <c r="E89" s="8">
        <v>341.9</v>
      </c>
      <c r="F89" s="8">
        <v>2994.36</v>
      </c>
      <c r="G89" s="8">
        <v>2080.2600000000002</v>
      </c>
      <c r="H89" s="8">
        <v>3240</v>
      </c>
      <c r="I89" s="8">
        <v>5563.66</v>
      </c>
      <c r="J89" s="9">
        <v>0</v>
      </c>
      <c r="K89" s="8">
        <v>3816.1</v>
      </c>
      <c r="L89" s="8">
        <v>2070.46</v>
      </c>
      <c r="M89" s="8">
        <v>1938.36</v>
      </c>
      <c r="N89" s="9">
        <v>0</v>
      </c>
      <c r="O89" s="9">
        <v>0</v>
      </c>
      <c r="P89" s="8">
        <v>22045.1</v>
      </c>
    </row>
    <row r="90" spans="1:16" x14ac:dyDescent="0.25">
      <c r="A90" s="17"/>
      <c r="B90" s="16"/>
      <c r="C90" s="7" t="s">
        <v>22</v>
      </c>
      <c r="D90" s="11">
        <v>0</v>
      </c>
      <c r="E90" s="10">
        <v>130</v>
      </c>
      <c r="F90" s="10">
        <v>939</v>
      </c>
      <c r="G90" s="10">
        <v>762</v>
      </c>
      <c r="H90" s="10">
        <v>1125</v>
      </c>
      <c r="I90" s="10">
        <v>1867</v>
      </c>
      <c r="J90" s="11">
        <v>0</v>
      </c>
      <c r="K90" s="10">
        <v>1231</v>
      </c>
      <c r="L90" s="10">
        <v>643</v>
      </c>
      <c r="M90" s="10">
        <v>557</v>
      </c>
      <c r="N90" s="11">
        <v>0</v>
      </c>
      <c r="O90" s="11">
        <v>0</v>
      </c>
      <c r="P90" s="10">
        <v>7254</v>
      </c>
    </row>
    <row r="91" spans="1:16" x14ac:dyDescent="0.25">
      <c r="A91" s="17"/>
      <c r="B91" s="16"/>
      <c r="C91" s="7" t="s">
        <v>23</v>
      </c>
      <c r="D91" s="8">
        <v>12180.8</v>
      </c>
      <c r="E91" s="8">
        <v>1403.71</v>
      </c>
      <c r="F91" s="8">
        <v>144.37</v>
      </c>
      <c r="G91" s="8">
        <v>83.61</v>
      </c>
      <c r="H91" s="8">
        <v>514.77</v>
      </c>
      <c r="I91" s="8">
        <v>38867.9</v>
      </c>
      <c r="J91" s="8">
        <v>13031.76</v>
      </c>
      <c r="K91" s="8">
        <v>2710.73</v>
      </c>
      <c r="L91" s="8">
        <v>3643.92</v>
      </c>
      <c r="M91" s="8">
        <v>3296.71</v>
      </c>
      <c r="N91" s="8">
        <v>317.08</v>
      </c>
      <c r="O91" s="9">
        <v>0</v>
      </c>
      <c r="P91" s="8">
        <v>76195.360000000001</v>
      </c>
    </row>
    <row r="92" spans="1:16" x14ac:dyDescent="0.25">
      <c r="A92" s="17"/>
      <c r="B92" s="16"/>
      <c r="C92" s="7" t="s">
        <v>24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0">
        <v>90.75</v>
      </c>
      <c r="J92" s="10">
        <v>399.3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0">
        <v>490.05</v>
      </c>
    </row>
    <row r="93" spans="1:16" x14ac:dyDescent="0.25">
      <c r="A93" s="17"/>
      <c r="B93" s="16"/>
      <c r="C93" s="7" t="s">
        <v>25</v>
      </c>
      <c r="D93" s="13"/>
      <c r="E93" s="12">
        <v>0</v>
      </c>
      <c r="F93" s="12">
        <v>1857</v>
      </c>
      <c r="G93" s="12">
        <v>1595</v>
      </c>
      <c r="H93" s="12">
        <v>2306</v>
      </c>
      <c r="I93" s="12">
        <v>3539</v>
      </c>
      <c r="J93" s="13"/>
      <c r="K93" s="12">
        <v>2295</v>
      </c>
      <c r="L93" s="12">
        <v>1202</v>
      </c>
      <c r="M93" s="12">
        <v>1372</v>
      </c>
      <c r="N93" s="13"/>
      <c r="O93" s="13"/>
      <c r="P93" s="12">
        <v>14166</v>
      </c>
    </row>
    <row r="94" spans="1:16" x14ac:dyDescent="0.25">
      <c r="A94" s="17"/>
      <c r="B94" s="16"/>
      <c r="C94" s="7" t="s">
        <v>26</v>
      </c>
      <c r="D94" s="14"/>
      <c r="E94" s="14"/>
      <c r="F94" s="14"/>
      <c r="G94" s="14"/>
      <c r="H94" s="14"/>
      <c r="I94" s="15">
        <v>12.5804775360271</v>
      </c>
      <c r="J94" s="14"/>
      <c r="K94" s="14"/>
      <c r="L94" s="14"/>
      <c r="M94" s="14"/>
      <c r="N94" s="14"/>
      <c r="O94" s="14"/>
      <c r="P94" s="15">
        <v>12.5804775360271</v>
      </c>
    </row>
    <row r="95" spans="1:16" x14ac:dyDescent="0.25">
      <c r="A95" s="17"/>
      <c r="B95" s="16" t="s">
        <v>43</v>
      </c>
      <c r="C95" s="7" t="s">
        <v>21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</row>
    <row r="96" spans="1:16" x14ac:dyDescent="0.25">
      <c r="A96" s="17"/>
      <c r="B96" s="16"/>
      <c r="C96" s="7" t="s">
        <v>22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</row>
    <row r="97" spans="1:16" x14ac:dyDescent="0.25">
      <c r="A97" s="17"/>
      <c r="B97" s="16"/>
      <c r="C97" s="7" t="s">
        <v>23</v>
      </c>
      <c r="D97" s="9">
        <v>0</v>
      </c>
      <c r="E97" s="8">
        <v>0.39</v>
      </c>
      <c r="F97" s="9">
        <v>0</v>
      </c>
      <c r="G97" s="8">
        <v>1089</v>
      </c>
      <c r="H97" s="9">
        <v>0</v>
      </c>
      <c r="I97" s="9">
        <v>0</v>
      </c>
      <c r="J97" s="9">
        <v>0</v>
      </c>
      <c r="K97" s="9">
        <v>0</v>
      </c>
      <c r="L97" s="8">
        <v>0</v>
      </c>
      <c r="M97" s="9">
        <v>0</v>
      </c>
      <c r="N97" s="9">
        <v>0</v>
      </c>
      <c r="O97" s="9">
        <v>0</v>
      </c>
      <c r="P97" s="8">
        <v>1089.3900000000001</v>
      </c>
    </row>
    <row r="98" spans="1:16" x14ac:dyDescent="0.25">
      <c r="A98" s="17"/>
      <c r="B98" s="16"/>
      <c r="C98" s="7" t="s">
        <v>24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</row>
    <row r="99" spans="1:16" x14ac:dyDescent="0.25">
      <c r="A99" s="17"/>
      <c r="B99" s="16"/>
      <c r="C99" s="7" t="s">
        <v>25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spans="1:16" x14ac:dyDescent="0.25">
      <c r="A100" s="17"/>
      <c r="B100" s="16"/>
      <c r="C100" s="7" t="s">
        <v>26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 x14ac:dyDescent="0.25">
      <c r="A101" s="17"/>
      <c r="B101" s="16" t="s">
        <v>44</v>
      </c>
      <c r="C101" s="7" t="s">
        <v>21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</row>
    <row r="102" spans="1:16" x14ac:dyDescent="0.25">
      <c r="A102" s="17"/>
      <c r="B102" s="16"/>
      <c r="C102" s="7" t="s">
        <v>22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</row>
    <row r="103" spans="1:16" x14ac:dyDescent="0.25">
      <c r="A103" s="17"/>
      <c r="B103" s="16"/>
      <c r="C103" s="7" t="s">
        <v>23</v>
      </c>
      <c r="D103" s="8">
        <v>7320.01</v>
      </c>
      <c r="E103" s="9">
        <v>0</v>
      </c>
      <c r="F103" s="8">
        <v>1778.22</v>
      </c>
      <c r="G103" s="8">
        <v>874.55</v>
      </c>
      <c r="H103" s="8">
        <v>118.13</v>
      </c>
      <c r="I103" s="8">
        <v>152.04</v>
      </c>
      <c r="J103" s="8">
        <v>4.54</v>
      </c>
      <c r="K103" s="8">
        <v>4170.75</v>
      </c>
      <c r="L103" s="8">
        <v>0</v>
      </c>
      <c r="M103" s="8">
        <v>941.17</v>
      </c>
      <c r="N103" s="9">
        <v>0</v>
      </c>
      <c r="O103" s="9">
        <v>0</v>
      </c>
      <c r="P103" s="8">
        <v>15359.41</v>
      </c>
    </row>
    <row r="104" spans="1:16" x14ac:dyDescent="0.25">
      <c r="A104" s="17"/>
      <c r="B104" s="16"/>
      <c r="C104" s="7" t="s">
        <v>24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</row>
    <row r="105" spans="1:16" x14ac:dyDescent="0.25">
      <c r="A105" s="17"/>
      <c r="B105" s="16"/>
      <c r="C105" s="7" t="s">
        <v>25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spans="1:16" x14ac:dyDescent="0.25">
      <c r="A106" s="17"/>
      <c r="B106" s="16"/>
      <c r="C106" s="7" t="s">
        <v>26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1:16" x14ac:dyDescent="0.25">
      <c r="A107" s="17"/>
      <c r="B107" s="16" t="s">
        <v>45</v>
      </c>
      <c r="C107" s="7" t="s">
        <v>21</v>
      </c>
      <c r="D107" s="8">
        <v>3335.86</v>
      </c>
      <c r="E107" s="8">
        <v>2893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8">
        <v>6228.86</v>
      </c>
    </row>
    <row r="108" spans="1:16" x14ac:dyDescent="0.25">
      <c r="A108" s="17"/>
      <c r="B108" s="16"/>
      <c r="C108" s="7" t="s">
        <v>22</v>
      </c>
      <c r="D108" s="10">
        <v>1298</v>
      </c>
      <c r="E108" s="10">
        <v>1100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0">
        <v>2398</v>
      </c>
    </row>
    <row r="109" spans="1:16" x14ac:dyDescent="0.25">
      <c r="A109" s="17"/>
      <c r="B109" s="16"/>
      <c r="C109" s="7" t="s">
        <v>23</v>
      </c>
      <c r="D109" s="8">
        <v>769.65</v>
      </c>
      <c r="E109" s="8">
        <v>2854.18</v>
      </c>
      <c r="F109" s="8">
        <v>4806.53</v>
      </c>
      <c r="G109" s="9">
        <v>0</v>
      </c>
      <c r="H109" s="9">
        <v>0</v>
      </c>
      <c r="I109" s="9">
        <v>0</v>
      </c>
      <c r="J109" s="8">
        <v>1162.3800000000001</v>
      </c>
      <c r="K109" s="8">
        <v>4578.5600000000004</v>
      </c>
      <c r="L109" s="9">
        <v>0</v>
      </c>
      <c r="M109" s="8">
        <v>4052.75</v>
      </c>
      <c r="N109" s="9">
        <v>0</v>
      </c>
      <c r="O109" s="9">
        <v>0</v>
      </c>
      <c r="P109" s="8">
        <v>18224.05</v>
      </c>
    </row>
    <row r="110" spans="1:16" x14ac:dyDescent="0.25">
      <c r="A110" s="17"/>
      <c r="B110" s="16"/>
      <c r="C110" s="7" t="s">
        <v>24</v>
      </c>
      <c r="D110" s="11">
        <v>0</v>
      </c>
      <c r="E110" s="10">
        <v>90.75</v>
      </c>
      <c r="F110" s="10">
        <v>446.49</v>
      </c>
      <c r="G110" s="11">
        <v>0</v>
      </c>
      <c r="H110" s="11">
        <v>0</v>
      </c>
      <c r="I110" s="11">
        <v>0</v>
      </c>
      <c r="J110" s="11">
        <v>0</v>
      </c>
      <c r="K110" s="10">
        <v>435.6</v>
      </c>
      <c r="L110" s="11">
        <v>0</v>
      </c>
      <c r="M110" s="11">
        <v>0</v>
      </c>
      <c r="N110" s="11">
        <v>0</v>
      </c>
      <c r="O110" s="11">
        <v>0</v>
      </c>
      <c r="P110" s="10">
        <v>972.84</v>
      </c>
    </row>
    <row r="111" spans="1:16" x14ac:dyDescent="0.25">
      <c r="A111" s="17"/>
      <c r="B111" s="16"/>
      <c r="C111" s="7" t="s">
        <v>25</v>
      </c>
      <c r="D111" s="12">
        <v>1646</v>
      </c>
      <c r="E111" s="12">
        <v>1834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2">
        <v>3480</v>
      </c>
    </row>
    <row r="112" spans="1:16" x14ac:dyDescent="0.25">
      <c r="A112" s="17"/>
      <c r="B112" s="16"/>
      <c r="C112" s="7" t="s">
        <v>26</v>
      </c>
      <c r="D112" s="14"/>
      <c r="E112" s="15">
        <v>3.1831679389312999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5">
        <v>3.1831679389312999</v>
      </c>
    </row>
    <row r="113" spans="1:16" x14ac:dyDescent="0.25">
      <c r="A113" s="17" t="s">
        <v>46</v>
      </c>
      <c r="B113" s="16" t="s">
        <v>47</v>
      </c>
      <c r="C113" s="7" t="s">
        <v>21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</row>
    <row r="114" spans="1:16" x14ac:dyDescent="0.25">
      <c r="A114" s="17"/>
      <c r="B114" s="16"/>
      <c r="C114" s="7" t="s">
        <v>22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</row>
    <row r="115" spans="1:16" x14ac:dyDescent="0.25">
      <c r="A115" s="17"/>
      <c r="B115" s="16"/>
      <c r="C115" s="7" t="s">
        <v>23</v>
      </c>
      <c r="D115" s="9">
        <v>0</v>
      </c>
      <c r="E115" s="8">
        <v>5894.1</v>
      </c>
      <c r="F115" s="8">
        <v>1964.54</v>
      </c>
      <c r="G115" s="8">
        <v>12323.07</v>
      </c>
      <c r="H115" s="8">
        <v>10.050000000000001</v>
      </c>
      <c r="I115" s="9">
        <v>0</v>
      </c>
      <c r="J115" s="8">
        <v>2733.15</v>
      </c>
      <c r="K115" s="8">
        <v>6247.72</v>
      </c>
      <c r="L115" s="8">
        <v>5949.6</v>
      </c>
      <c r="M115" s="8">
        <v>8744.16</v>
      </c>
      <c r="N115" s="8">
        <v>3592.3</v>
      </c>
      <c r="O115" s="9">
        <v>0</v>
      </c>
      <c r="P115" s="8">
        <v>47458.69</v>
      </c>
    </row>
    <row r="116" spans="1:16" x14ac:dyDescent="0.25">
      <c r="A116" s="17"/>
      <c r="B116" s="16"/>
      <c r="C116" s="7" t="s">
        <v>24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</row>
    <row r="117" spans="1:16" x14ac:dyDescent="0.25">
      <c r="A117" s="17"/>
      <c r="B117" s="16"/>
      <c r="C117" s="7" t="s">
        <v>25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spans="1:16" x14ac:dyDescent="0.25">
      <c r="A118" s="17"/>
      <c r="B118" s="16"/>
      <c r="C118" s="7" t="s">
        <v>26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</row>
    <row r="119" spans="1:16" x14ac:dyDescent="0.25">
      <c r="A119" s="17"/>
      <c r="B119" s="16" t="s">
        <v>48</v>
      </c>
      <c r="C119" s="7" t="s">
        <v>21</v>
      </c>
      <c r="D119" s="8">
        <v>447.81</v>
      </c>
      <c r="E119" s="8">
        <v>1241.3599999999999</v>
      </c>
      <c r="F119" s="9">
        <v>0</v>
      </c>
      <c r="G119" s="8">
        <v>2421.5100000000002</v>
      </c>
      <c r="H119" s="8">
        <v>3271.68</v>
      </c>
      <c r="I119" s="8">
        <v>1618.14</v>
      </c>
      <c r="J119" s="8">
        <v>3847.48</v>
      </c>
      <c r="K119" s="8">
        <v>4448.5</v>
      </c>
      <c r="L119" s="8">
        <v>2910.88</v>
      </c>
      <c r="M119" s="8">
        <v>1451.16</v>
      </c>
      <c r="N119" s="9">
        <v>0</v>
      </c>
      <c r="O119" s="9">
        <v>0</v>
      </c>
      <c r="P119" s="8">
        <v>21658.52</v>
      </c>
    </row>
    <row r="120" spans="1:16" x14ac:dyDescent="0.25">
      <c r="A120" s="17"/>
      <c r="B120" s="16"/>
      <c r="C120" s="7" t="s">
        <v>22</v>
      </c>
      <c r="D120" s="10">
        <v>177</v>
      </c>
      <c r="E120" s="10">
        <v>472</v>
      </c>
      <c r="F120" s="11">
        <v>0</v>
      </c>
      <c r="G120" s="10">
        <v>887</v>
      </c>
      <c r="H120" s="10">
        <v>1136</v>
      </c>
      <c r="I120" s="10">
        <v>543</v>
      </c>
      <c r="J120" s="10">
        <v>1274</v>
      </c>
      <c r="K120" s="10">
        <v>1435</v>
      </c>
      <c r="L120" s="10">
        <v>904</v>
      </c>
      <c r="M120" s="10">
        <v>417</v>
      </c>
      <c r="N120" s="11">
        <v>0</v>
      </c>
      <c r="O120" s="11">
        <v>0</v>
      </c>
      <c r="P120" s="10">
        <v>7245</v>
      </c>
    </row>
    <row r="121" spans="1:16" x14ac:dyDescent="0.25">
      <c r="A121" s="17"/>
      <c r="B121" s="16"/>
      <c r="C121" s="7" t="s">
        <v>23</v>
      </c>
      <c r="D121" s="8">
        <v>2177.39</v>
      </c>
      <c r="E121" s="8">
        <v>873.12</v>
      </c>
      <c r="F121" s="8">
        <v>5385.64</v>
      </c>
      <c r="G121" s="8">
        <v>6740.4</v>
      </c>
      <c r="H121" s="8">
        <v>1388.1</v>
      </c>
      <c r="I121" s="8">
        <v>3891.62</v>
      </c>
      <c r="J121" s="8">
        <v>3610.25</v>
      </c>
      <c r="K121" s="8">
        <v>4297.7</v>
      </c>
      <c r="L121" s="8">
        <v>934.72</v>
      </c>
      <c r="M121" s="8">
        <v>690.23</v>
      </c>
      <c r="N121" s="8">
        <v>2084.17</v>
      </c>
      <c r="O121" s="9">
        <v>0</v>
      </c>
      <c r="P121" s="8">
        <v>32073.34</v>
      </c>
    </row>
    <row r="122" spans="1:16" x14ac:dyDescent="0.25">
      <c r="A122" s="17"/>
      <c r="B122" s="16"/>
      <c r="C122" s="7" t="s">
        <v>24</v>
      </c>
      <c r="D122" s="11">
        <v>0</v>
      </c>
      <c r="E122" s="11">
        <v>0</v>
      </c>
      <c r="F122" s="11">
        <v>0</v>
      </c>
      <c r="G122" s="11">
        <v>0</v>
      </c>
      <c r="H122" s="10">
        <v>546.30999999999995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0">
        <v>546.30999999999995</v>
      </c>
    </row>
    <row r="123" spans="1:16" x14ac:dyDescent="0.25">
      <c r="A123" s="17"/>
      <c r="B123" s="16"/>
      <c r="C123" s="7" t="s">
        <v>25</v>
      </c>
      <c r="D123" s="12">
        <v>0</v>
      </c>
      <c r="E123" s="12">
        <v>0</v>
      </c>
      <c r="F123" s="13"/>
      <c r="G123" s="12">
        <v>1</v>
      </c>
      <c r="H123" s="12">
        <v>0</v>
      </c>
      <c r="I123" s="12">
        <v>0</v>
      </c>
      <c r="J123" s="12">
        <v>4</v>
      </c>
      <c r="K123" s="12">
        <v>3</v>
      </c>
      <c r="L123" s="12">
        <v>1</v>
      </c>
      <c r="M123" s="12">
        <v>0</v>
      </c>
      <c r="N123" s="13"/>
      <c r="O123" s="13"/>
      <c r="P123" s="12">
        <v>9</v>
      </c>
    </row>
    <row r="124" spans="1:16" x14ac:dyDescent="0.25">
      <c r="A124" s="17"/>
      <c r="B124" s="16"/>
      <c r="C124" s="7" t="s">
        <v>26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</row>
  </sheetData>
  <mergeCells count="24">
    <mergeCell ref="B113:B118"/>
    <mergeCell ref="A113:A124"/>
    <mergeCell ref="B119:B124"/>
    <mergeCell ref="B83:B88"/>
    <mergeCell ref="B89:B94"/>
    <mergeCell ref="B95:B100"/>
    <mergeCell ref="B101:B106"/>
    <mergeCell ref="A77:A112"/>
    <mergeCell ref="B107:B112"/>
    <mergeCell ref="B59:B64"/>
    <mergeCell ref="B65:B70"/>
    <mergeCell ref="A53:A76"/>
    <mergeCell ref="B71:B76"/>
    <mergeCell ref="B77:B82"/>
    <mergeCell ref="B35:B40"/>
    <mergeCell ref="B41:B46"/>
    <mergeCell ref="A5:A52"/>
    <mergeCell ref="B47:B52"/>
    <mergeCell ref="B53:B58"/>
    <mergeCell ref="B5:B10"/>
    <mergeCell ref="B11:B16"/>
    <mergeCell ref="B17:B22"/>
    <mergeCell ref="B23:B28"/>
    <mergeCell ref="B29:B34"/>
  </mergeCells>
  <pageMargins left="0.7" right="0.7" top="0.75" bottom="0.75" header="0.45" footer="0.45"/>
  <pageSetup paperSize="9" orientation="portrait"/>
  <headerFooter>
    <oddHeader>&amp;L&amp;20Q1 - VW&amp;R&amp;D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Q1 - VW</vt:lpstr>
      <vt:lpstr>'1. Q1 - VW'!Titulos_de_impressao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Usuário</cp:lastModifiedBy>
  <dcterms:created xsi:type="dcterms:W3CDTF">2021-11-13T13:40:03Z</dcterms:created>
  <dcterms:modified xsi:type="dcterms:W3CDTF">2021-11-13T14:38:39Z</dcterms:modified>
</cp:coreProperties>
</file>