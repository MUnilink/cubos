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 tabRatio="696"/>
  </bookViews>
  <sheets>
    <sheet name="2020 vs. 2021" sheetId="20" r:id="rId1"/>
    <sheet name="Planilha1" sheetId="15" state="hidden" r:id="rId2"/>
  </sheets>
  <definedNames>
    <definedName name="a" localSheetId="0">'2020 vs. 2021'!$A$1:$I$69</definedName>
    <definedName name="_xlnm.Print_Area" localSheetId="0">'2020 vs. 2021'!$A$1:$S$70</definedName>
    <definedName name="ds" localSheetId="0">'2020 vs. 2021'!$A$1:$I$69</definedName>
    <definedName name="Print_Area_0" localSheetId="0">'2020 vs. 2021'!$A$1:$I$69</definedName>
    <definedName name="Print_Area_0_0" localSheetId="0">'2020 vs. 2021'!$A$1:$I$69</definedName>
    <definedName name="Print_Area_0_0_0" localSheetId="0">'2020 vs. 2021'!$A$1:$I$69</definedName>
    <definedName name="Print_Area_0_0_0_0" localSheetId="0">'2020 vs. 2021'!$A$1:$I$69</definedName>
    <definedName name="Print_Area_0_0_0_0_0" localSheetId="0">'2020 vs. 2021'!$A$1:$I$69</definedName>
    <definedName name="Print_Area_0_0_0_0_0_0" localSheetId="0">'2020 vs. 2021'!$A$1:$I$69</definedName>
    <definedName name="Print_Area_0_0_0_0_0_0_0" localSheetId="0">'2020 vs. 2021'!$A$1:$I$69</definedName>
    <definedName name="Print_Area_0_0_0_0_0_0_0_0" localSheetId="0">'2020 vs. 2021'!$A$1:$I$69</definedName>
    <definedName name="s" localSheetId="0">'2020 vs. 2021'!$A$1:$I$69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0" i="20" l="1"/>
  <c r="C50" i="20"/>
  <c r="E67" i="20"/>
  <c r="D67" i="20"/>
  <c r="C67" i="20"/>
  <c r="G50" i="20" l="1"/>
  <c r="G67" i="20"/>
  <c r="G7" i="20"/>
  <c r="G8" i="20"/>
  <c r="G9" i="20"/>
  <c r="G10" i="20"/>
  <c r="G11" i="20"/>
  <c r="I11" i="20" s="1"/>
  <c r="G12" i="20"/>
  <c r="I12" i="20" s="1"/>
  <c r="G13" i="20"/>
  <c r="G14" i="20"/>
  <c r="G15" i="20"/>
  <c r="G16" i="20"/>
  <c r="G17" i="20"/>
  <c r="G6" i="20"/>
  <c r="F7" i="20"/>
  <c r="F8" i="20"/>
  <c r="H8" i="20" s="1"/>
  <c r="F9" i="20"/>
  <c r="F10" i="20"/>
  <c r="F11" i="20"/>
  <c r="H11" i="20" s="1"/>
  <c r="F12" i="20"/>
  <c r="H12" i="20" s="1"/>
  <c r="F13" i="20"/>
  <c r="F14" i="20"/>
  <c r="F15" i="20"/>
  <c r="F16" i="20"/>
  <c r="H16" i="20" s="1"/>
  <c r="F17" i="20"/>
  <c r="F6" i="20"/>
  <c r="D50" i="20"/>
  <c r="D18" i="20"/>
  <c r="C34" i="20"/>
  <c r="C18" i="20"/>
  <c r="I65" i="20"/>
  <c r="I64" i="20"/>
  <c r="I63" i="20"/>
  <c r="I62" i="20"/>
  <c r="I61" i="20"/>
  <c r="I60" i="20"/>
  <c r="I59" i="20"/>
  <c r="I58" i="20"/>
  <c r="I57" i="20"/>
  <c r="I56" i="20"/>
  <c r="I48" i="20"/>
  <c r="I47" i="20"/>
  <c r="I46" i="20"/>
  <c r="I45" i="20"/>
  <c r="I44" i="20"/>
  <c r="I43" i="20"/>
  <c r="I42" i="20"/>
  <c r="I41" i="20"/>
  <c r="I40" i="20"/>
  <c r="I39" i="20"/>
  <c r="I33" i="20"/>
  <c r="I32" i="20"/>
  <c r="I31" i="20"/>
  <c r="I30" i="20"/>
  <c r="I29" i="20"/>
  <c r="I28" i="20"/>
  <c r="I27" i="20"/>
  <c r="I26" i="20"/>
  <c r="I25" i="20"/>
  <c r="I24" i="20"/>
  <c r="I23" i="20"/>
  <c r="H15" i="20" l="1"/>
  <c r="I17" i="20"/>
  <c r="I9" i="20"/>
  <c r="I15" i="20"/>
  <c r="H13" i="20"/>
  <c r="I10" i="20"/>
  <c r="H17" i="20"/>
  <c r="H9" i="20"/>
  <c r="I13" i="20"/>
  <c r="I8" i="20"/>
  <c r="H10" i="20"/>
  <c r="I14" i="20"/>
  <c r="H14" i="20"/>
  <c r="I7" i="20"/>
  <c r="I16" i="20"/>
  <c r="H7" i="20"/>
  <c r="B50" i="20"/>
  <c r="F50" i="20" s="1"/>
  <c r="B67" i="20"/>
  <c r="F67" i="20" s="1"/>
  <c r="B18" i="20"/>
  <c r="F18" i="20" s="1"/>
  <c r="E18" i="20"/>
  <c r="G18" i="20" s="1"/>
  <c r="I50" i="20" l="1"/>
  <c r="I67" i="20"/>
  <c r="B34" i="20" l="1"/>
</calcChain>
</file>

<file path=xl/sharedStrings.xml><?xml version="1.0" encoding="utf-8"?>
<sst xmlns="http://schemas.openxmlformats.org/spreadsheetml/2006/main" count="81" uniqueCount="28">
  <si>
    <t>R$/KM FROTA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</si>
  <si>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</si>
  <si>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</si>
  <si>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</si>
  <si>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</si>
  <si>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</si>
  <si>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</si>
  <si>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</si>
  <si>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</si>
  <si>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</si>
  <si>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</si>
  <si>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</si>
  <si>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</si>
  <si>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Geral</t>
  </si>
  <si>
    <t>SEMI REBOQUES</t>
  </si>
  <si>
    <t>VEÍCULOS LEVES</t>
  </si>
  <si>
    <t>R$/KM ROD</t>
  </si>
  <si>
    <t>VEÍCULOS MÉDIOS</t>
  </si>
  <si>
    <t>CAVALOS MECÂNICOS - RODOVIARIO</t>
  </si>
  <si>
    <t>MANUT. 2020</t>
  </si>
  <si>
    <t>MANUT. 2021</t>
  </si>
  <si>
    <t>KM 2020</t>
  </si>
  <si>
    <t>KM 2021</t>
  </si>
  <si>
    <t>R$/KM FROTA 2020</t>
  </si>
  <si>
    <t>R$/KM FROTA 2021</t>
  </si>
  <si>
    <t>VARIAÇÃO MENSAL 2020</t>
  </si>
  <si>
    <t>VARIAÇÃO MENSAL 2021</t>
  </si>
  <si>
    <t>CUSTO POR KM RODADOS MANUTENÇÃO FROTA UNILINK - COMPARATIVO 2020 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</si>
</sst>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;\(#,##0.00\);\-#\ ;@\ "/>
    <numFmt numFmtId="165" formatCode="0.0000"/>
  </numFmts>
  <fonts count="14" x14ac:knownFonts="1">
    <font>
      <sz val="11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80"/>
      <name val="Arial"/>
      <family val="2"/>
      <charset val="1"/>
    </font>
    <font>
      <sz val="10"/>
      <color rgb="FFFFFFFF"/>
      <name val="Arial"/>
      <family val="2"/>
      <charset val="1"/>
    </font>
    <font>
      <b/>
      <i/>
      <sz val="11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800000"/>
      <name val="Arial"/>
      <family val="2"/>
      <charset val="1"/>
    </font>
    <font>
      <sz val="10"/>
      <color rgb="FF800000"/>
      <name val="Arial"/>
      <family val="2"/>
      <charset val="1"/>
    </font>
    <font>
      <b/>
      <i/>
      <sz val="9"/>
      <color rgb="FF0000FF"/>
      <name val="Arial"/>
      <family val="2"/>
      <charset val="1"/>
    </font>
    <font>
      <b/>
      <i/>
      <sz val="10"/>
      <color rgb="FF0000FF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3366FF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E3E3E3"/>
        <bgColor rgb="FFD9D9D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/>
    <xf numFmtId="9" fontId="13" fillId="0" borderId="0" applyBorder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1" applyNumberFormat="1" applyFont="1" applyAlignment="1" applyProtection="1">
      <alignment horizontal="center"/>
    </xf>
    <xf numFmtId="0" fontId="4" fillId="0" borderId="0" xfId="0" applyFont="1"/>
    <xf numFmtId="0" fontId="6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9" fontId="0" fillId="0" borderId="0" xfId="2" applyFont="1" applyBorder="1" applyAlignment="1" applyProtection="1">
      <alignment horizontal="center"/>
    </xf>
    <xf numFmtId="0" fontId="1" fillId="2" borderId="0" xfId="0" applyFont="1" applyFill="1" applyAlignment="1">
      <alignment horizontal="left" vertical="center"/>
    </xf>
    <xf numFmtId="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4" fontId="3" fillId="0" borderId="0" xfId="0" applyNumberFormat="1" applyFont="1" applyFill="1" applyAlignment="1">
      <alignment horizontal="center" vertical="center"/>
    </xf>
    <xf numFmtId="10" fontId="0" fillId="0" borderId="0" xfId="2" applyNumberFormat="1" applyFont="1" applyBorder="1" applyAlignment="1" applyProtection="1">
      <alignment horizontal="center"/>
    </xf>
    <xf numFmtId="4" fontId="3" fillId="0" borderId="0" xfId="0" applyNumberFormat="1" applyFont="1" applyAlignment="1">
      <alignment horizontal="center" vertical="center"/>
    </xf>
    <xf numFmtId="4" fontId="8" fillId="5" borderId="0" xfId="0" applyNumberFormat="1" applyFont="1" applyFill="1" applyAlignment="1">
      <alignment vertical="center"/>
    </xf>
    <xf numFmtId="0" fontId="5" fillId="3" borderId="0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3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7" sqref="B17"/>
    </sheetView>
  </sheetViews>
  <sheetFormatPr defaultRowHeight="14.25" outlineLevelRow="1" x14ac:dyDescent="0.2"/>
  <cols>
    <col min="1" max="1" width="47.25" bestFit="1" customWidth="1"/>
    <col min="2" max="4" width="20.5" customWidth="1"/>
    <col min="5" max="5" width="13.5" customWidth="1"/>
    <col min="6" max="7" width="16.625" customWidth="1"/>
    <col min="8" max="8" width="20.625" bestFit="1" customWidth="1"/>
    <col min="9" max="9" width="20" customWidth="1"/>
    <col min="10" max="10" width="8.5" customWidth="1"/>
    <col min="11" max="11" width="12.625" customWidth="1"/>
    <col min="12" max="1025" width="8.5" customWidth="1"/>
    <col min="1026" max="1027" width="9" customWidth="1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2"/>
      <c r="K1" s="3"/>
      <c r="L1" s="3"/>
      <c r="M1" s="4"/>
      <c r="N1" s="3"/>
      <c r="O1" s="5"/>
      <c r="P1" s="5"/>
    </row>
    <row r="2" spans="1:16" ht="20.100000000000001" customHeight="1" x14ac:dyDescent="0.2">
      <c r="A2" s="29" t="s">
        <v>27</v>
      </c>
      <c r="B2" s="29"/>
      <c r="C2" s="29"/>
      <c r="D2" s="29"/>
      <c r="E2" s="29"/>
      <c r="F2" s="29"/>
      <c r="G2" s="29"/>
      <c r="H2" s="29"/>
      <c r="I2" s="29"/>
      <c r="J2" s="6"/>
      <c r="K2" s="3"/>
      <c r="L2" s="3"/>
      <c r="M2" s="3"/>
      <c r="N2" s="3"/>
      <c r="O2" s="5"/>
      <c r="P2" s="5"/>
    </row>
    <row r="3" spans="1:16" ht="6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1"/>
      <c r="L3" s="1"/>
      <c r="M3" s="1"/>
      <c r="N3" s="1"/>
    </row>
    <row r="4" spans="1:16" x14ac:dyDescent="0.2">
      <c r="A4" s="8" t="s">
        <v>18</v>
      </c>
      <c r="B4" s="9"/>
      <c r="C4" s="9"/>
      <c r="D4" s="9"/>
      <c r="E4" s="9"/>
      <c r="F4" s="9"/>
      <c r="G4" s="9"/>
      <c r="H4" s="9"/>
      <c r="I4" s="10"/>
      <c r="J4" s="7"/>
      <c r="K4" s="1"/>
      <c r="L4" s="1"/>
      <c r="M4" s="1"/>
      <c r="N4" s="1"/>
    </row>
    <row r="5" spans="1:16" outlineLevel="1" x14ac:dyDescent="0.2">
      <c r="A5" s="7"/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24</v>
      </c>
      <c r="H5" s="11" t="s">
        <v>25</v>
      </c>
      <c r="I5" s="11" t="s">
        <v>26</v>
      </c>
      <c r="J5" s="2"/>
      <c r="K5" s="1"/>
      <c r="L5" s="1"/>
      <c r="M5" s="1"/>
      <c r="N5" s="1"/>
    </row>
    <row r="6" spans="1:16" outlineLevel="1" x14ac:dyDescent="0.2">
      <c r="A6" s="13" t="s">
        <v>1</v>
      </c>
      <c r="B6" s="14">
        <v>106324.57</v>
      </c>
      <c r="C6" s="14">
        <v>29038.2</v>
      </c>
      <c r="D6" s="15">
        <v>252018</v>
      </c>
      <c r="E6" s="15">
        <v>161597</v>
      </c>
      <c r="F6" s="2">
        <f>B6/D6</f>
        <v>0.42189276162813771</v>
      </c>
      <c r="G6" s="2">
        <f>C6/E6</f>
        <v>0.17969516760830956</v>
      </c>
      <c r="J6" s="2"/>
      <c r="K6" s="1"/>
      <c r="L6" s="1"/>
      <c r="M6" s="1"/>
      <c r="N6" s="1"/>
    </row>
    <row r="7" spans="1:16" outlineLevel="1" x14ac:dyDescent="0.2">
      <c r="A7" s="13" t="s">
        <v>2</v>
      </c>
      <c r="B7" s="14">
        <v>93652.090000000011</v>
      </c>
      <c r="C7" s="14">
        <v>57867.65</v>
      </c>
      <c r="D7" s="15">
        <v>237368</v>
      </c>
      <c r="E7" s="15">
        <v>175626</v>
      </c>
      <c r="F7" s="2">
        <f t="shared" ref="F7:F18" si="0">B7/D7</f>
        <v>0.39454387280509595</v>
      </c>
      <c r="G7" s="2">
        <f t="shared" ref="G7:G18" si="1">C7/E7</f>
        <v>0.32949363989386538</v>
      </c>
      <c r="H7" s="26">
        <f>IFERROR((F7/F6)-100%,"")</f>
        <v>-6.4824266520949414E-2</v>
      </c>
      <c r="I7" s="26">
        <f>IFERROR((G7/G6)-100%,"")</f>
        <v>0.83362549076488768</v>
      </c>
      <c r="J7" s="2"/>
      <c r="K7" s="1"/>
      <c r="L7" s="1"/>
      <c r="M7" s="1"/>
      <c r="N7" s="1"/>
    </row>
    <row r="8" spans="1:16" outlineLevel="1" x14ac:dyDescent="0.2">
      <c r="A8" s="13" t="s">
        <v>3</v>
      </c>
      <c r="B8" s="14">
        <v>89245.43</v>
      </c>
      <c r="C8" s="14">
        <v>76455.41</v>
      </c>
      <c r="D8" s="15">
        <v>262376</v>
      </c>
      <c r="E8" s="15">
        <v>207701</v>
      </c>
      <c r="F8" s="2">
        <f t="shared" si="0"/>
        <v>0.34014326767692166</v>
      </c>
      <c r="G8" s="2">
        <f t="shared" si="1"/>
        <v>0.36810323493868591</v>
      </c>
      <c r="H8" s="26">
        <f t="shared" ref="H8:I17" si="2">IFERROR((F8/F7)-100%,"")</f>
        <v>-0.13788227083949189</v>
      </c>
      <c r="I8" s="26">
        <f t="shared" si="2"/>
        <v>0.11717857454625591</v>
      </c>
      <c r="J8" s="2"/>
      <c r="K8" s="1"/>
      <c r="L8" s="1"/>
      <c r="M8" s="1"/>
      <c r="N8" s="1"/>
    </row>
    <row r="9" spans="1:16" outlineLevel="1" x14ac:dyDescent="0.2">
      <c r="A9" s="13" t="s">
        <v>4</v>
      </c>
      <c r="B9" s="14">
        <v>53270.32</v>
      </c>
      <c r="C9" s="14">
        <v>53864.1</v>
      </c>
      <c r="D9" s="15">
        <v>131703</v>
      </c>
      <c r="E9" s="15">
        <v>233861</v>
      </c>
      <c r="F9" s="2">
        <f t="shared" si="0"/>
        <v>0.40447309476625437</v>
      </c>
      <c r="G9" s="2">
        <f t="shared" si="1"/>
        <v>0.23032527869118835</v>
      </c>
      <c r="H9" s="26">
        <f t="shared" si="2"/>
        <v>0.18912568085996972</v>
      </c>
      <c r="I9" s="26">
        <f t="shared" si="2"/>
        <v>-0.37429162031256502</v>
      </c>
      <c r="J9" s="2"/>
      <c r="K9" s="1"/>
      <c r="L9" s="1"/>
      <c r="M9" s="1"/>
      <c r="N9" s="1"/>
    </row>
    <row r="10" spans="1:16" outlineLevel="1" x14ac:dyDescent="0.2">
      <c r="A10" s="13" t="s">
        <v>5</v>
      </c>
      <c r="B10" s="14">
        <v>47928.59</v>
      </c>
      <c r="C10" s="14">
        <v>83932.62</v>
      </c>
      <c r="D10" s="15">
        <v>247912</v>
      </c>
      <c r="E10" s="15">
        <v>169190</v>
      </c>
      <c r="F10" s="2">
        <f t="shared" si="0"/>
        <v>0.193329044176966</v>
      </c>
      <c r="G10" s="2">
        <f t="shared" si="1"/>
        <v>0.49608499320290794</v>
      </c>
      <c r="H10" s="26">
        <f t="shared" si="2"/>
        <v>-0.52202248634438553</v>
      </c>
      <c r="I10" s="26">
        <f t="shared" si="2"/>
        <v>1.1538451880830696</v>
      </c>
      <c r="J10" s="2"/>
      <c r="K10" s="1"/>
      <c r="L10" s="1"/>
      <c r="M10" s="1"/>
      <c r="N10" s="1"/>
    </row>
    <row r="11" spans="1:16" outlineLevel="1" x14ac:dyDescent="0.2">
      <c r="A11" s="13" t="s">
        <v>6</v>
      </c>
      <c r="B11" s="14">
        <v>61334.299999999996</v>
      </c>
      <c r="C11" s="14">
        <v>123910.45</v>
      </c>
      <c r="D11" s="15">
        <v>163714</v>
      </c>
      <c r="E11" s="15">
        <v>219025</v>
      </c>
      <c r="F11" s="2">
        <f t="shared" si="0"/>
        <v>0.37464297494410981</v>
      </c>
      <c r="G11" s="2">
        <f t="shared" si="1"/>
        <v>0.56573655975345283</v>
      </c>
      <c r="H11" s="26">
        <f t="shared" si="2"/>
        <v>0.93785148289036169</v>
      </c>
      <c r="I11" s="26">
        <f t="shared" si="2"/>
        <v>0.14040248647887665</v>
      </c>
      <c r="J11" s="2"/>
      <c r="K11" s="1"/>
      <c r="L11" s="1"/>
      <c r="M11" s="1"/>
      <c r="N11" s="1"/>
    </row>
    <row r="12" spans="1:16" outlineLevel="1" x14ac:dyDescent="0.2">
      <c r="A12" s="13" t="s">
        <v>7</v>
      </c>
      <c r="B12" s="14">
        <v>79639.47</v>
      </c>
      <c r="C12" s="14">
        <v>62570.44</v>
      </c>
      <c r="D12" s="15">
        <v>153318</v>
      </c>
      <c r="E12" s="15">
        <v>115636</v>
      </c>
      <c r="F12" s="2">
        <f t="shared" si="0"/>
        <v>0.51943979180526745</v>
      </c>
      <c r="G12" s="2">
        <f t="shared" si="1"/>
        <v>0.54109827389394305</v>
      </c>
      <c r="H12" s="26">
        <f t="shared" si="2"/>
        <v>0.38649281194384821</v>
      </c>
      <c r="I12" s="26">
        <f t="shared" si="2"/>
        <v>-4.3550810770028869E-2</v>
      </c>
      <c r="J12" s="2"/>
      <c r="K12" s="1"/>
      <c r="L12" s="1"/>
      <c r="M12" s="1"/>
      <c r="N12" s="1"/>
    </row>
    <row r="13" spans="1:16" outlineLevel="1" x14ac:dyDescent="0.2">
      <c r="A13" s="13" t="s">
        <v>8</v>
      </c>
      <c r="B13" s="14">
        <v>51420.140000000007</v>
      </c>
      <c r="C13" s="14">
        <v>84741.01</v>
      </c>
      <c r="D13" s="15">
        <v>164272</v>
      </c>
      <c r="E13" s="15">
        <v>142631</v>
      </c>
      <c r="F13" s="2">
        <f t="shared" si="0"/>
        <v>0.31301828674393695</v>
      </c>
      <c r="G13" s="2">
        <f t="shared" si="1"/>
        <v>0.59412757394956217</v>
      </c>
      <c r="H13" s="26">
        <f t="shared" si="2"/>
        <v>-0.39739255312715005</v>
      </c>
      <c r="I13" s="26">
        <f t="shared" si="2"/>
        <v>9.8003084862941181E-2</v>
      </c>
      <c r="J13" s="2"/>
      <c r="K13" s="1"/>
      <c r="L13" s="1"/>
      <c r="M13" s="1"/>
      <c r="N13" s="1"/>
    </row>
    <row r="14" spans="1:16" outlineLevel="1" x14ac:dyDescent="0.2">
      <c r="A14" s="13" t="s">
        <v>9</v>
      </c>
      <c r="B14" s="14">
        <v>61157.109999999993</v>
      </c>
      <c r="C14" s="14">
        <v>73883.61</v>
      </c>
      <c r="D14" s="15">
        <v>357772</v>
      </c>
      <c r="E14" s="15">
        <v>150961</v>
      </c>
      <c r="F14" s="2">
        <f t="shared" si="0"/>
        <v>0.17093878224120387</v>
      </c>
      <c r="G14" s="2">
        <f t="shared" si="1"/>
        <v>0.48942183742820994</v>
      </c>
      <c r="H14" s="26">
        <f t="shared" si="2"/>
        <v>-0.45390161060769108</v>
      </c>
      <c r="I14" s="26">
        <f t="shared" si="2"/>
        <v>-0.17623443366767744</v>
      </c>
      <c r="J14" s="2"/>
      <c r="K14" s="1"/>
      <c r="L14" s="1"/>
      <c r="M14" s="1"/>
      <c r="N14" s="1"/>
    </row>
    <row r="15" spans="1:16" outlineLevel="1" x14ac:dyDescent="0.2">
      <c r="A15" s="13" t="s">
        <v>10</v>
      </c>
      <c r="B15" s="14">
        <v>65608.284</v>
      </c>
      <c r="C15" s="14">
        <v>45136.73</v>
      </c>
      <c r="D15" s="15">
        <v>406614</v>
      </c>
      <c r="E15" s="15">
        <v>237549</v>
      </c>
      <c r="F15" s="2">
        <f t="shared" si="0"/>
        <v>0.16135274240434416</v>
      </c>
      <c r="G15" s="2">
        <f t="shared" si="1"/>
        <v>0.19001018737186856</v>
      </c>
      <c r="H15" s="26">
        <f t="shared" si="2"/>
        <v>-5.6078788623480924E-2</v>
      </c>
      <c r="I15" s="26">
        <f t="shared" si="2"/>
        <v>-0.61176602096399124</v>
      </c>
      <c r="J15" s="2"/>
      <c r="K15" s="1"/>
      <c r="L15" s="1"/>
      <c r="M15" s="1"/>
      <c r="N15" s="1"/>
    </row>
    <row r="16" spans="1:16" outlineLevel="1" x14ac:dyDescent="0.2">
      <c r="A16" s="13" t="s">
        <v>11</v>
      </c>
      <c r="B16" s="25">
        <v>63159.070000000007</v>
      </c>
      <c r="C16" s="14">
        <v>46077.919999999998</v>
      </c>
      <c r="D16" s="15">
        <v>325429</v>
      </c>
      <c r="E16" s="15">
        <v>271545</v>
      </c>
      <c r="F16" s="2">
        <f t="shared" si="0"/>
        <v>0.19407941517197302</v>
      </c>
      <c r="G16" s="2">
        <f t="shared" si="1"/>
        <v>0.16968797068625827</v>
      </c>
      <c r="H16" s="26">
        <f t="shared" si="2"/>
        <v>0.20282687656846266</v>
      </c>
      <c r="I16" s="26">
        <f t="shared" si="2"/>
        <v>-0.10695330059244523</v>
      </c>
      <c r="J16" s="2"/>
      <c r="K16" s="1"/>
      <c r="L16" s="1"/>
      <c r="M16" s="1"/>
      <c r="N16" s="1"/>
    </row>
    <row r="17" spans="1:14" outlineLevel="1" x14ac:dyDescent="0.2">
      <c r="A17" s="13" t="s">
        <v>12</v>
      </c>
      <c r="B17" s="14">
        <v>58417.990000000013</v>
      </c>
      <c r="C17" s="14">
        <v>93597.46</v>
      </c>
      <c r="D17" s="15">
        <v>606262</v>
      </c>
      <c r="E17" s="15">
        <v>114399</v>
      </c>
      <c r="F17" s="2">
        <f t="shared" si="0"/>
        <v>9.6357663848303229E-2</v>
      </c>
      <c r="G17" s="2">
        <f t="shared" si="1"/>
        <v>0.81816676719202097</v>
      </c>
      <c r="H17" s="26">
        <f t="shared" si="2"/>
        <v>-0.50351425078790002</v>
      </c>
      <c r="I17" s="26">
        <f t="shared" si="2"/>
        <v>3.8215955667520873</v>
      </c>
      <c r="J17" s="2"/>
      <c r="K17" s="1"/>
      <c r="L17" s="1"/>
      <c r="M17" s="1"/>
      <c r="N17" s="1"/>
    </row>
    <row r="18" spans="1:14" outlineLevel="1" x14ac:dyDescent="0.2">
      <c r="A18" s="17" t="s">
        <v>13</v>
      </c>
      <c r="B18" s="18">
        <f>SUM(B6:B17)</f>
        <v>831157.36400000006</v>
      </c>
      <c r="C18" s="18">
        <f>SUM(C6:C17)</f>
        <v>831075.6</v>
      </c>
      <c r="D18" s="19">
        <f>SUM(D6:D17)</f>
        <v>3308758</v>
      </c>
      <c r="E18" s="19">
        <f>SUM(E6:E17)</f>
        <v>2199721</v>
      </c>
      <c r="F18" s="20">
        <f t="shared" si="0"/>
        <v>0.25119920042505378</v>
      </c>
      <c r="G18" s="20">
        <f t="shared" si="1"/>
        <v>0.37780954948377543</v>
      </c>
      <c r="H18" s="20"/>
      <c r="I18" s="20"/>
      <c r="J18" s="2"/>
      <c r="K18" s="1"/>
      <c r="L18" s="1"/>
      <c r="M18" s="1"/>
      <c r="N18" s="1"/>
    </row>
    <row r="19" spans="1:14" ht="6" customHeight="1" x14ac:dyDescent="0.2">
      <c r="A19" s="13"/>
      <c r="B19" s="14"/>
      <c r="C19" s="14"/>
      <c r="D19" s="14"/>
      <c r="E19" s="15"/>
      <c r="F19" s="2"/>
      <c r="G19" s="2"/>
      <c r="H19" s="2"/>
      <c r="I19" s="2"/>
      <c r="J19" s="2"/>
      <c r="K19" s="1"/>
      <c r="L19" s="1"/>
      <c r="M19" s="1"/>
      <c r="N19" s="1"/>
    </row>
    <row r="20" spans="1:14" x14ac:dyDescent="0.2">
      <c r="A20" s="8" t="s">
        <v>14</v>
      </c>
      <c r="B20" s="8"/>
      <c r="C20" s="8"/>
      <c r="D20" s="8"/>
      <c r="E20" s="8"/>
      <c r="F20" s="8"/>
      <c r="G20" s="8"/>
      <c r="H20" s="8"/>
      <c r="I20" s="21"/>
      <c r="J20" s="2"/>
      <c r="K20" s="1"/>
      <c r="L20" s="1"/>
      <c r="M20" s="1"/>
      <c r="N20" s="1"/>
    </row>
    <row r="21" spans="1:14" outlineLevel="1" x14ac:dyDescent="0.2">
      <c r="A21" s="7"/>
      <c r="B21" s="12" t="s">
        <v>19</v>
      </c>
      <c r="C21" s="12" t="s">
        <v>20</v>
      </c>
      <c r="D21" s="12"/>
      <c r="E21" s="12"/>
      <c r="F21" s="12"/>
      <c r="G21" s="12"/>
      <c r="H21" s="12"/>
      <c r="J21" s="2"/>
      <c r="K21" s="1"/>
      <c r="L21" s="1"/>
      <c r="M21" s="1"/>
      <c r="N21" s="1"/>
    </row>
    <row r="22" spans="1:14" outlineLevel="1" x14ac:dyDescent="0.2">
      <c r="A22" s="13" t="s">
        <v>1</v>
      </c>
      <c r="B22" s="14">
        <v>24208.6</v>
      </c>
      <c r="C22" s="14">
        <v>27359.37</v>
      </c>
      <c r="D22" s="14"/>
      <c r="E22" s="2"/>
      <c r="F22" s="22"/>
      <c r="G22" s="22"/>
      <c r="H22" s="22"/>
      <c r="J22" s="2"/>
      <c r="K22" s="1"/>
      <c r="L22" s="1"/>
      <c r="M22" s="1"/>
      <c r="N22" s="1"/>
    </row>
    <row r="23" spans="1:14" outlineLevel="1" x14ac:dyDescent="0.2">
      <c r="A23" s="13" t="s">
        <v>2</v>
      </c>
      <c r="B23" s="14">
        <v>20859.939999999999</v>
      </c>
      <c r="C23" s="14">
        <v>22980.87</v>
      </c>
      <c r="D23" s="14"/>
      <c r="E23" s="2"/>
      <c r="F23" s="22"/>
      <c r="G23" s="22"/>
      <c r="H23" s="22"/>
      <c r="I23" s="16" t="str">
        <f t="shared" ref="I23:I33" si="3">IFERROR((F23/F22)-100%,"")</f>
        <v/>
      </c>
      <c r="J23" s="2"/>
      <c r="K23" s="1"/>
      <c r="L23" s="1"/>
      <c r="M23" s="1"/>
      <c r="N23" s="1"/>
    </row>
    <row r="24" spans="1:14" outlineLevel="1" x14ac:dyDescent="0.2">
      <c r="A24" s="13" t="s">
        <v>3</v>
      </c>
      <c r="B24" s="14">
        <v>17429.3</v>
      </c>
      <c r="C24" s="14">
        <v>23143.119999999999</v>
      </c>
      <c r="D24" s="14"/>
      <c r="E24" s="2"/>
      <c r="F24" s="22"/>
      <c r="G24" s="22"/>
      <c r="H24" s="22"/>
      <c r="I24" s="16" t="str">
        <f t="shared" si="3"/>
        <v/>
      </c>
      <c r="J24" s="2"/>
      <c r="K24" s="1"/>
      <c r="L24" s="1"/>
      <c r="M24" s="1"/>
      <c r="N24" s="1"/>
    </row>
    <row r="25" spans="1:14" outlineLevel="1" x14ac:dyDescent="0.2">
      <c r="A25" s="13" t="s">
        <v>4</v>
      </c>
      <c r="B25" s="14">
        <v>12727.619999999995</v>
      </c>
      <c r="C25" s="14">
        <v>43773.45</v>
      </c>
      <c r="D25" s="14"/>
      <c r="E25" s="2"/>
      <c r="F25" s="22"/>
      <c r="G25" s="22"/>
      <c r="H25" s="22"/>
      <c r="I25" s="16" t="str">
        <f t="shared" si="3"/>
        <v/>
      </c>
      <c r="J25" s="2"/>
      <c r="K25" s="1"/>
      <c r="L25" s="1"/>
      <c r="M25" s="1"/>
      <c r="N25" s="1"/>
    </row>
    <row r="26" spans="1:14" outlineLevel="1" x14ac:dyDescent="0.2">
      <c r="A26" s="13" t="s">
        <v>5</v>
      </c>
      <c r="B26" s="14">
        <v>19108.079999999998</v>
      </c>
      <c r="C26" s="14">
        <v>42453.75</v>
      </c>
      <c r="D26" s="14"/>
      <c r="E26" s="2"/>
      <c r="F26" s="22"/>
      <c r="G26" s="22"/>
      <c r="H26" s="22"/>
      <c r="I26" s="16" t="str">
        <f t="shared" si="3"/>
        <v/>
      </c>
      <c r="J26" s="2"/>
      <c r="K26" s="1"/>
      <c r="L26" s="1"/>
      <c r="M26" s="1"/>
      <c r="N26" s="1"/>
    </row>
    <row r="27" spans="1:14" outlineLevel="1" x14ac:dyDescent="0.2">
      <c r="A27" s="13" t="s">
        <v>6</v>
      </c>
      <c r="B27" s="14">
        <v>37248.659999999996</v>
      </c>
      <c r="C27" s="14">
        <v>49057.11</v>
      </c>
      <c r="D27" s="14"/>
      <c r="E27" s="2"/>
      <c r="F27" s="22"/>
      <c r="G27" s="22"/>
      <c r="H27" s="22"/>
      <c r="I27" s="16" t="str">
        <f t="shared" si="3"/>
        <v/>
      </c>
      <c r="J27" s="2"/>
      <c r="K27" s="1"/>
      <c r="L27" s="1"/>
      <c r="M27" s="1"/>
      <c r="N27" s="1"/>
    </row>
    <row r="28" spans="1:14" outlineLevel="1" x14ac:dyDescent="0.2">
      <c r="A28" s="13" t="s">
        <v>7</v>
      </c>
      <c r="B28" s="14">
        <v>36188.839999999989</v>
      </c>
      <c r="C28" s="14">
        <v>38635.160000000003</v>
      </c>
      <c r="D28" s="14"/>
      <c r="E28" s="2"/>
      <c r="F28" s="22"/>
      <c r="G28" s="22"/>
      <c r="H28" s="22"/>
      <c r="I28" s="16" t="str">
        <f t="shared" si="3"/>
        <v/>
      </c>
      <c r="J28" s="2"/>
      <c r="K28" s="1"/>
      <c r="L28" s="1"/>
      <c r="M28" s="1"/>
      <c r="N28" s="1"/>
    </row>
    <row r="29" spans="1:14" outlineLevel="1" x14ac:dyDescent="0.2">
      <c r="A29" s="13" t="s">
        <v>8</v>
      </c>
      <c r="B29" s="27">
        <v>19318.190000000002</v>
      </c>
      <c r="C29" s="14">
        <v>41537.269999999997</v>
      </c>
      <c r="D29" s="14"/>
      <c r="E29" s="2"/>
      <c r="F29" s="22"/>
      <c r="G29" s="22"/>
      <c r="H29" s="22"/>
      <c r="I29" s="16" t="str">
        <f t="shared" si="3"/>
        <v/>
      </c>
      <c r="J29" s="2"/>
      <c r="K29" s="1"/>
      <c r="L29" s="1"/>
      <c r="M29" s="1"/>
      <c r="N29" s="1"/>
    </row>
    <row r="30" spans="1:14" outlineLevel="1" x14ac:dyDescent="0.2">
      <c r="A30" s="13" t="s">
        <v>9</v>
      </c>
      <c r="B30" s="27">
        <v>30374.920000000006</v>
      </c>
      <c r="C30" s="14">
        <v>33431.910000000003</v>
      </c>
      <c r="D30" s="14"/>
      <c r="E30" s="2"/>
      <c r="F30" s="22"/>
      <c r="G30" s="22"/>
      <c r="H30" s="22"/>
      <c r="I30" s="16" t="str">
        <f t="shared" si="3"/>
        <v/>
      </c>
      <c r="J30" s="2"/>
      <c r="K30" s="1"/>
      <c r="L30" s="1"/>
      <c r="M30" s="1"/>
      <c r="N30" s="1"/>
    </row>
    <row r="31" spans="1:14" outlineLevel="1" x14ac:dyDescent="0.2">
      <c r="A31" s="13" t="s">
        <v>10</v>
      </c>
      <c r="B31" s="14">
        <v>33145.37000000001</v>
      </c>
      <c r="C31" s="14">
        <v>33083.360000000001</v>
      </c>
      <c r="D31" s="14"/>
      <c r="E31" s="2"/>
      <c r="F31" s="22"/>
      <c r="G31" s="22"/>
      <c r="H31" s="22"/>
      <c r="I31" s="16" t="str">
        <f t="shared" si="3"/>
        <v/>
      </c>
      <c r="J31" s="2"/>
      <c r="K31" s="1"/>
      <c r="L31" s="1"/>
      <c r="M31" s="1"/>
      <c r="N31" s="1"/>
    </row>
    <row r="32" spans="1:14" outlineLevel="1" x14ac:dyDescent="0.2">
      <c r="A32" s="13" t="s">
        <v>11</v>
      </c>
      <c r="B32" s="14">
        <v>36430.69</v>
      </c>
      <c r="C32" s="14">
        <v>31742.05</v>
      </c>
      <c r="D32" s="14"/>
      <c r="E32" s="2"/>
      <c r="F32" s="22"/>
      <c r="G32" s="22"/>
      <c r="H32" s="22"/>
      <c r="I32" s="16" t="str">
        <f t="shared" si="3"/>
        <v/>
      </c>
      <c r="J32" s="2"/>
      <c r="K32" s="1"/>
      <c r="L32" s="1"/>
      <c r="M32" s="1"/>
      <c r="N32" s="1"/>
    </row>
    <row r="33" spans="1:20" outlineLevel="1" x14ac:dyDescent="0.2">
      <c r="A33" s="13" t="s">
        <v>12</v>
      </c>
      <c r="B33" s="14">
        <v>19928.339999999997</v>
      </c>
      <c r="C33" s="14">
        <v>35299.370000000003</v>
      </c>
      <c r="D33" s="14"/>
      <c r="E33" s="2"/>
      <c r="F33" s="22"/>
      <c r="G33" s="22"/>
      <c r="H33" s="22"/>
      <c r="I33" s="16" t="str">
        <f t="shared" si="3"/>
        <v/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outlineLevel="1" x14ac:dyDescent="0.2">
      <c r="A34" s="17" t="s">
        <v>13</v>
      </c>
      <c r="B34" s="18">
        <f>SUM(B22:B33)</f>
        <v>306968.55000000005</v>
      </c>
      <c r="C34" s="18">
        <f>SUM(C22:C33)</f>
        <v>422496.79</v>
      </c>
      <c r="D34" s="18"/>
      <c r="E34" s="23"/>
      <c r="F34" s="20"/>
      <c r="G34" s="20"/>
      <c r="H34" s="20"/>
      <c r="J34" s="2"/>
      <c r="K34" s="1"/>
      <c r="L34" s="1"/>
      <c r="M34" s="1"/>
      <c r="N34" s="1"/>
    </row>
    <row r="35" spans="1:20" x14ac:dyDescent="0.2">
      <c r="A35" s="13"/>
      <c r="B35" s="14"/>
      <c r="C35" s="14"/>
      <c r="D35" s="14"/>
      <c r="E35" s="15"/>
      <c r="F35" s="2"/>
      <c r="G35" s="2"/>
      <c r="H35" s="2"/>
      <c r="I35" s="2"/>
      <c r="J35" s="2"/>
      <c r="K35" s="1"/>
      <c r="L35" s="1"/>
      <c r="M35" s="1"/>
      <c r="N35" s="1"/>
    </row>
    <row r="36" spans="1:20" x14ac:dyDescent="0.2">
      <c r="A36" s="8" t="s">
        <v>15</v>
      </c>
      <c r="B36" s="8"/>
      <c r="C36" s="8"/>
      <c r="D36" s="8"/>
      <c r="E36" s="8"/>
      <c r="F36" s="8"/>
      <c r="G36" s="8"/>
      <c r="H36" s="8"/>
      <c r="I36" s="21"/>
      <c r="J36" s="2"/>
      <c r="K36" s="1"/>
      <c r="L36" s="1"/>
      <c r="M36" s="1"/>
      <c r="N36" s="1"/>
    </row>
    <row r="37" spans="1:20" outlineLevel="1" x14ac:dyDescent="0.2">
      <c r="A37" s="7"/>
      <c r="B37" s="12" t="s">
        <v>19</v>
      </c>
      <c r="C37" s="12" t="s">
        <v>20</v>
      </c>
      <c r="D37" s="12" t="s">
        <v>21</v>
      </c>
      <c r="E37" s="12" t="s">
        <v>22</v>
      </c>
      <c r="J37" s="2"/>
      <c r="K37" s="1"/>
      <c r="L37" s="1"/>
      <c r="M37" s="1"/>
      <c r="N37" s="1"/>
    </row>
    <row r="38" spans="1:20" outlineLevel="1" x14ac:dyDescent="0.2">
      <c r="A38" s="13" t="s">
        <v>1</v>
      </c>
      <c r="B38" s="14">
        <v>477.95</v>
      </c>
      <c r="C38" s="14">
        <v>1267.3499999999999</v>
      </c>
      <c r="D38" s="15">
        <v>41807</v>
      </c>
      <c r="E38" s="15">
        <v>17839</v>
      </c>
      <c r="F38" s="2"/>
      <c r="G38" s="2"/>
      <c r="H38" s="2"/>
      <c r="I38" s="1"/>
      <c r="J38" s="2"/>
      <c r="K38" s="1"/>
      <c r="L38" s="1"/>
      <c r="M38" s="1"/>
      <c r="N38" s="1"/>
    </row>
    <row r="39" spans="1:20" outlineLevel="1" x14ac:dyDescent="0.2">
      <c r="A39" s="13" t="s">
        <v>2</v>
      </c>
      <c r="B39" s="14">
        <v>5246.09</v>
      </c>
      <c r="C39" s="14">
        <v>326.97000000000003</v>
      </c>
      <c r="D39" s="15">
        <v>20433</v>
      </c>
      <c r="E39" s="15">
        <v>14987</v>
      </c>
      <c r="F39" s="2"/>
      <c r="G39" s="2"/>
      <c r="H39" s="2"/>
      <c r="I39" s="16" t="str">
        <f t="shared" ref="I39:I48" si="4">IFERROR((F39/F38)-100%,"")</f>
        <v/>
      </c>
      <c r="J39" s="2"/>
      <c r="K39" s="1"/>
      <c r="L39" s="1"/>
      <c r="M39" s="1"/>
      <c r="N39" s="1"/>
    </row>
    <row r="40" spans="1:20" outlineLevel="1" x14ac:dyDescent="0.2">
      <c r="A40" s="13" t="s">
        <v>3</v>
      </c>
      <c r="B40" s="14">
        <v>1975.92</v>
      </c>
      <c r="C40" s="14">
        <v>6633.39</v>
      </c>
      <c r="D40" s="15">
        <v>20342</v>
      </c>
      <c r="E40" s="15">
        <v>18920</v>
      </c>
      <c r="F40" s="2"/>
      <c r="G40" s="2"/>
      <c r="H40" s="2"/>
      <c r="I40" s="16" t="str">
        <f t="shared" si="4"/>
        <v/>
      </c>
      <c r="J40" s="2"/>
      <c r="K40" s="1"/>
      <c r="L40" s="1"/>
      <c r="M40" s="1"/>
      <c r="N40" s="1"/>
    </row>
    <row r="41" spans="1:20" outlineLevel="1" x14ac:dyDescent="0.2">
      <c r="A41" s="13" t="s">
        <v>4</v>
      </c>
      <c r="B41" s="14">
        <v>1078.92</v>
      </c>
      <c r="C41" s="14">
        <v>3657.7</v>
      </c>
      <c r="D41" s="15">
        <v>20636</v>
      </c>
      <c r="E41" s="15">
        <v>23702</v>
      </c>
      <c r="F41" s="2"/>
      <c r="G41" s="2"/>
      <c r="H41" s="2"/>
      <c r="I41" s="16" t="str">
        <f t="shared" si="4"/>
        <v/>
      </c>
      <c r="J41" s="2"/>
      <c r="K41" s="1"/>
      <c r="L41" s="1"/>
      <c r="M41" s="1"/>
      <c r="N41" s="1"/>
    </row>
    <row r="42" spans="1:20" outlineLevel="1" x14ac:dyDescent="0.2">
      <c r="A42" s="13" t="s">
        <v>5</v>
      </c>
      <c r="B42" s="14">
        <v>2218.7700000000004</v>
      </c>
      <c r="C42" s="14">
        <v>10351.280000000001</v>
      </c>
      <c r="D42" s="15">
        <v>21905</v>
      </c>
      <c r="E42" s="15">
        <v>28176</v>
      </c>
      <c r="F42" s="2"/>
      <c r="G42" s="2"/>
      <c r="H42" s="2"/>
      <c r="I42" s="16" t="str">
        <f t="shared" si="4"/>
        <v/>
      </c>
      <c r="J42" s="2"/>
      <c r="K42" s="1"/>
      <c r="L42" s="1"/>
      <c r="M42" s="1"/>
      <c r="N42" s="1"/>
    </row>
    <row r="43" spans="1:20" outlineLevel="1" x14ac:dyDescent="0.2">
      <c r="A43" s="13" t="s">
        <v>6</v>
      </c>
      <c r="B43" s="14">
        <v>6389.52</v>
      </c>
      <c r="C43" s="14">
        <v>1589.33</v>
      </c>
      <c r="D43" s="15">
        <v>21202</v>
      </c>
      <c r="E43" s="15">
        <v>30142</v>
      </c>
      <c r="F43" s="2"/>
      <c r="G43" s="2"/>
      <c r="H43" s="2"/>
      <c r="I43" s="16" t="str">
        <f t="shared" si="4"/>
        <v/>
      </c>
      <c r="J43" s="2"/>
      <c r="K43" s="1"/>
      <c r="L43" s="1"/>
      <c r="M43" s="1"/>
      <c r="N43" s="1"/>
    </row>
    <row r="44" spans="1:20" outlineLevel="1" x14ac:dyDescent="0.2">
      <c r="A44" s="13" t="s">
        <v>7</v>
      </c>
      <c r="B44" s="14">
        <v>3724.06</v>
      </c>
      <c r="C44" s="14">
        <v>4196.7700000000004</v>
      </c>
      <c r="D44" s="15">
        <v>24235</v>
      </c>
      <c r="E44" s="15">
        <v>29295</v>
      </c>
      <c r="F44" s="2"/>
      <c r="G44" s="2"/>
      <c r="H44" s="2"/>
      <c r="I44" s="16" t="str">
        <f t="shared" si="4"/>
        <v/>
      </c>
      <c r="J44" s="2"/>
      <c r="K44" s="1"/>
      <c r="L44" s="1"/>
      <c r="M44" s="1"/>
      <c r="N44" s="1"/>
    </row>
    <row r="45" spans="1:20" outlineLevel="1" x14ac:dyDescent="0.2">
      <c r="A45" s="13" t="s">
        <v>8</v>
      </c>
      <c r="B45" s="14">
        <v>3399</v>
      </c>
      <c r="C45" s="14">
        <v>2980.65</v>
      </c>
      <c r="D45" s="15">
        <v>15046</v>
      </c>
      <c r="E45" s="15">
        <v>22327</v>
      </c>
      <c r="F45" s="2"/>
      <c r="G45" s="2"/>
      <c r="H45" s="2"/>
      <c r="I45" s="16" t="str">
        <f t="shared" si="4"/>
        <v/>
      </c>
      <c r="J45" s="2"/>
      <c r="K45" s="1"/>
      <c r="L45" s="1"/>
      <c r="M45" s="1"/>
      <c r="N45" s="1"/>
    </row>
    <row r="46" spans="1:20" outlineLevel="1" x14ac:dyDescent="0.2">
      <c r="A46" s="13" t="s">
        <v>9</v>
      </c>
      <c r="B46" s="14">
        <v>2843.7799999999997</v>
      </c>
      <c r="C46" s="14">
        <v>161.06</v>
      </c>
      <c r="D46" s="15">
        <v>27299</v>
      </c>
      <c r="E46" s="15">
        <v>22250</v>
      </c>
      <c r="F46" s="2"/>
      <c r="G46" s="2"/>
      <c r="H46" s="2"/>
      <c r="I46" s="16" t="str">
        <f t="shared" si="4"/>
        <v/>
      </c>
      <c r="J46" s="2"/>
      <c r="K46" s="1"/>
      <c r="L46" s="1"/>
      <c r="M46" s="1"/>
      <c r="N46" s="1"/>
    </row>
    <row r="47" spans="1:20" outlineLevel="1" x14ac:dyDescent="0.2">
      <c r="A47" s="13" t="s">
        <v>10</v>
      </c>
      <c r="B47" s="14">
        <v>2879.5299999999997</v>
      </c>
      <c r="C47" s="14">
        <v>7630.22</v>
      </c>
      <c r="D47" s="15">
        <v>22820</v>
      </c>
      <c r="E47" s="15">
        <v>27693</v>
      </c>
      <c r="F47" s="2"/>
      <c r="G47" s="2"/>
      <c r="H47" s="2"/>
      <c r="I47" s="16" t="str">
        <f t="shared" si="4"/>
        <v/>
      </c>
      <c r="J47" s="2"/>
      <c r="K47" s="1"/>
      <c r="L47" s="1"/>
      <c r="M47" s="1"/>
      <c r="N47" s="1"/>
    </row>
    <row r="48" spans="1:20" outlineLevel="1" x14ac:dyDescent="0.2">
      <c r="A48" s="13" t="s">
        <v>11</v>
      </c>
      <c r="B48" s="14">
        <v>4413.62</v>
      </c>
      <c r="C48" s="14">
        <v>1749.15</v>
      </c>
      <c r="D48" s="15">
        <v>20893</v>
      </c>
      <c r="E48" s="15">
        <v>21404</v>
      </c>
      <c r="F48" s="2"/>
      <c r="G48" s="2"/>
      <c r="H48" s="2"/>
      <c r="I48" s="16" t="str">
        <f t="shared" si="4"/>
        <v/>
      </c>
      <c r="J48" s="2"/>
      <c r="K48" s="1"/>
      <c r="L48" s="1"/>
      <c r="M48" s="1"/>
      <c r="N48" s="1"/>
    </row>
    <row r="49" spans="1:14" outlineLevel="1" x14ac:dyDescent="0.2">
      <c r="A49" s="13" t="s">
        <v>12</v>
      </c>
      <c r="B49" s="14">
        <v>6641.9599999999991</v>
      </c>
      <c r="C49" s="14">
        <v>1396.74</v>
      </c>
      <c r="D49" s="15">
        <v>16847</v>
      </c>
      <c r="E49" s="15">
        <v>21863</v>
      </c>
      <c r="F49" s="12" t="s">
        <v>16</v>
      </c>
      <c r="G49" s="12" t="s">
        <v>16</v>
      </c>
      <c r="H49" s="12"/>
      <c r="I49" s="12" t="s">
        <v>0</v>
      </c>
      <c r="J49" s="2"/>
      <c r="K49" s="1"/>
      <c r="L49" s="1"/>
      <c r="M49" s="1"/>
      <c r="N49" s="1"/>
    </row>
    <row r="50" spans="1:14" outlineLevel="1" x14ac:dyDescent="0.2">
      <c r="A50" s="17" t="s">
        <v>13</v>
      </c>
      <c r="B50" s="18">
        <f>SUM(B38:B49)</f>
        <v>41289.120000000003</v>
      </c>
      <c r="C50" s="18">
        <f>SUM(C38:C49)</f>
        <v>41940.610000000008</v>
      </c>
      <c r="D50" s="19">
        <f>SUM(D38:D49)</f>
        <v>273465</v>
      </c>
      <c r="E50" s="19">
        <f>SUM(E38:E49)</f>
        <v>278598</v>
      </c>
      <c r="F50" s="20">
        <f>B50/D50</f>
        <v>0.15098502550600626</v>
      </c>
      <c r="G50" s="20">
        <f>C50/E50</f>
        <v>0.15054167653752004</v>
      </c>
      <c r="H50" s="20"/>
      <c r="I50" s="20">
        <f>B50/E18</f>
        <v>1.8770162216026488E-2</v>
      </c>
      <c r="J50" s="2"/>
      <c r="K50" s="1"/>
      <c r="L50" s="1"/>
      <c r="M50" s="1"/>
      <c r="N50" s="1"/>
    </row>
    <row r="51" spans="1:14" ht="6" customHeight="1" x14ac:dyDescent="0.2">
      <c r="A51" s="13"/>
      <c r="B51" s="14"/>
      <c r="C51" s="14"/>
      <c r="D51" s="14"/>
      <c r="E51" s="15"/>
      <c r="F51" s="2"/>
      <c r="G51" s="2"/>
      <c r="H51" s="2"/>
      <c r="I51" s="2"/>
      <c r="J51" s="2"/>
      <c r="K51" s="1"/>
      <c r="L51" s="1"/>
      <c r="M51" s="1"/>
      <c r="N51" s="1"/>
    </row>
    <row r="52" spans="1:14" x14ac:dyDescent="0.2">
      <c r="A52" s="8" t="s">
        <v>17</v>
      </c>
      <c r="B52" s="28"/>
      <c r="C52" s="28"/>
      <c r="D52" s="8"/>
      <c r="E52" s="8"/>
      <c r="F52" s="8"/>
      <c r="G52" s="8"/>
      <c r="H52" s="8"/>
      <c r="I52" s="21"/>
      <c r="J52" s="2"/>
      <c r="K52" s="1"/>
      <c r="L52" s="1"/>
      <c r="M52" s="1"/>
      <c r="N52" s="1"/>
    </row>
    <row r="53" spans="1:14" ht="6" customHeight="1" x14ac:dyDescent="0.2">
      <c r="A53" s="24"/>
      <c r="B53" s="24"/>
      <c r="C53" s="24"/>
      <c r="D53" s="24"/>
      <c r="E53" s="24"/>
      <c r="F53" s="24"/>
      <c r="G53" s="24"/>
      <c r="H53" s="24"/>
      <c r="I53" s="1"/>
      <c r="J53" s="2"/>
      <c r="K53" s="1"/>
      <c r="L53" s="1"/>
      <c r="M53" s="1"/>
      <c r="N53" s="1"/>
    </row>
    <row r="54" spans="1:14" outlineLevel="1" x14ac:dyDescent="0.2">
      <c r="A54" s="7"/>
      <c r="B54" s="12" t="s">
        <v>19</v>
      </c>
      <c r="C54" s="12" t="s">
        <v>20</v>
      </c>
      <c r="D54" s="12" t="s">
        <v>21</v>
      </c>
      <c r="E54" s="12" t="s">
        <v>22</v>
      </c>
      <c r="J54" s="2"/>
      <c r="K54" s="1"/>
      <c r="L54" s="1"/>
      <c r="M54" s="1"/>
      <c r="N54" s="1"/>
    </row>
    <row r="55" spans="1:14" outlineLevel="1" x14ac:dyDescent="0.2">
      <c r="A55" s="13" t="s">
        <v>1</v>
      </c>
      <c r="B55" s="14">
        <v>7213.03</v>
      </c>
      <c r="C55" s="14">
        <v>4254.25</v>
      </c>
      <c r="D55" s="15">
        <v>14274</v>
      </c>
      <c r="E55" s="15">
        <v>12017</v>
      </c>
      <c r="F55" s="2"/>
      <c r="G55" s="2"/>
      <c r="H55" s="2"/>
      <c r="I55" s="1"/>
      <c r="J55" s="2"/>
      <c r="K55" s="1"/>
      <c r="L55" s="1"/>
      <c r="M55" s="1"/>
      <c r="N55" s="1"/>
    </row>
    <row r="56" spans="1:14" outlineLevel="1" x14ac:dyDescent="0.2">
      <c r="A56" s="13" t="s">
        <v>2</v>
      </c>
      <c r="B56" s="14">
        <v>2697.1600000000003</v>
      </c>
      <c r="C56" s="14">
        <v>6177.84</v>
      </c>
      <c r="D56" s="15">
        <v>15606</v>
      </c>
      <c r="E56" s="15">
        <v>12030</v>
      </c>
      <c r="F56" s="2"/>
      <c r="G56" s="2"/>
      <c r="H56" s="2"/>
      <c r="I56" s="16" t="str">
        <f t="shared" ref="I56:I65" si="5">IFERROR((F56/F55)-100%,"")</f>
        <v/>
      </c>
      <c r="J56" s="2"/>
      <c r="K56" s="1"/>
      <c r="L56" s="1"/>
      <c r="M56" s="1"/>
      <c r="N56" s="1"/>
    </row>
    <row r="57" spans="1:14" outlineLevel="1" x14ac:dyDescent="0.2">
      <c r="A57" s="13" t="s">
        <v>3</v>
      </c>
      <c r="B57" s="14">
        <v>6310.3700000000008</v>
      </c>
      <c r="C57" s="14">
        <v>3772.46</v>
      </c>
      <c r="D57" s="15">
        <v>18070</v>
      </c>
      <c r="E57" s="15">
        <v>13550</v>
      </c>
      <c r="F57" s="2"/>
      <c r="G57" s="2"/>
      <c r="H57" s="2"/>
      <c r="I57" s="16" t="str">
        <f t="shared" si="5"/>
        <v/>
      </c>
      <c r="J57" s="2"/>
      <c r="K57" s="1"/>
      <c r="L57" s="1"/>
      <c r="M57" s="1"/>
      <c r="N57" s="1"/>
    </row>
    <row r="58" spans="1:14" outlineLevel="1" x14ac:dyDescent="0.2">
      <c r="A58" s="13" t="s">
        <v>4</v>
      </c>
      <c r="B58" s="14">
        <v>6068.65</v>
      </c>
      <c r="C58" s="14">
        <v>2941.65</v>
      </c>
      <c r="D58" s="15">
        <v>13281</v>
      </c>
      <c r="E58" s="15">
        <v>15948</v>
      </c>
      <c r="F58" s="2"/>
      <c r="G58" s="2"/>
      <c r="H58" s="2"/>
      <c r="I58" s="16" t="str">
        <f t="shared" si="5"/>
        <v/>
      </c>
      <c r="J58" s="2"/>
      <c r="K58" s="1"/>
      <c r="L58" s="1"/>
      <c r="M58" s="1"/>
      <c r="N58" s="1"/>
    </row>
    <row r="59" spans="1:14" outlineLevel="1" x14ac:dyDescent="0.2">
      <c r="A59" s="13" t="s">
        <v>5</v>
      </c>
      <c r="B59" s="14">
        <v>4138.5600000000004</v>
      </c>
      <c r="C59" s="14">
        <v>2604.96</v>
      </c>
      <c r="D59" s="15">
        <v>10094</v>
      </c>
      <c r="E59" s="15">
        <v>11295</v>
      </c>
      <c r="F59" s="2"/>
      <c r="G59" s="2"/>
      <c r="H59" s="2"/>
      <c r="I59" s="16" t="str">
        <f t="shared" si="5"/>
        <v/>
      </c>
      <c r="J59" s="2"/>
      <c r="K59" s="1"/>
      <c r="L59" s="1"/>
      <c r="M59" s="1"/>
      <c r="N59" s="1"/>
    </row>
    <row r="60" spans="1:14" outlineLevel="1" x14ac:dyDescent="0.2">
      <c r="A60" s="13" t="s">
        <v>6</v>
      </c>
      <c r="B60" s="14">
        <v>6959.76</v>
      </c>
      <c r="C60" s="14">
        <v>13259.84</v>
      </c>
      <c r="D60" s="15">
        <v>17789</v>
      </c>
      <c r="E60" s="15">
        <v>16827</v>
      </c>
      <c r="F60" s="2"/>
      <c r="G60" s="2"/>
      <c r="H60" s="2"/>
      <c r="I60" s="16" t="str">
        <f t="shared" si="5"/>
        <v/>
      </c>
      <c r="J60" s="2"/>
      <c r="M60" s="1"/>
      <c r="N60" s="1"/>
    </row>
    <row r="61" spans="1:14" outlineLevel="1" x14ac:dyDescent="0.2">
      <c r="A61" s="13" t="s">
        <v>7</v>
      </c>
      <c r="B61" s="14">
        <v>6602.12</v>
      </c>
      <c r="C61" s="14">
        <v>5900.52</v>
      </c>
      <c r="D61" s="15">
        <v>13493</v>
      </c>
      <c r="E61" s="15">
        <v>14740</v>
      </c>
      <c r="F61" s="2"/>
      <c r="G61" s="2"/>
      <c r="H61" s="2"/>
      <c r="I61" s="16" t="str">
        <f t="shared" si="5"/>
        <v/>
      </c>
      <c r="J61" s="2"/>
      <c r="M61" s="1"/>
      <c r="N61" s="1"/>
    </row>
    <row r="62" spans="1:14" outlineLevel="1" x14ac:dyDescent="0.2">
      <c r="A62" s="13" t="s">
        <v>8</v>
      </c>
      <c r="B62" s="14">
        <v>6358.9099999999989</v>
      </c>
      <c r="C62" s="14">
        <v>5165.93</v>
      </c>
      <c r="D62" s="15">
        <v>17547</v>
      </c>
      <c r="E62" s="15">
        <v>18980</v>
      </c>
      <c r="F62" s="2"/>
      <c r="G62" s="2"/>
      <c r="H62" s="2"/>
      <c r="I62" s="16" t="str">
        <f t="shared" si="5"/>
        <v/>
      </c>
      <c r="J62" s="2"/>
      <c r="K62" s="1"/>
      <c r="L62" s="1"/>
      <c r="M62" s="1"/>
      <c r="N62" s="1"/>
    </row>
    <row r="63" spans="1:14" outlineLevel="1" x14ac:dyDescent="0.2">
      <c r="A63" s="13" t="s">
        <v>9</v>
      </c>
      <c r="B63" s="14">
        <v>14409.5</v>
      </c>
      <c r="C63" s="14">
        <v>8472.2999999999993</v>
      </c>
      <c r="D63" s="15">
        <v>11275</v>
      </c>
      <c r="E63" s="15">
        <v>16120</v>
      </c>
      <c r="F63" s="2"/>
      <c r="G63" s="2"/>
      <c r="H63" s="2"/>
      <c r="I63" s="16" t="str">
        <f t="shared" si="5"/>
        <v/>
      </c>
      <c r="J63" s="2"/>
      <c r="K63" s="1"/>
      <c r="L63" s="1"/>
      <c r="M63" s="1"/>
      <c r="N63" s="1"/>
    </row>
    <row r="64" spans="1:14" outlineLevel="1" x14ac:dyDescent="0.2">
      <c r="A64" s="13" t="s">
        <v>10</v>
      </c>
      <c r="B64" s="14">
        <v>3643.7999999999997</v>
      </c>
      <c r="C64" s="14">
        <v>17081.88</v>
      </c>
      <c r="D64" s="15">
        <v>13679</v>
      </c>
      <c r="E64" s="15">
        <v>14196</v>
      </c>
      <c r="F64" s="2"/>
      <c r="G64" s="2"/>
      <c r="H64" s="2"/>
      <c r="I64" s="16" t="str">
        <f t="shared" si="5"/>
        <v/>
      </c>
      <c r="J64" s="2"/>
      <c r="K64" s="1"/>
      <c r="L64" s="1"/>
      <c r="M64" s="1"/>
      <c r="N64" s="1"/>
    </row>
    <row r="65" spans="1:14" outlineLevel="1" x14ac:dyDescent="0.2">
      <c r="A65" s="13" t="s">
        <v>11</v>
      </c>
      <c r="B65" s="14">
        <v>9489.0000000000018</v>
      </c>
      <c r="C65" s="14">
        <v>14862.87</v>
      </c>
      <c r="D65" s="15">
        <v>10229</v>
      </c>
      <c r="E65" s="15">
        <v>18560</v>
      </c>
      <c r="F65" s="2"/>
      <c r="G65" s="2"/>
      <c r="H65" s="2"/>
      <c r="I65" s="16" t="str">
        <f t="shared" si="5"/>
        <v/>
      </c>
      <c r="J65" s="2"/>
      <c r="K65" s="1"/>
      <c r="L65" s="1"/>
      <c r="M65" s="1"/>
      <c r="N65" s="1"/>
    </row>
    <row r="66" spans="1:14" outlineLevel="1" x14ac:dyDescent="0.2">
      <c r="A66" s="13" t="s">
        <v>12</v>
      </c>
      <c r="B66" s="14">
        <v>3794.63</v>
      </c>
      <c r="C66" s="14">
        <v>8057.59</v>
      </c>
      <c r="D66" s="15">
        <v>13826</v>
      </c>
      <c r="E66" s="15">
        <v>13402</v>
      </c>
      <c r="F66" s="12" t="s">
        <v>16</v>
      </c>
      <c r="G66" s="12" t="s">
        <v>16</v>
      </c>
      <c r="H66" s="12"/>
      <c r="I66" s="12" t="s">
        <v>0</v>
      </c>
      <c r="J66" s="2"/>
      <c r="K66" s="1"/>
      <c r="L66" s="1"/>
      <c r="M66" s="1"/>
      <c r="N66" s="1"/>
    </row>
    <row r="67" spans="1:14" outlineLevel="1" x14ac:dyDescent="0.2">
      <c r="A67" s="17" t="s">
        <v>13</v>
      </c>
      <c r="B67" s="18">
        <f>SUM(B55:B66)</f>
        <v>77685.490000000005</v>
      </c>
      <c r="C67" s="18">
        <f>SUM(C55:C66)</f>
        <v>92552.09</v>
      </c>
      <c r="D67" s="19">
        <f>SUM(D55:D66)</f>
        <v>169163</v>
      </c>
      <c r="E67" s="19">
        <f>SUM(E55:E66)</f>
        <v>177665</v>
      </c>
      <c r="F67" s="20">
        <f>B67/D67</f>
        <v>0.45923452528035091</v>
      </c>
      <c r="G67" s="20">
        <f>C67/E67</f>
        <v>0.52093597500914646</v>
      </c>
      <c r="H67" s="20"/>
      <c r="I67" s="20">
        <f>B67/E18</f>
        <v>3.5316065082799136E-2</v>
      </c>
      <c r="J67" s="2"/>
      <c r="K67" s="1"/>
      <c r="L67" s="1"/>
      <c r="M67" s="1"/>
      <c r="N67" s="1"/>
    </row>
    <row r="68" spans="1:14" ht="6" customHeight="1" x14ac:dyDescent="0.2">
      <c r="A68" s="13"/>
      <c r="B68" s="14"/>
      <c r="C68" s="14"/>
      <c r="D68" s="14"/>
      <c r="E68" s="15"/>
      <c r="F68" s="2"/>
      <c r="G68" s="2"/>
      <c r="H68" s="2"/>
      <c r="I68" s="2"/>
      <c r="J68" s="2"/>
      <c r="K68" s="1"/>
      <c r="L68" s="1"/>
      <c r="M68" s="1"/>
      <c r="N68" s="1"/>
    </row>
    <row r="69" spans="1:14" ht="6" customHeight="1" x14ac:dyDescent="0.2">
      <c r="J69" s="2"/>
      <c r="L69" s="1"/>
      <c r="M69" s="1"/>
      <c r="N69" s="1"/>
    </row>
  </sheetData>
  <mergeCells count="1">
    <mergeCell ref="A2:I2"/>
  </mergeCells>
  <pageMargins left="0.78740157480314965" right="0.78740157480314965" top="1.3779527559055118" bottom="0.78740157480314965" header="0.51181102362204722" footer="0.51181102362204722"/>
  <pageSetup paperSize="9" scale="48" firstPageNumber="0" fitToHeight="4" orientation="landscape" horizontalDpi="4294967293" verticalDpi="4294967293" r:id="rId1"/>
  <rowBreaks count="2" manualBreakCount="2">
    <brk id="35" max="16383" man="1"/>
    <brk id="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2020 vs. 2021</vt:lpstr>
      <vt:lpstr>Planilha1</vt:lpstr>
      <vt:lpstr>'2020 vs. 2021'!a</vt:lpstr>
      <vt:lpstr>'2020 vs. 2021'!Area_de_impressao</vt:lpstr>
      <vt:lpstr>'2020 vs. 2021'!ds</vt:lpstr>
      <vt:lpstr>'2020 vs. 2021'!Print_Area_0</vt:lpstr>
      <vt:lpstr>'2020 vs. 2021'!Print_Area_0_0</vt:lpstr>
      <vt:lpstr>'2020 vs. 2021'!Print_Area_0_0_0</vt:lpstr>
      <vt:lpstr>'2020 vs. 2021'!Print_Area_0_0_0_0</vt:lpstr>
      <vt:lpstr>'2020 vs. 2021'!Print_Area_0_0_0_0_0</vt:lpstr>
      <vt:lpstr>'2020 vs. 2021'!Print_Area_0_0_0_0_0_0</vt:lpstr>
      <vt:lpstr>'2020 vs. 2021'!Print_Area_0_0_0_0_0_0_0</vt:lpstr>
      <vt:lpstr>'2020 vs. 2021'!Print_Area_0_0_0_0_0_0_0_0</vt:lpstr>
      <vt:lpstr>'2020 vs. 2021'!s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graca</dc:creator>
  <dc:description/>
  <cp:lastModifiedBy>Usuário</cp:lastModifiedBy>
  <cp:revision>97</cp:revision>
  <cp:lastPrinted>2020-06-11T17:55:30Z</cp:lastPrinted>
  <dcterms:created xsi:type="dcterms:W3CDTF">2010-11-23T20:38:01Z</dcterms:created>
  <dcterms:modified xsi:type="dcterms:W3CDTF">2022-02-22T11:25:54Z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