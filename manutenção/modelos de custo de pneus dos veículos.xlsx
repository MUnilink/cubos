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noel\Documents\github-repo\cubos\manutenção\"/>
    </mc:Choice>
  </mc:AlternateContent>
  <bookViews>
    <workbookView xWindow="0" yWindow="0" windowWidth="20490" windowHeight="7035"/>
  </bookViews>
  <sheets>
    <sheet name="1. Histórico de movimentos d..." sheetId="3" r:id="rId1"/>
  </sheets>
  <definedNames>
    <definedName name="_xlnm._FilterDatabase" localSheetId="0" hidden="1">'1. Histórico de movimentos d...'!$A$1:$O$23</definedName>
    <definedName name="_xlnm.Print_Titles" localSheetId="0">'1. Histórico de movimentos d...'!$A:$D,'1. Histórico de movimentos d...'!$1:$1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3" l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F3" i="3"/>
  <c r="F4" i="3"/>
  <c r="F13" i="3"/>
  <c r="F14" i="3"/>
  <c r="G15" i="3"/>
  <c r="F15" i="3" s="1"/>
  <c r="G16" i="3"/>
  <c r="F16" i="3" s="1"/>
  <c r="G17" i="3"/>
  <c r="F17" i="3" s="1"/>
  <c r="G18" i="3"/>
  <c r="F18" i="3" s="1"/>
  <c r="G19" i="3"/>
  <c r="F19" i="3" s="1"/>
  <c r="G20" i="3"/>
  <c r="F20" i="3" s="1"/>
  <c r="G21" i="3"/>
  <c r="F21" i="3" s="1"/>
  <c r="G22" i="3"/>
  <c r="F22" i="3" s="1"/>
  <c r="G23" i="3"/>
  <c r="F23" i="3" s="1"/>
  <c r="G3" i="3"/>
  <c r="G4" i="3"/>
  <c r="G5" i="3"/>
  <c r="F5" i="3" s="1"/>
  <c r="G6" i="3"/>
  <c r="F6" i="3" s="1"/>
  <c r="G7" i="3"/>
  <c r="F7" i="3" s="1"/>
  <c r="G8" i="3"/>
  <c r="F8" i="3" s="1"/>
  <c r="G9" i="3"/>
  <c r="F9" i="3" s="1"/>
  <c r="G10" i="3"/>
  <c r="F10" i="3" s="1"/>
  <c r="G11" i="3"/>
  <c r="F11" i="3" s="1"/>
  <c r="G12" i="3"/>
  <c r="F12" i="3" s="1"/>
  <c r="G2" i="3"/>
  <c r="F2" i="3" s="1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" i="3"/>
</calcChain>
</file>

<file path=xl/sharedStrings.xml><?xml version="1.0" encoding="utf-8"?>
<sst xmlns="http://schemas.openxmlformats.org/spreadsheetml/2006/main" count="106" uniqueCount="50">
  <si>
    <t>Número de ferro</t>
  </si>
  <si>
    <t>Código do bem</t>
  </si>
  <si>
    <t>Descrição da medida</t>
  </si>
  <si>
    <t>Tipo do movimento</t>
  </si>
  <si>
    <t>km rodado na estrutura</t>
  </si>
  <si>
    <t>10000</t>
  </si>
  <si>
    <t>CM3014</t>
  </si>
  <si>
    <t>295/80R22.5 TRACAO</t>
  </si>
  <si>
    <t>SAIDA</t>
  </si>
  <si>
    <t>CM5016</t>
  </si>
  <si>
    <t>CM5021</t>
  </si>
  <si>
    <t>10001</t>
  </si>
  <si>
    <t>10002</t>
  </si>
  <si>
    <t>CM5027</t>
  </si>
  <si>
    <t>10003</t>
  </si>
  <si>
    <t>CM5006</t>
  </si>
  <si>
    <t>10005</t>
  </si>
  <si>
    <t>10007</t>
  </si>
  <si>
    <t>CM1027</t>
  </si>
  <si>
    <t>CM5019</t>
  </si>
  <si>
    <t>SR10049</t>
  </si>
  <si>
    <t>10008</t>
  </si>
  <si>
    <t>SR10062</t>
  </si>
  <si>
    <t>275/80R22.5</t>
  </si>
  <si>
    <t>SR11016</t>
  </si>
  <si>
    <t>10009</t>
  </si>
  <si>
    <t>CM1007</t>
  </si>
  <si>
    <t>CM5017</t>
  </si>
  <si>
    <t>10010</t>
  </si>
  <si>
    <t>295/80R22.5 DIRECION</t>
  </si>
  <si>
    <t>SR14006</t>
  </si>
  <si>
    <t>10011</t>
  </si>
  <si>
    <t>CM1003</t>
  </si>
  <si>
    <t>CM5000</t>
  </si>
  <si>
    <t>10013</t>
  </si>
  <si>
    <t>CM1016</t>
  </si>
  <si>
    <t>SR16003</t>
  </si>
  <si>
    <t>km esperado em todas as vidas</t>
  </si>
  <si>
    <t>CPK veículo 1</t>
  </si>
  <si>
    <t>Custo do pneu</t>
  </si>
  <si>
    <t>CPK veículo 2</t>
  </si>
  <si>
    <t>km acumulado pneu</t>
  </si>
  <si>
    <t>km equipamento (mês)</t>
  </si>
  <si>
    <t>CPK veículo 3</t>
  </si>
  <si>
    <t>km esperado primeira vida</t>
  </si>
  <si>
    <t>km esperado reformas</t>
  </si>
  <si>
    <t>compra</t>
  </si>
  <si>
    <t>reformas</t>
  </si>
  <si>
    <t>CPK veículo 4</t>
  </si>
  <si>
    <t>Definir mês-base: período de abastecimento da estrutura (semipadrão), período do custo da operação. Usar o km do equipamento mitiga o erro de km de pneus e SRs, porém movimentações incorretas não dizem à estrutura qual pneu ou SR é um componente para que se calcule o custo.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</si>
</sst>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808080"/>
      <name val="Verdana"/>
      <family val="2"/>
    </font>
    <font>
      <sz val="8"/>
      <color theme="1"/>
      <name val="Verdana"/>
      <family val="2"/>
    </font>
    <font>
      <i/>
      <sz val="8"/>
      <color theme="1"/>
      <name val="Verdana"/>
      <family val="2"/>
    </font>
    <font>
      <sz val="8"/>
      <color theme="0"/>
      <name val="Verdana"/>
      <family val="2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medium">
        <color rgb="FF000000"/>
      </bottom>
      <diagonal/>
    </border>
    <border>
      <left/>
      <right/>
      <top style="thin">
        <color rgb="FF808080"/>
      </top>
      <bottom style="medium">
        <color rgb="FF000000"/>
      </bottom>
      <diagonal/>
    </border>
    <border>
      <left/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0" applyNumberFormat="1"/>
    <xf numFmtId="0" fontId="2" fillId="2" borderId="1" xfId="0" applyFont="1" applyFill="1" applyBorder="1" applyAlignment="1">
      <alignment horizontal="left" vertical="center"/>
    </xf>
    <xf numFmtId="49" fontId="4" fillId="2" borderId="5" xfId="0" applyNumberFormat="1" applyFont="1" applyFill="1" applyBorder="1" applyAlignment="1">
      <alignment horizontal="left" vertical="top"/>
    </xf>
    <xf numFmtId="49" fontId="4" fillId="2" borderId="6" xfId="0" applyNumberFormat="1" applyFont="1" applyFill="1" applyBorder="1" applyAlignment="1">
      <alignment horizontal="left" vertical="top"/>
    </xf>
    <xf numFmtId="49" fontId="4" fillId="2" borderId="7" xfId="0" applyNumberFormat="1" applyFont="1" applyFill="1" applyBorder="1" applyAlignment="1">
      <alignment horizontal="left" vertical="top"/>
    </xf>
    <xf numFmtId="49" fontId="3" fillId="3" borderId="0" xfId="0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49" fontId="3" fillId="3" borderId="4" xfId="0" applyNumberFormat="1" applyFont="1" applyFill="1" applyBorder="1" applyAlignment="1">
      <alignment horizontal="left" vertical="center" wrapText="1"/>
    </xf>
    <xf numFmtId="44" fontId="5" fillId="0" borderId="6" xfId="1" applyFont="1" applyFill="1" applyBorder="1" applyAlignment="1">
      <alignment horizontal="right" vertical="center"/>
    </xf>
    <xf numFmtId="4" fontId="0" fillId="0" borderId="0" xfId="0" applyNumberFormat="1"/>
    <xf numFmtId="3" fontId="5" fillId="0" borderId="6" xfId="0" applyNumberFormat="1" applyFont="1" applyFill="1" applyBorder="1" applyAlignment="1">
      <alignment horizontal="right" vertical="center"/>
    </xf>
    <xf numFmtId="49" fontId="3" fillId="3" borderId="8" xfId="0" applyNumberFormat="1" applyFont="1" applyFill="1" applyBorder="1" applyAlignment="1">
      <alignment horizontal="left" vertical="center" wrapText="1"/>
    </xf>
    <xf numFmtId="0" fontId="0" fillId="0" borderId="0" xfId="0" applyFill="1"/>
    <xf numFmtId="3" fontId="6" fillId="4" borderId="0" xfId="0" applyNumberFormat="1" applyFont="1" applyFill="1" applyBorder="1" applyAlignment="1">
      <alignment horizontal="center" vertical="center"/>
    </xf>
    <xf numFmtId="44" fontId="5" fillId="5" borderId="0" xfId="1" applyFont="1" applyFill="1" applyBorder="1" applyAlignment="1">
      <alignment horizontal="center" vertical="center"/>
    </xf>
    <xf numFmtId="3" fontId="7" fillId="6" borderId="0" xfId="0" applyNumberFormat="1" applyFont="1" applyFill="1" applyBorder="1" applyAlignment="1">
      <alignment horizontal="center" vertical="center"/>
    </xf>
    <xf numFmtId="3" fontId="6" fillId="7" borderId="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showGridLines="0" tabSelected="1" workbookViewId="0">
      <selection activeCell="P1" sqref="P1"/>
    </sheetView>
  </sheetViews>
  <sheetFormatPr defaultRowHeight="14.25"/>
  <cols>
    <col min="1" max="1" width="12.75" bestFit="1" customWidth="1"/>
    <col min="2" max="2" width="11.75" bestFit="1" customWidth="1"/>
    <col min="3" max="3" width="18.25" bestFit="1" customWidth="1"/>
    <col min="4" max="4" width="10.25" customWidth="1"/>
    <col min="5" max="7" width="14.125" customWidth="1"/>
    <col min="8" max="8" width="12.5" customWidth="1"/>
    <col min="9" max="9" width="3.625" customWidth="1"/>
    <col min="10" max="14" width="14.375" customWidth="1"/>
    <col min="15" max="15" width="12.75" style="14" bestFit="1" customWidth="1"/>
    <col min="16" max="16" width="13.125" customWidth="1"/>
    <col min="17" max="17" width="14.125" bestFit="1" customWidth="1"/>
    <col min="19" max="19" width="9.875" bestFit="1" customWidth="1"/>
  </cols>
  <sheetData>
    <row r="1" spans="1:19" ht="28.5" customHeight="1" thickBot="1">
      <c r="A1" s="2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46</v>
      </c>
      <c r="G1" s="9" t="s">
        <v>47</v>
      </c>
      <c r="H1" s="9" t="s">
        <v>39</v>
      </c>
      <c r="J1" s="6" t="s">
        <v>37</v>
      </c>
      <c r="K1" s="6" t="s">
        <v>44</v>
      </c>
      <c r="L1" s="6" t="s">
        <v>45</v>
      </c>
      <c r="M1" s="6" t="s">
        <v>42</v>
      </c>
      <c r="N1" s="6" t="s">
        <v>41</v>
      </c>
      <c r="O1" s="13" t="s">
        <v>38</v>
      </c>
      <c r="P1" s="13" t="s">
        <v>40</v>
      </c>
      <c r="Q1" s="13" t="s">
        <v>43</v>
      </c>
      <c r="R1" s="13" t="s">
        <v>48</v>
      </c>
    </row>
    <row r="2" spans="1:19">
      <c r="A2" s="3" t="s">
        <v>5</v>
      </c>
      <c r="B2" s="4" t="s">
        <v>6</v>
      </c>
      <c r="C2" s="4" t="s">
        <v>7</v>
      </c>
      <c r="D2" s="5" t="s">
        <v>8</v>
      </c>
      <c r="E2" s="12">
        <v>17747</v>
      </c>
      <c r="F2" s="12">
        <f t="shared" ref="F2:F23" si="0">H2-G2</f>
        <v>1600</v>
      </c>
      <c r="G2" s="12">
        <f t="shared" ref="G2:G12" si="1">H2-1600</f>
        <v>850</v>
      </c>
      <c r="H2" s="10">
        <v>2450</v>
      </c>
      <c r="J2" s="17">
        <v>300000</v>
      </c>
      <c r="K2" s="17">
        <v>100000</v>
      </c>
      <c r="L2" s="17">
        <v>80000</v>
      </c>
      <c r="M2" s="15">
        <v>6000</v>
      </c>
      <c r="N2" s="18">
        <v>245236</v>
      </c>
      <c r="O2" s="16">
        <f t="shared" ref="O2:O23" si="2">M2*H2/J2</f>
        <v>49</v>
      </c>
      <c r="P2" s="16">
        <f>H2/N2*M2</f>
        <v>59.94225970085958</v>
      </c>
      <c r="Q2" s="16">
        <f>((F2/K2+((G2/L2)*(G2/500)))*M2)</f>
        <v>204.37500000000003</v>
      </c>
    </row>
    <row r="3" spans="1:19">
      <c r="A3" s="3" t="s">
        <v>5</v>
      </c>
      <c r="B3" s="4" t="s">
        <v>9</v>
      </c>
      <c r="C3" s="4" t="s">
        <v>7</v>
      </c>
      <c r="D3" s="5" t="s">
        <v>8</v>
      </c>
      <c r="E3" s="12">
        <v>22867</v>
      </c>
      <c r="F3" s="12">
        <f t="shared" si="0"/>
        <v>1600</v>
      </c>
      <c r="G3" s="12">
        <f t="shared" si="1"/>
        <v>850</v>
      </c>
      <c r="H3" s="10">
        <v>2450</v>
      </c>
      <c r="J3" s="17">
        <v>300000</v>
      </c>
      <c r="K3" s="17">
        <v>100000</v>
      </c>
      <c r="L3" s="17">
        <v>80000</v>
      </c>
      <c r="M3" s="15">
        <v>2500</v>
      </c>
      <c r="N3" s="18">
        <v>245236</v>
      </c>
      <c r="O3" s="16">
        <f t="shared" si="2"/>
        <v>20.416666666666668</v>
      </c>
      <c r="P3" s="16">
        <f t="shared" ref="P3:P23" si="3">H3/N3*M3</f>
        <v>24.975941542024824</v>
      </c>
      <c r="Q3" s="16">
        <f t="shared" ref="Q3:Q23" si="4">((F3/K3+((G3/L3)*(G3/500)))*M3)</f>
        <v>85.15625</v>
      </c>
    </row>
    <row r="4" spans="1:19">
      <c r="A4" s="3" t="s">
        <v>5</v>
      </c>
      <c r="B4" s="4" t="s">
        <v>10</v>
      </c>
      <c r="C4" s="4" t="s">
        <v>7</v>
      </c>
      <c r="D4" s="5" t="s">
        <v>8</v>
      </c>
      <c r="E4" s="12">
        <v>9101</v>
      </c>
      <c r="F4" s="12">
        <f t="shared" si="0"/>
        <v>1600</v>
      </c>
      <c r="G4" s="12">
        <f t="shared" si="1"/>
        <v>850</v>
      </c>
      <c r="H4" s="10">
        <v>2450</v>
      </c>
      <c r="J4" s="17">
        <v>300000</v>
      </c>
      <c r="K4" s="17">
        <v>100000</v>
      </c>
      <c r="L4" s="17">
        <v>80000</v>
      </c>
      <c r="M4" s="15">
        <v>1200</v>
      </c>
      <c r="N4" s="18">
        <v>245236</v>
      </c>
      <c r="O4" s="16">
        <f t="shared" si="2"/>
        <v>9.8000000000000007</v>
      </c>
      <c r="P4" s="16">
        <f t="shared" si="3"/>
        <v>11.988451940171917</v>
      </c>
      <c r="Q4" s="16">
        <f t="shared" si="4"/>
        <v>40.875</v>
      </c>
    </row>
    <row r="5" spans="1:19">
      <c r="A5" s="3" t="s">
        <v>11</v>
      </c>
      <c r="B5" s="4" t="s">
        <v>9</v>
      </c>
      <c r="C5" s="4" t="s">
        <v>7</v>
      </c>
      <c r="D5" s="5" t="s">
        <v>8</v>
      </c>
      <c r="E5" s="12">
        <v>22867</v>
      </c>
      <c r="F5" s="12">
        <f t="shared" si="0"/>
        <v>1600</v>
      </c>
      <c r="G5" s="12">
        <f t="shared" si="1"/>
        <v>850</v>
      </c>
      <c r="H5" s="10">
        <v>2450</v>
      </c>
      <c r="J5" s="17">
        <v>300000</v>
      </c>
      <c r="K5" s="17">
        <v>100000</v>
      </c>
      <c r="L5" s="17">
        <v>80000</v>
      </c>
      <c r="M5" s="15">
        <v>2500</v>
      </c>
      <c r="N5" s="18">
        <v>228904</v>
      </c>
      <c r="O5" s="16">
        <f t="shared" si="2"/>
        <v>20.416666666666668</v>
      </c>
      <c r="P5" s="16">
        <f t="shared" si="3"/>
        <v>26.757942194107574</v>
      </c>
      <c r="Q5" s="16">
        <f t="shared" si="4"/>
        <v>85.15625</v>
      </c>
    </row>
    <row r="6" spans="1:19">
      <c r="A6" s="3" t="s">
        <v>12</v>
      </c>
      <c r="B6" s="4" t="s">
        <v>9</v>
      </c>
      <c r="C6" s="4" t="s">
        <v>7</v>
      </c>
      <c r="D6" s="5" t="s">
        <v>8</v>
      </c>
      <c r="E6" s="12">
        <v>17722</v>
      </c>
      <c r="F6" s="12">
        <f t="shared" si="0"/>
        <v>1600</v>
      </c>
      <c r="G6" s="12">
        <f t="shared" si="1"/>
        <v>850</v>
      </c>
      <c r="H6" s="10">
        <v>2450</v>
      </c>
      <c r="J6" s="17">
        <v>300000</v>
      </c>
      <c r="K6" s="17">
        <v>100000</v>
      </c>
      <c r="L6" s="17">
        <v>80000</v>
      </c>
      <c r="M6" s="15">
        <v>2500</v>
      </c>
      <c r="N6" s="18">
        <v>223983</v>
      </c>
      <c r="O6" s="16">
        <f t="shared" si="2"/>
        <v>20.416666666666668</v>
      </c>
      <c r="P6" s="16">
        <f t="shared" si="3"/>
        <v>27.345825352816956</v>
      </c>
      <c r="Q6" s="16">
        <f t="shared" si="4"/>
        <v>85.15625</v>
      </c>
    </row>
    <row r="7" spans="1:19">
      <c r="A7" s="3" t="s">
        <v>12</v>
      </c>
      <c r="B7" s="4" t="s">
        <v>13</v>
      </c>
      <c r="C7" s="4" t="s">
        <v>7</v>
      </c>
      <c r="D7" s="5" t="s">
        <v>8</v>
      </c>
      <c r="E7" s="12">
        <v>24593</v>
      </c>
      <c r="F7" s="12">
        <f t="shared" si="0"/>
        <v>1600</v>
      </c>
      <c r="G7" s="12">
        <f t="shared" si="1"/>
        <v>850</v>
      </c>
      <c r="H7" s="10">
        <v>2450</v>
      </c>
      <c r="J7" s="17">
        <v>300000</v>
      </c>
      <c r="K7" s="17">
        <v>100000</v>
      </c>
      <c r="L7" s="17">
        <v>80000</v>
      </c>
      <c r="M7" s="15">
        <v>800</v>
      </c>
      <c r="N7" s="18">
        <v>223983</v>
      </c>
      <c r="O7" s="16">
        <f t="shared" si="2"/>
        <v>6.5333333333333332</v>
      </c>
      <c r="P7" s="16">
        <f t="shared" si="3"/>
        <v>8.7506641129014255</v>
      </c>
      <c r="Q7" s="16">
        <f t="shared" si="4"/>
        <v>27.250000000000004</v>
      </c>
    </row>
    <row r="8" spans="1:19">
      <c r="A8" s="3" t="s">
        <v>14</v>
      </c>
      <c r="B8" s="4" t="s">
        <v>15</v>
      </c>
      <c r="C8" s="4" t="s">
        <v>7</v>
      </c>
      <c r="D8" s="5" t="s">
        <v>8</v>
      </c>
      <c r="E8" s="12">
        <v>35224</v>
      </c>
      <c r="F8" s="12">
        <f t="shared" si="0"/>
        <v>1600</v>
      </c>
      <c r="G8" s="12">
        <f t="shared" si="1"/>
        <v>820</v>
      </c>
      <c r="H8" s="10">
        <v>2420</v>
      </c>
      <c r="J8" s="17">
        <v>300000</v>
      </c>
      <c r="K8" s="17">
        <v>100000</v>
      </c>
      <c r="L8" s="17">
        <v>80000</v>
      </c>
      <c r="M8" s="15">
        <v>3000</v>
      </c>
      <c r="N8" s="18">
        <v>241753</v>
      </c>
      <c r="O8" s="16">
        <f t="shared" si="2"/>
        <v>24.2</v>
      </c>
      <c r="P8" s="16">
        <f t="shared" si="3"/>
        <v>30.030651119117444</v>
      </c>
      <c r="Q8" s="16">
        <f t="shared" si="4"/>
        <v>98.429999999999993</v>
      </c>
    </row>
    <row r="9" spans="1:19">
      <c r="A9" s="3" t="s">
        <v>16</v>
      </c>
      <c r="B9" s="4" t="s">
        <v>9</v>
      </c>
      <c r="C9" s="4" t="s">
        <v>7</v>
      </c>
      <c r="D9" s="5" t="s">
        <v>8</v>
      </c>
      <c r="E9" s="12">
        <v>22867</v>
      </c>
      <c r="F9" s="12">
        <f t="shared" si="0"/>
        <v>1600</v>
      </c>
      <c r="G9" s="12">
        <f t="shared" si="1"/>
        <v>850</v>
      </c>
      <c r="H9" s="10">
        <v>2450</v>
      </c>
      <c r="J9" s="17">
        <v>300000</v>
      </c>
      <c r="K9" s="17">
        <v>100000</v>
      </c>
      <c r="L9" s="17">
        <v>80000</v>
      </c>
      <c r="M9" s="15">
        <v>2500</v>
      </c>
      <c r="N9" s="18">
        <v>222015</v>
      </c>
      <c r="O9" s="16">
        <f t="shared" si="2"/>
        <v>20.416666666666668</v>
      </c>
      <c r="P9" s="16">
        <f t="shared" si="3"/>
        <v>27.588226020764363</v>
      </c>
      <c r="Q9" s="16">
        <f t="shared" si="4"/>
        <v>85.15625</v>
      </c>
    </row>
    <row r="10" spans="1:19">
      <c r="A10" s="3" t="s">
        <v>17</v>
      </c>
      <c r="B10" s="4" t="s">
        <v>18</v>
      </c>
      <c r="C10" s="4" t="s">
        <v>7</v>
      </c>
      <c r="D10" s="5" t="s">
        <v>8</v>
      </c>
      <c r="E10" s="12">
        <v>0</v>
      </c>
      <c r="F10" s="12">
        <f t="shared" si="0"/>
        <v>1600</v>
      </c>
      <c r="G10" s="12">
        <f t="shared" si="1"/>
        <v>0</v>
      </c>
      <c r="H10" s="10">
        <v>1600</v>
      </c>
      <c r="J10" s="17">
        <v>300000</v>
      </c>
      <c r="K10" s="17">
        <v>100000</v>
      </c>
      <c r="L10" s="17">
        <v>80000</v>
      </c>
      <c r="M10" s="15">
        <v>3200</v>
      </c>
      <c r="N10" s="18">
        <v>123252</v>
      </c>
      <c r="O10" s="16">
        <f t="shared" si="2"/>
        <v>17.066666666666666</v>
      </c>
      <c r="P10" s="16">
        <f t="shared" si="3"/>
        <v>41.540908058287087</v>
      </c>
      <c r="Q10" s="16">
        <f t="shared" si="4"/>
        <v>51.2</v>
      </c>
    </row>
    <row r="11" spans="1:19">
      <c r="A11" s="3" t="s">
        <v>17</v>
      </c>
      <c r="B11" s="4" t="s">
        <v>19</v>
      </c>
      <c r="C11" s="4" t="s">
        <v>7</v>
      </c>
      <c r="D11" s="5" t="s">
        <v>8</v>
      </c>
      <c r="E11" s="12">
        <v>43978</v>
      </c>
      <c r="F11" s="12">
        <f t="shared" si="0"/>
        <v>1600</v>
      </c>
      <c r="G11" s="12">
        <f t="shared" si="1"/>
        <v>0</v>
      </c>
      <c r="H11" s="10">
        <v>1600</v>
      </c>
      <c r="J11" s="17">
        <v>300000</v>
      </c>
      <c r="K11" s="17">
        <v>100000</v>
      </c>
      <c r="L11" s="17">
        <v>80000</v>
      </c>
      <c r="M11" s="15">
        <v>1000</v>
      </c>
      <c r="N11" s="18">
        <v>123252</v>
      </c>
      <c r="O11" s="16">
        <f t="shared" si="2"/>
        <v>5.333333333333333</v>
      </c>
      <c r="P11" s="16">
        <f t="shared" si="3"/>
        <v>12.981533768214714</v>
      </c>
      <c r="Q11" s="16">
        <f t="shared" si="4"/>
        <v>16</v>
      </c>
      <c r="S11" s="11"/>
    </row>
    <row r="12" spans="1:19">
      <c r="A12" s="3" t="s">
        <v>17</v>
      </c>
      <c r="B12" s="4" t="s">
        <v>20</v>
      </c>
      <c r="C12" s="4" t="s">
        <v>7</v>
      </c>
      <c r="D12" s="5" t="s">
        <v>8</v>
      </c>
      <c r="E12" s="12">
        <v>6708</v>
      </c>
      <c r="F12" s="12">
        <f t="shared" si="0"/>
        <v>1600</v>
      </c>
      <c r="G12" s="12">
        <f t="shared" si="1"/>
        <v>0</v>
      </c>
      <c r="H12" s="10">
        <v>1600</v>
      </c>
      <c r="J12" s="17">
        <v>300000</v>
      </c>
      <c r="K12" s="17">
        <v>100000</v>
      </c>
      <c r="L12" s="17">
        <v>80000</v>
      </c>
      <c r="M12" s="15">
        <v>5000</v>
      </c>
      <c r="N12" s="18">
        <v>123252</v>
      </c>
      <c r="O12" s="16">
        <f t="shared" si="2"/>
        <v>26.666666666666668</v>
      </c>
      <c r="P12" s="16">
        <f t="shared" si="3"/>
        <v>64.907668841073573</v>
      </c>
      <c r="Q12" s="16">
        <f t="shared" si="4"/>
        <v>80</v>
      </c>
    </row>
    <row r="13" spans="1:19">
      <c r="A13" s="3" t="s">
        <v>21</v>
      </c>
      <c r="B13" s="4" t="s">
        <v>22</v>
      </c>
      <c r="C13" s="4" t="s">
        <v>23</v>
      </c>
      <c r="D13" s="5" t="s">
        <v>8</v>
      </c>
      <c r="E13" s="12">
        <v>1</v>
      </c>
      <c r="F13" s="12">
        <f t="shared" si="0"/>
        <v>0</v>
      </c>
      <c r="G13" s="12"/>
      <c r="H13" s="10"/>
      <c r="J13" s="17">
        <v>300000</v>
      </c>
      <c r="K13" s="17">
        <v>100000</v>
      </c>
      <c r="L13" s="17">
        <v>80000</v>
      </c>
      <c r="M13" s="15">
        <v>4000</v>
      </c>
      <c r="N13" s="18">
        <v>100000</v>
      </c>
      <c r="O13" s="16">
        <f t="shared" si="2"/>
        <v>0</v>
      </c>
      <c r="P13" s="16">
        <f t="shared" si="3"/>
        <v>0</v>
      </c>
      <c r="Q13" s="16">
        <f t="shared" si="4"/>
        <v>0</v>
      </c>
    </row>
    <row r="14" spans="1:19">
      <c r="A14" s="3" t="s">
        <v>21</v>
      </c>
      <c r="B14" s="4" t="s">
        <v>24</v>
      </c>
      <c r="C14" s="4" t="s">
        <v>23</v>
      </c>
      <c r="D14" s="5" t="s">
        <v>8</v>
      </c>
      <c r="E14" s="12">
        <v>4405</v>
      </c>
      <c r="F14" s="12">
        <f t="shared" si="0"/>
        <v>0</v>
      </c>
      <c r="G14" s="12"/>
      <c r="H14" s="10"/>
      <c r="J14" s="17">
        <v>300000</v>
      </c>
      <c r="K14" s="17">
        <v>100000</v>
      </c>
      <c r="L14" s="17">
        <v>80000</v>
      </c>
      <c r="M14" s="15">
        <v>0</v>
      </c>
      <c r="N14" s="18">
        <v>100000</v>
      </c>
      <c r="O14" s="16">
        <f t="shared" si="2"/>
        <v>0</v>
      </c>
      <c r="P14" s="16">
        <f t="shared" si="3"/>
        <v>0</v>
      </c>
      <c r="Q14" s="16">
        <f t="shared" si="4"/>
        <v>0</v>
      </c>
    </row>
    <row r="15" spans="1:19">
      <c r="A15" s="3" t="s">
        <v>25</v>
      </c>
      <c r="B15" s="4" t="s">
        <v>26</v>
      </c>
      <c r="C15" s="4" t="s">
        <v>7</v>
      </c>
      <c r="D15" s="5" t="s">
        <v>8</v>
      </c>
      <c r="E15" s="12">
        <v>0</v>
      </c>
      <c r="F15" s="12">
        <f t="shared" si="0"/>
        <v>1600</v>
      </c>
      <c r="G15" s="12">
        <f t="shared" ref="G15:G23" si="5">H15-1600</f>
        <v>290.75</v>
      </c>
      <c r="H15" s="10">
        <v>1890.75</v>
      </c>
      <c r="J15" s="17">
        <v>300000</v>
      </c>
      <c r="K15" s="17">
        <v>100000</v>
      </c>
      <c r="L15" s="17">
        <v>80000</v>
      </c>
      <c r="M15" s="15">
        <v>0</v>
      </c>
      <c r="N15" s="18">
        <v>114208</v>
      </c>
      <c r="O15" s="16">
        <f t="shared" si="2"/>
        <v>0</v>
      </c>
      <c r="P15" s="16">
        <f t="shared" si="3"/>
        <v>0</v>
      </c>
      <c r="Q15" s="16">
        <f t="shared" si="4"/>
        <v>0</v>
      </c>
    </row>
    <row r="16" spans="1:19">
      <c r="A16" s="3" t="s">
        <v>25</v>
      </c>
      <c r="B16" s="4" t="s">
        <v>27</v>
      </c>
      <c r="C16" s="4" t="s">
        <v>7</v>
      </c>
      <c r="D16" s="5" t="s">
        <v>8</v>
      </c>
      <c r="E16" s="12">
        <v>4172</v>
      </c>
      <c r="F16" s="12">
        <f t="shared" si="0"/>
        <v>1600</v>
      </c>
      <c r="G16" s="12">
        <f t="shared" si="5"/>
        <v>290.75</v>
      </c>
      <c r="H16" s="10">
        <v>1890.75</v>
      </c>
      <c r="J16" s="17">
        <v>300000</v>
      </c>
      <c r="K16" s="17">
        <v>100000</v>
      </c>
      <c r="L16" s="17">
        <v>80000</v>
      </c>
      <c r="M16" s="15">
        <v>1800</v>
      </c>
      <c r="N16" s="18">
        <v>114208</v>
      </c>
      <c r="O16" s="16">
        <f t="shared" si="2"/>
        <v>11.3445</v>
      </c>
      <c r="P16" s="16">
        <f t="shared" si="3"/>
        <v>29.799576211824043</v>
      </c>
      <c r="Q16" s="16">
        <f t="shared" si="4"/>
        <v>32.604100312499995</v>
      </c>
    </row>
    <row r="17" spans="1:17">
      <c r="A17" s="3" t="s">
        <v>28</v>
      </c>
      <c r="B17" s="4" t="s">
        <v>27</v>
      </c>
      <c r="C17" s="4" t="s">
        <v>29</v>
      </c>
      <c r="D17" s="5" t="s">
        <v>8</v>
      </c>
      <c r="E17" s="12">
        <v>55177</v>
      </c>
      <c r="F17" s="12">
        <f t="shared" si="0"/>
        <v>1600</v>
      </c>
      <c r="G17" s="12">
        <f t="shared" si="5"/>
        <v>720</v>
      </c>
      <c r="H17" s="10">
        <v>2320</v>
      </c>
      <c r="J17" s="17">
        <v>300000</v>
      </c>
      <c r="K17" s="17">
        <v>100000</v>
      </c>
      <c r="L17" s="17">
        <v>80000</v>
      </c>
      <c r="M17" s="15">
        <v>1800</v>
      </c>
      <c r="N17" s="18">
        <v>200000</v>
      </c>
      <c r="O17" s="16">
        <f t="shared" si="2"/>
        <v>13.92</v>
      </c>
      <c r="P17" s="16">
        <f t="shared" si="3"/>
        <v>20.88</v>
      </c>
      <c r="Q17" s="16">
        <f t="shared" si="4"/>
        <v>52.128</v>
      </c>
    </row>
    <row r="18" spans="1:17">
      <c r="A18" s="3" t="s">
        <v>28</v>
      </c>
      <c r="B18" s="4" t="s">
        <v>30</v>
      </c>
      <c r="C18" s="4" t="s">
        <v>29</v>
      </c>
      <c r="D18" s="5" t="s">
        <v>8</v>
      </c>
      <c r="E18" s="12">
        <v>545255</v>
      </c>
      <c r="F18" s="12">
        <f t="shared" si="0"/>
        <v>1600</v>
      </c>
      <c r="G18" s="12">
        <f t="shared" si="5"/>
        <v>720</v>
      </c>
      <c r="H18" s="10">
        <v>2320</v>
      </c>
      <c r="J18" s="17">
        <v>300000</v>
      </c>
      <c r="K18" s="17">
        <v>100000</v>
      </c>
      <c r="L18" s="17">
        <v>80000</v>
      </c>
      <c r="M18" s="15">
        <v>3000</v>
      </c>
      <c r="N18" s="18">
        <v>200000</v>
      </c>
      <c r="O18" s="16">
        <f t="shared" si="2"/>
        <v>23.2</v>
      </c>
      <c r="P18" s="16">
        <f t="shared" si="3"/>
        <v>34.799999999999997</v>
      </c>
      <c r="Q18" s="16">
        <f t="shared" si="4"/>
        <v>86.88</v>
      </c>
    </row>
    <row r="19" spans="1:17">
      <c r="A19" s="3" t="s">
        <v>31</v>
      </c>
      <c r="B19" s="4" t="s">
        <v>32</v>
      </c>
      <c r="C19" s="4" t="s">
        <v>7</v>
      </c>
      <c r="D19" s="5" t="s">
        <v>8</v>
      </c>
      <c r="E19" s="12">
        <v>20211</v>
      </c>
      <c r="F19" s="12">
        <f t="shared" si="0"/>
        <v>1600</v>
      </c>
      <c r="G19" s="12">
        <f t="shared" si="5"/>
        <v>820</v>
      </c>
      <c r="H19" s="10">
        <v>2420</v>
      </c>
      <c r="J19" s="17">
        <v>300000</v>
      </c>
      <c r="K19" s="17">
        <v>100000</v>
      </c>
      <c r="L19" s="17">
        <v>80000</v>
      </c>
      <c r="M19" s="15">
        <v>3000</v>
      </c>
      <c r="N19" s="18">
        <v>161805</v>
      </c>
      <c r="O19" s="16">
        <f t="shared" si="2"/>
        <v>24.2</v>
      </c>
      <c r="P19" s="16">
        <f t="shared" si="3"/>
        <v>44.86882358394363</v>
      </c>
      <c r="Q19" s="16">
        <f t="shared" si="4"/>
        <v>98.429999999999993</v>
      </c>
    </row>
    <row r="20" spans="1:17">
      <c r="A20" s="3" t="s">
        <v>31</v>
      </c>
      <c r="B20" s="4" t="s">
        <v>33</v>
      </c>
      <c r="C20" s="4" t="s">
        <v>7</v>
      </c>
      <c r="D20" s="5" t="s">
        <v>8</v>
      </c>
      <c r="E20" s="12">
        <v>31558</v>
      </c>
      <c r="F20" s="12">
        <f t="shared" si="0"/>
        <v>1600</v>
      </c>
      <c r="G20" s="12">
        <f t="shared" si="5"/>
        <v>820</v>
      </c>
      <c r="H20" s="10">
        <v>2420</v>
      </c>
      <c r="J20" s="17">
        <v>300000</v>
      </c>
      <c r="K20" s="17">
        <v>100000</v>
      </c>
      <c r="L20" s="17">
        <v>80000</v>
      </c>
      <c r="M20" s="15">
        <v>4000</v>
      </c>
      <c r="N20" s="18">
        <v>161805</v>
      </c>
      <c r="O20" s="16">
        <f t="shared" si="2"/>
        <v>32.266666666666666</v>
      </c>
      <c r="P20" s="16">
        <f t="shared" si="3"/>
        <v>59.825098111924845</v>
      </c>
      <c r="Q20" s="16">
        <f t="shared" si="4"/>
        <v>131.24</v>
      </c>
    </row>
    <row r="21" spans="1:17">
      <c r="A21" s="3" t="s">
        <v>34</v>
      </c>
      <c r="B21" s="4" t="s">
        <v>35</v>
      </c>
      <c r="C21" s="4" t="s">
        <v>29</v>
      </c>
      <c r="D21" s="5" t="s">
        <v>8</v>
      </c>
      <c r="E21" s="12">
        <v>11179</v>
      </c>
      <c r="F21" s="12">
        <f t="shared" si="0"/>
        <v>1600</v>
      </c>
      <c r="G21" s="12">
        <f t="shared" si="5"/>
        <v>1422.62</v>
      </c>
      <c r="H21" s="10">
        <v>3022.62</v>
      </c>
      <c r="J21" s="17">
        <v>300000</v>
      </c>
      <c r="K21" s="17">
        <v>100000</v>
      </c>
      <c r="L21" s="17">
        <v>80000</v>
      </c>
      <c r="M21" s="15">
        <v>1500</v>
      </c>
      <c r="N21" s="18">
        <v>300000</v>
      </c>
      <c r="O21" s="16">
        <f t="shared" si="2"/>
        <v>15.113099999999999</v>
      </c>
      <c r="P21" s="16">
        <f t="shared" si="3"/>
        <v>15.113099999999999</v>
      </c>
      <c r="Q21" s="16">
        <f t="shared" si="4"/>
        <v>99.894287414999994</v>
      </c>
    </row>
    <row r="22" spans="1:17">
      <c r="A22" s="3" t="s">
        <v>34</v>
      </c>
      <c r="B22" s="4" t="s">
        <v>30</v>
      </c>
      <c r="C22" s="4" t="s">
        <v>29</v>
      </c>
      <c r="D22" s="5" t="s">
        <v>8</v>
      </c>
      <c r="E22" s="12">
        <v>-201329</v>
      </c>
      <c r="F22" s="12">
        <f t="shared" si="0"/>
        <v>1600</v>
      </c>
      <c r="G22" s="12">
        <f t="shared" si="5"/>
        <v>1422.62</v>
      </c>
      <c r="H22" s="10">
        <v>3022.62</v>
      </c>
      <c r="J22" s="17">
        <v>300000</v>
      </c>
      <c r="K22" s="17">
        <v>100000</v>
      </c>
      <c r="L22" s="17">
        <v>80000</v>
      </c>
      <c r="M22" s="15">
        <v>3300</v>
      </c>
      <c r="N22" s="18">
        <v>300000</v>
      </c>
      <c r="O22" s="16">
        <f t="shared" si="2"/>
        <v>33.248820000000002</v>
      </c>
      <c r="P22" s="16">
        <f t="shared" si="3"/>
        <v>33.248820000000002</v>
      </c>
      <c r="Q22" s="16">
        <f t="shared" si="4"/>
        <v>219.76743231299997</v>
      </c>
    </row>
    <row r="23" spans="1:17">
      <c r="A23" s="3" t="s">
        <v>34</v>
      </c>
      <c r="B23" s="4" t="s">
        <v>36</v>
      </c>
      <c r="C23" s="4" t="s">
        <v>29</v>
      </c>
      <c r="D23" s="5" t="s">
        <v>8</v>
      </c>
      <c r="E23" s="12">
        <v>599393</v>
      </c>
      <c r="F23" s="12">
        <f t="shared" si="0"/>
        <v>1600</v>
      </c>
      <c r="G23" s="12">
        <f t="shared" si="5"/>
        <v>1422.62</v>
      </c>
      <c r="H23" s="10">
        <v>3022.62</v>
      </c>
      <c r="J23" s="17">
        <v>300000</v>
      </c>
      <c r="K23" s="17">
        <v>100000</v>
      </c>
      <c r="L23" s="17">
        <v>80000</v>
      </c>
      <c r="M23" s="15">
        <v>0</v>
      </c>
      <c r="N23" s="18">
        <v>300000</v>
      </c>
      <c r="O23" s="16">
        <f t="shared" si="2"/>
        <v>0</v>
      </c>
      <c r="P23" s="16">
        <f t="shared" si="3"/>
        <v>0</v>
      </c>
      <c r="Q23" s="16">
        <f t="shared" si="4"/>
        <v>0</v>
      </c>
    </row>
    <row r="26" spans="1:17">
      <c r="A26" s="19" t="s">
        <v>49</v>
      </c>
      <c r="B26" s="19"/>
      <c r="C26" s="19"/>
      <c r="D26" s="19"/>
      <c r="E26" s="19"/>
      <c r="F26" s="19"/>
      <c r="G26" s="19"/>
      <c r="H26" s="19"/>
    </row>
    <row r="27" spans="1:17">
      <c r="A27" s="19"/>
      <c r="B27" s="19"/>
      <c r="C27" s="19"/>
      <c r="D27" s="19"/>
      <c r="E27" s="19"/>
      <c r="F27" s="19"/>
      <c r="G27" s="19"/>
      <c r="H27" s="19"/>
      <c r="J27" s="1"/>
      <c r="K27" s="1"/>
    </row>
    <row r="28" spans="1:17">
      <c r="A28" s="19"/>
      <c r="B28" s="19"/>
      <c r="C28" s="19"/>
      <c r="D28" s="19"/>
      <c r="E28" s="19"/>
      <c r="F28" s="19"/>
      <c r="G28" s="19"/>
      <c r="H28" s="19"/>
    </row>
    <row r="29" spans="1:17">
      <c r="A29" s="19"/>
      <c r="B29" s="19"/>
      <c r="C29" s="19"/>
      <c r="D29" s="19"/>
      <c r="E29" s="19"/>
      <c r="F29" s="19"/>
      <c r="G29" s="19"/>
      <c r="H29" s="19"/>
    </row>
    <row r="30" spans="1:17">
      <c r="A30" s="19"/>
      <c r="B30" s="19"/>
      <c r="C30" s="19"/>
      <c r="D30" s="19"/>
      <c r="E30" s="19"/>
      <c r="F30" s="19"/>
      <c r="G30" s="19"/>
      <c r="H30" s="19"/>
    </row>
    <row r="31" spans="1:17">
      <c r="A31" s="19"/>
      <c r="B31" s="19"/>
      <c r="C31" s="19"/>
      <c r="D31" s="19"/>
      <c r="E31" s="19"/>
      <c r="F31" s="19"/>
      <c r="G31" s="19"/>
      <c r="H31" s="19"/>
    </row>
    <row r="32" spans="1:17">
      <c r="A32" s="19"/>
      <c r="B32" s="19"/>
      <c r="C32" s="19"/>
      <c r="D32" s="19"/>
      <c r="E32" s="19"/>
      <c r="F32" s="19"/>
      <c r="G32" s="19"/>
      <c r="H32" s="19"/>
    </row>
  </sheetData>
  <autoFilter ref="A1:O23">
    <sortState ref="A2:O23">
      <sortCondition ref="A1:A23"/>
    </sortState>
  </autoFilter>
  <mergeCells count="1">
    <mergeCell ref="A26:H32"/>
  </mergeCells>
  <pageMargins left="0.7" right="0.7" top="0.75" bottom="0.75" header="0.45" footer="0.45"/>
  <pageSetup paperSize="9" orientation="portrait" r:id="rId1"/>
  <headerFooter>
    <oddHeader>&amp;L&amp;20Histórico de movimentos de pneus nas estruturas&amp;R&amp;D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Histórico de movimentos d...</vt:lpstr>
      <vt:lpstr>'1. Histórico de movimentos d...'!Titulos_de_impressao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Lucas gomes da nóbrega</dc:creator>
  <cp:lastModifiedBy>Manoel</cp:lastModifiedBy>
  <dcterms:created xsi:type="dcterms:W3CDTF">2024-03-07T12:50:01Z</dcterms:created>
  <dcterms:modified xsi:type="dcterms:W3CDTF">2024-03-09T14:58:58Z</dcterms:modified>
</cp:coreProperties>
</file>