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ocuments\cubos\manutenção\"/>
    </mc:Choice>
  </mc:AlternateContent>
  <bookViews>
    <workbookView xWindow="0" yWindow="0" windowWidth="20490" windowHeight="7635"/>
  </bookViews>
  <sheets>
    <sheet name="1. TESTE custo por bem do to..." sheetId="1" r:id="rId1"/>
  </sheets>
  <definedNames>
    <definedName name="_xlnm.Print_Titles" localSheetId="0">'1. TESTE custo por bem do to...'!$A:$B,'1. TESTE custo por bem do to...'!$2:$2</definedName>
  </definedNames>
  <calcPr calcId="152511"/>
</workbook>
</file>

<file path=xl/calcChain.xml><?xml version="1.0" encoding="utf-8"?>
<calcChain xmlns="http://schemas.openxmlformats.org/spreadsheetml/2006/main">
  <c r="I3" i="1" l="1"/>
  <c r="J3" i="1" s="1"/>
  <c r="K3" i="1" s="1"/>
  <c r="I4" i="1"/>
  <c r="J4" i="1" s="1"/>
  <c r="K4" i="1" s="1"/>
  <c r="I5" i="1"/>
  <c r="J5" i="1" s="1"/>
  <c r="K5" i="1" s="1"/>
  <c r="I6" i="1"/>
  <c r="J6" i="1" s="1"/>
  <c r="K6" i="1" s="1"/>
  <c r="I7" i="1"/>
  <c r="J7" i="1" s="1"/>
  <c r="K7" i="1" s="1"/>
  <c r="I105" i="1"/>
  <c r="J105" i="1" s="1"/>
  <c r="K105" i="1" s="1"/>
  <c r="I9" i="1"/>
  <c r="J9" i="1" s="1"/>
  <c r="K9" i="1" s="1"/>
  <c r="I10" i="1"/>
  <c r="J10" i="1" s="1"/>
  <c r="K10" i="1" s="1"/>
  <c r="I11" i="1"/>
  <c r="J11" i="1" s="1"/>
  <c r="K11" i="1" s="1"/>
  <c r="I12" i="1"/>
  <c r="J12" i="1" s="1"/>
  <c r="K12" i="1" s="1"/>
  <c r="I13" i="1"/>
  <c r="J13" i="1" s="1"/>
  <c r="K13" i="1" s="1"/>
  <c r="I14" i="1"/>
  <c r="J14" i="1" s="1"/>
  <c r="K14" i="1" s="1"/>
  <c r="I15" i="1"/>
  <c r="J15" i="1" s="1"/>
  <c r="K15" i="1" s="1"/>
  <c r="I76" i="1"/>
  <c r="J76" i="1" s="1"/>
  <c r="K76" i="1" s="1"/>
  <c r="I17" i="1"/>
  <c r="J17" i="1" s="1"/>
  <c r="K17" i="1" s="1"/>
  <c r="I18" i="1"/>
  <c r="J18" i="1" s="1"/>
  <c r="K18" i="1" s="1"/>
  <c r="I19" i="1"/>
  <c r="J19" i="1" s="1"/>
  <c r="K19" i="1" s="1"/>
  <c r="I422" i="1"/>
  <c r="J422" i="1" s="1"/>
  <c r="K422" i="1" s="1"/>
  <c r="I120" i="1"/>
  <c r="J120" i="1" s="1"/>
  <c r="K120" i="1" s="1"/>
  <c r="I311" i="1"/>
  <c r="J311" i="1" s="1"/>
  <c r="K311" i="1" s="1"/>
  <c r="I23" i="1"/>
  <c r="J23" i="1" s="1"/>
  <c r="K23" i="1" s="1"/>
  <c r="I385" i="1"/>
  <c r="J385" i="1" s="1"/>
  <c r="K385" i="1" s="1"/>
  <c r="I199" i="1"/>
  <c r="J199" i="1" s="1"/>
  <c r="K199" i="1" s="1"/>
  <c r="I26" i="1"/>
  <c r="J26" i="1" s="1"/>
  <c r="K26" i="1" s="1"/>
  <c r="I27" i="1"/>
  <c r="J27" i="1" s="1"/>
  <c r="K27" i="1" s="1"/>
  <c r="I28" i="1"/>
  <c r="J28" i="1" s="1"/>
  <c r="K28" i="1" s="1"/>
  <c r="I29" i="1"/>
  <c r="J29" i="1" s="1"/>
  <c r="K29" i="1" s="1"/>
  <c r="I30" i="1"/>
  <c r="J30" i="1" s="1"/>
  <c r="K30" i="1" s="1"/>
  <c r="I31" i="1"/>
  <c r="J31" i="1" s="1"/>
  <c r="K31" i="1" s="1"/>
  <c r="I32" i="1"/>
  <c r="J32" i="1" s="1"/>
  <c r="K32" i="1" s="1"/>
  <c r="I33" i="1"/>
  <c r="J33" i="1" s="1"/>
  <c r="K33" i="1" s="1"/>
  <c r="I34" i="1"/>
  <c r="J34" i="1" s="1"/>
  <c r="K34" i="1" s="1"/>
  <c r="I35" i="1"/>
  <c r="J35" i="1" s="1"/>
  <c r="K35" i="1" s="1"/>
  <c r="I36" i="1"/>
  <c r="J36" i="1" s="1"/>
  <c r="K36" i="1" s="1"/>
  <c r="I37" i="1"/>
  <c r="J37" i="1" s="1"/>
  <c r="K37" i="1" s="1"/>
  <c r="I38" i="1"/>
  <c r="J38" i="1" s="1"/>
  <c r="K38" i="1" s="1"/>
  <c r="I39" i="1"/>
  <c r="J39" i="1" s="1"/>
  <c r="K39" i="1" s="1"/>
  <c r="I40" i="1"/>
  <c r="J40" i="1" s="1"/>
  <c r="K40" i="1" s="1"/>
  <c r="I21" i="1"/>
  <c r="J21" i="1" s="1"/>
  <c r="K21" i="1" s="1"/>
  <c r="I42" i="1"/>
  <c r="J42" i="1" s="1"/>
  <c r="K42" i="1" s="1"/>
  <c r="I43" i="1"/>
  <c r="J43" i="1" s="1"/>
  <c r="K43" i="1" s="1"/>
  <c r="I44" i="1"/>
  <c r="J44" i="1" s="1"/>
  <c r="K44" i="1" s="1"/>
  <c r="I45" i="1"/>
  <c r="J45" i="1" s="1"/>
  <c r="K45" i="1" s="1"/>
  <c r="I46" i="1"/>
  <c r="J46" i="1" s="1"/>
  <c r="K46" i="1" s="1"/>
  <c r="I47" i="1"/>
  <c r="J47" i="1" s="1"/>
  <c r="K47" i="1" s="1"/>
  <c r="I48" i="1"/>
  <c r="J48" i="1" s="1"/>
  <c r="K48" i="1" s="1"/>
  <c r="I49" i="1"/>
  <c r="J49" i="1" s="1"/>
  <c r="K49" i="1" s="1"/>
  <c r="I50" i="1"/>
  <c r="J50" i="1" s="1"/>
  <c r="K50" i="1" s="1"/>
  <c r="I51" i="1"/>
  <c r="J51" i="1" s="1"/>
  <c r="K51" i="1" s="1"/>
  <c r="I52" i="1"/>
  <c r="J52" i="1" s="1"/>
  <c r="K52" i="1" s="1"/>
  <c r="I381" i="1"/>
  <c r="J381" i="1" s="1"/>
  <c r="K381" i="1" s="1"/>
  <c r="I54" i="1"/>
  <c r="J54" i="1" s="1"/>
  <c r="K54" i="1" s="1"/>
  <c r="I74" i="1"/>
  <c r="J74" i="1" s="1"/>
  <c r="K74" i="1" s="1"/>
  <c r="I56" i="1"/>
  <c r="J56" i="1" s="1"/>
  <c r="K56" i="1" s="1"/>
  <c r="I57" i="1"/>
  <c r="J57" i="1" s="1"/>
  <c r="K57" i="1" s="1"/>
  <c r="I58" i="1"/>
  <c r="J58" i="1" s="1"/>
  <c r="K58" i="1" s="1"/>
  <c r="I59" i="1"/>
  <c r="J59" i="1" s="1"/>
  <c r="K59" i="1" s="1"/>
  <c r="I60" i="1"/>
  <c r="J60" i="1" s="1"/>
  <c r="K60" i="1" s="1"/>
  <c r="I61" i="1"/>
  <c r="J61" i="1" s="1"/>
  <c r="K61" i="1" s="1"/>
  <c r="I62" i="1"/>
  <c r="J62" i="1" s="1"/>
  <c r="K62" i="1" s="1"/>
  <c r="I63" i="1"/>
  <c r="J63" i="1" s="1"/>
  <c r="K63" i="1" s="1"/>
  <c r="I64" i="1"/>
  <c r="J64" i="1" s="1"/>
  <c r="K64" i="1" s="1"/>
  <c r="I65" i="1"/>
  <c r="J65" i="1" s="1"/>
  <c r="K65" i="1" s="1"/>
  <c r="I66" i="1"/>
  <c r="J66" i="1" s="1"/>
  <c r="K66" i="1" s="1"/>
  <c r="I67" i="1"/>
  <c r="J67" i="1" s="1"/>
  <c r="K67" i="1" s="1"/>
  <c r="I225" i="1"/>
  <c r="J225" i="1" s="1"/>
  <c r="K225" i="1" s="1"/>
  <c r="I69" i="1"/>
  <c r="J69" i="1" s="1"/>
  <c r="K69" i="1" s="1"/>
  <c r="I70" i="1"/>
  <c r="J70" i="1" s="1"/>
  <c r="K70" i="1" s="1"/>
  <c r="I20" i="1"/>
  <c r="J20" i="1" s="1"/>
  <c r="K20" i="1" s="1"/>
  <c r="I72" i="1"/>
  <c r="J72" i="1" s="1"/>
  <c r="K72" i="1" s="1"/>
  <c r="I73" i="1"/>
  <c r="J73" i="1" s="1"/>
  <c r="K73" i="1" s="1"/>
  <c r="I567" i="1"/>
  <c r="J567" i="1" s="1"/>
  <c r="K567" i="1" s="1"/>
  <c r="I378" i="1"/>
  <c r="J378" i="1" s="1"/>
  <c r="K378" i="1" s="1"/>
  <c r="I300" i="1"/>
  <c r="J300" i="1" s="1"/>
  <c r="K300" i="1" s="1"/>
  <c r="I77" i="1"/>
  <c r="J77" i="1" s="1"/>
  <c r="K77" i="1" s="1"/>
  <c r="I78" i="1"/>
  <c r="J78" i="1" s="1"/>
  <c r="K78" i="1" s="1"/>
  <c r="I79" i="1"/>
  <c r="J79" i="1" s="1"/>
  <c r="K79" i="1" s="1"/>
  <c r="I80" i="1"/>
  <c r="J80" i="1" s="1"/>
  <c r="K80" i="1" s="1"/>
  <c r="I81" i="1"/>
  <c r="J81" i="1" s="1"/>
  <c r="K81" i="1" s="1"/>
  <c r="I82" i="1"/>
  <c r="J82" i="1" s="1"/>
  <c r="K82" i="1" s="1"/>
  <c r="I83" i="1"/>
  <c r="J83" i="1" s="1"/>
  <c r="K83" i="1" s="1"/>
  <c r="I464" i="1"/>
  <c r="J464" i="1" s="1"/>
  <c r="K464" i="1" s="1"/>
  <c r="I393" i="1"/>
  <c r="J393" i="1" s="1"/>
  <c r="K393" i="1" s="1"/>
  <c r="I86" i="1"/>
  <c r="J86" i="1" s="1"/>
  <c r="K86" i="1" s="1"/>
  <c r="I87" i="1"/>
  <c r="J87" i="1" s="1"/>
  <c r="K87" i="1" s="1"/>
  <c r="I88" i="1"/>
  <c r="J88" i="1" s="1"/>
  <c r="K88" i="1" s="1"/>
  <c r="I89" i="1"/>
  <c r="J89" i="1" s="1"/>
  <c r="K89" i="1" s="1"/>
  <c r="I90" i="1"/>
  <c r="J90" i="1" s="1"/>
  <c r="K90" i="1" s="1"/>
  <c r="I41" i="1"/>
  <c r="J41" i="1" s="1"/>
  <c r="K41" i="1" s="1"/>
  <c r="I55" i="1"/>
  <c r="J55" i="1" s="1"/>
  <c r="K55" i="1" s="1"/>
  <c r="I93" i="1"/>
  <c r="J93" i="1" s="1"/>
  <c r="K93" i="1" s="1"/>
  <c r="I94" i="1"/>
  <c r="J94" i="1" s="1"/>
  <c r="K94" i="1" s="1"/>
  <c r="I435" i="1"/>
  <c r="J435" i="1" s="1"/>
  <c r="K435" i="1" s="1"/>
  <c r="I96" i="1"/>
  <c r="J96" i="1" s="1"/>
  <c r="K96" i="1" s="1"/>
  <c r="I97" i="1"/>
  <c r="J97" i="1" s="1"/>
  <c r="K97" i="1" s="1"/>
  <c r="I98" i="1"/>
  <c r="J98" i="1" s="1"/>
  <c r="K98" i="1" s="1"/>
  <c r="I99" i="1"/>
  <c r="J99" i="1" s="1"/>
  <c r="K99" i="1" s="1"/>
  <c r="I462" i="1"/>
  <c r="J462" i="1" s="1"/>
  <c r="K462" i="1" s="1"/>
  <c r="I425" i="1"/>
  <c r="J425" i="1" s="1"/>
  <c r="K425" i="1" s="1"/>
  <c r="I24" i="1"/>
  <c r="J24" i="1" s="1"/>
  <c r="K24" i="1" s="1"/>
  <c r="I288" i="1"/>
  <c r="J288" i="1" s="1"/>
  <c r="K288" i="1" s="1"/>
  <c r="I115" i="1"/>
  <c r="J115" i="1" s="1"/>
  <c r="K115" i="1" s="1"/>
  <c r="I426" i="1"/>
  <c r="J426" i="1" s="1"/>
  <c r="K426" i="1" s="1"/>
  <c r="I399" i="1"/>
  <c r="J399" i="1" s="1"/>
  <c r="K399" i="1" s="1"/>
  <c r="I107" i="1"/>
  <c r="J107" i="1" s="1"/>
  <c r="K107" i="1" s="1"/>
  <c r="I537" i="1"/>
  <c r="J537" i="1" s="1"/>
  <c r="K537" i="1" s="1"/>
  <c r="I109" i="1"/>
  <c r="J109" i="1" s="1"/>
  <c r="K109" i="1" s="1"/>
  <c r="I563" i="1"/>
  <c r="J563" i="1" s="1"/>
  <c r="K563" i="1" s="1"/>
  <c r="I111" i="1"/>
  <c r="J111" i="1" s="1"/>
  <c r="K111" i="1" s="1"/>
  <c r="I112" i="1"/>
  <c r="J112" i="1" s="1"/>
  <c r="K112" i="1" s="1"/>
  <c r="I113" i="1"/>
  <c r="J113" i="1" s="1"/>
  <c r="K113" i="1" s="1"/>
  <c r="I114" i="1"/>
  <c r="J114" i="1" s="1"/>
  <c r="K114" i="1" s="1"/>
  <c r="I372" i="1"/>
  <c r="J372" i="1" s="1"/>
  <c r="K372" i="1" s="1"/>
  <c r="I116" i="1"/>
  <c r="J116" i="1" s="1"/>
  <c r="K116" i="1" s="1"/>
  <c r="I117" i="1"/>
  <c r="J117" i="1" s="1"/>
  <c r="K117" i="1" s="1"/>
  <c r="I118" i="1"/>
  <c r="J118" i="1" s="1"/>
  <c r="K118" i="1" s="1"/>
  <c r="I119" i="1"/>
  <c r="J119" i="1" s="1"/>
  <c r="K119" i="1" s="1"/>
  <c r="I258" i="1"/>
  <c r="J258" i="1" s="1"/>
  <c r="K258" i="1" s="1"/>
  <c r="I121" i="1"/>
  <c r="J121" i="1" s="1"/>
  <c r="K121" i="1" s="1"/>
  <c r="I122" i="1"/>
  <c r="J122" i="1" s="1"/>
  <c r="K122" i="1" s="1"/>
  <c r="I123" i="1"/>
  <c r="J123" i="1" s="1"/>
  <c r="K123" i="1" s="1"/>
  <c r="I124" i="1"/>
  <c r="J124" i="1" s="1"/>
  <c r="K124" i="1" s="1"/>
  <c r="I125" i="1"/>
  <c r="J125" i="1" s="1"/>
  <c r="K125" i="1" s="1"/>
  <c r="I126" i="1"/>
  <c r="J126" i="1" s="1"/>
  <c r="K126" i="1" s="1"/>
  <c r="I127" i="1"/>
  <c r="J127" i="1" s="1"/>
  <c r="K127" i="1" s="1"/>
  <c r="I239" i="1"/>
  <c r="J239" i="1" s="1"/>
  <c r="K239" i="1" s="1"/>
  <c r="I129" i="1"/>
  <c r="J129" i="1" s="1"/>
  <c r="K129" i="1" s="1"/>
  <c r="I130" i="1"/>
  <c r="J130" i="1" s="1"/>
  <c r="K130" i="1" s="1"/>
  <c r="I131" i="1"/>
  <c r="J131" i="1" s="1"/>
  <c r="K131" i="1" s="1"/>
  <c r="I132" i="1"/>
  <c r="J132" i="1" s="1"/>
  <c r="K132" i="1" s="1"/>
  <c r="I133" i="1"/>
  <c r="J133" i="1" s="1"/>
  <c r="K133" i="1" s="1"/>
  <c r="I134" i="1"/>
  <c r="J134" i="1" s="1"/>
  <c r="K134" i="1" s="1"/>
  <c r="I135" i="1"/>
  <c r="J135" i="1" s="1"/>
  <c r="K135" i="1" s="1"/>
  <c r="I136" i="1"/>
  <c r="J136" i="1" s="1"/>
  <c r="K136" i="1" s="1"/>
  <c r="I137" i="1"/>
  <c r="J137" i="1" s="1"/>
  <c r="K137" i="1" s="1"/>
  <c r="I138" i="1"/>
  <c r="J138" i="1" s="1"/>
  <c r="K138" i="1" s="1"/>
  <c r="I139" i="1"/>
  <c r="J139" i="1" s="1"/>
  <c r="K139" i="1" s="1"/>
  <c r="I140" i="1"/>
  <c r="J140" i="1" s="1"/>
  <c r="K140" i="1" s="1"/>
  <c r="I141" i="1"/>
  <c r="J141" i="1" s="1"/>
  <c r="K141" i="1" s="1"/>
  <c r="I142" i="1"/>
  <c r="J142" i="1" s="1"/>
  <c r="K142" i="1" s="1"/>
  <c r="I143" i="1"/>
  <c r="J143" i="1" s="1"/>
  <c r="K143" i="1" s="1"/>
  <c r="I144" i="1"/>
  <c r="J144" i="1" s="1"/>
  <c r="K144" i="1" s="1"/>
  <c r="I541" i="1"/>
  <c r="J541" i="1" s="1"/>
  <c r="K541" i="1" s="1"/>
  <c r="I146" i="1"/>
  <c r="J146" i="1" s="1"/>
  <c r="K146" i="1" s="1"/>
  <c r="I147" i="1"/>
  <c r="J147" i="1" s="1"/>
  <c r="K147" i="1" s="1"/>
  <c r="I148" i="1"/>
  <c r="J148" i="1" s="1"/>
  <c r="K148" i="1" s="1"/>
  <c r="I149" i="1"/>
  <c r="J149" i="1" s="1"/>
  <c r="K149" i="1" s="1"/>
  <c r="I150" i="1"/>
  <c r="J150" i="1" s="1"/>
  <c r="K150" i="1" s="1"/>
  <c r="I151" i="1"/>
  <c r="J151" i="1" s="1"/>
  <c r="K151" i="1" s="1"/>
  <c r="I152" i="1"/>
  <c r="J152" i="1" s="1"/>
  <c r="K152" i="1" s="1"/>
  <c r="I153" i="1"/>
  <c r="J153" i="1" s="1"/>
  <c r="K153" i="1" s="1"/>
  <c r="I154" i="1"/>
  <c r="J154" i="1" s="1"/>
  <c r="K154" i="1" s="1"/>
  <c r="I155" i="1"/>
  <c r="J155" i="1" s="1"/>
  <c r="K155" i="1" s="1"/>
  <c r="I156" i="1"/>
  <c r="J156" i="1" s="1"/>
  <c r="K156" i="1" s="1"/>
  <c r="I157" i="1"/>
  <c r="J157" i="1" s="1"/>
  <c r="K157" i="1" s="1"/>
  <c r="I158" i="1"/>
  <c r="J158" i="1" s="1"/>
  <c r="K158" i="1" s="1"/>
  <c r="I159" i="1"/>
  <c r="J159" i="1" s="1"/>
  <c r="K159" i="1" s="1"/>
  <c r="I160" i="1"/>
  <c r="J160" i="1" s="1"/>
  <c r="K160" i="1" s="1"/>
  <c r="I161" i="1"/>
  <c r="J161" i="1" s="1"/>
  <c r="K161" i="1" s="1"/>
  <c r="I162" i="1"/>
  <c r="J162" i="1" s="1"/>
  <c r="K162" i="1" s="1"/>
  <c r="I163" i="1"/>
  <c r="J163" i="1" s="1"/>
  <c r="K163" i="1" s="1"/>
  <c r="I164" i="1"/>
  <c r="J164" i="1" s="1"/>
  <c r="K164" i="1" s="1"/>
  <c r="I165" i="1"/>
  <c r="J165" i="1" s="1"/>
  <c r="K165" i="1" s="1"/>
  <c r="I166" i="1"/>
  <c r="J166" i="1" s="1"/>
  <c r="K166" i="1" s="1"/>
  <c r="I167" i="1"/>
  <c r="J167" i="1" s="1"/>
  <c r="K167" i="1" s="1"/>
  <c r="I168" i="1"/>
  <c r="J168" i="1" s="1"/>
  <c r="K168" i="1" s="1"/>
  <c r="I169" i="1"/>
  <c r="J169" i="1" s="1"/>
  <c r="K169" i="1" s="1"/>
  <c r="I170" i="1"/>
  <c r="J170" i="1" s="1"/>
  <c r="K170" i="1" s="1"/>
  <c r="I171" i="1"/>
  <c r="J171" i="1" s="1"/>
  <c r="K171" i="1" s="1"/>
  <c r="I172" i="1"/>
  <c r="J172" i="1" s="1"/>
  <c r="K172" i="1" s="1"/>
  <c r="I592" i="1"/>
  <c r="J592" i="1" s="1"/>
  <c r="K592" i="1" s="1"/>
  <c r="I241" i="1"/>
  <c r="J241" i="1" s="1"/>
  <c r="K241" i="1" s="1"/>
  <c r="I590" i="1"/>
  <c r="J590" i="1" s="1"/>
  <c r="K590" i="1" s="1"/>
  <c r="I176" i="1"/>
  <c r="J176" i="1" s="1"/>
  <c r="K176" i="1" s="1"/>
  <c r="I177" i="1"/>
  <c r="J177" i="1" s="1"/>
  <c r="K177" i="1" s="1"/>
  <c r="I178" i="1"/>
  <c r="J178" i="1" s="1"/>
  <c r="K178" i="1" s="1"/>
  <c r="I179" i="1"/>
  <c r="J179" i="1" s="1"/>
  <c r="K179" i="1" s="1"/>
  <c r="I180" i="1"/>
  <c r="J180" i="1" s="1"/>
  <c r="K180" i="1" s="1"/>
  <c r="I181" i="1"/>
  <c r="J181" i="1" s="1"/>
  <c r="K181" i="1" s="1"/>
  <c r="I182" i="1"/>
  <c r="J182" i="1" s="1"/>
  <c r="K182" i="1" s="1"/>
  <c r="I183" i="1"/>
  <c r="J183" i="1" s="1"/>
  <c r="K183" i="1" s="1"/>
  <c r="I184" i="1"/>
  <c r="J184" i="1" s="1"/>
  <c r="K184" i="1" s="1"/>
  <c r="I185" i="1"/>
  <c r="J185" i="1" s="1"/>
  <c r="K185" i="1" s="1"/>
  <c r="I186" i="1"/>
  <c r="J186" i="1" s="1"/>
  <c r="K186" i="1" s="1"/>
  <c r="I187" i="1"/>
  <c r="J187" i="1" s="1"/>
  <c r="K187" i="1" s="1"/>
  <c r="I188" i="1"/>
  <c r="J188" i="1" s="1"/>
  <c r="K188" i="1" s="1"/>
  <c r="I128" i="1"/>
  <c r="J128" i="1" s="1"/>
  <c r="K128" i="1" s="1"/>
  <c r="I190" i="1"/>
  <c r="J190" i="1" s="1"/>
  <c r="K190" i="1" s="1"/>
  <c r="I191" i="1"/>
  <c r="J191" i="1" s="1"/>
  <c r="K191" i="1" s="1"/>
  <c r="I192" i="1"/>
  <c r="J192" i="1" s="1"/>
  <c r="K192" i="1" s="1"/>
  <c r="I193" i="1"/>
  <c r="J193" i="1" s="1"/>
  <c r="K193" i="1" s="1"/>
  <c r="I194" i="1"/>
  <c r="J194" i="1" s="1"/>
  <c r="K194" i="1" s="1"/>
  <c r="I195" i="1"/>
  <c r="J195" i="1" s="1"/>
  <c r="K195" i="1" s="1"/>
  <c r="I196" i="1"/>
  <c r="J196" i="1" s="1"/>
  <c r="K196" i="1" s="1"/>
  <c r="I197" i="1"/>
  <c r="J197" i="1" s="1"/>
  <c r="K197" i="1" s="1"/>
  <c r="I556" i="1"/>
  <c r="J556" i="1" s="1"/>
  <c r="K556" i="1" s="1"/>
  <c r="I615" i="1"/>
  <c r="J615" i="1" s="1"/>
  <c r="K615" i="1" s="1"/>
  <c r="I200" i="1"/>
  <c r="J200" i="1" s="1"/>
  <c r="K200" i="1" s="1"/>
  <c r="I201" i="1"/>
  <c r="J201" i="1" s="1"/>
  <c r="K201" i="1" s="1"/>
  <c r="I202" i="1"/>
  <c r="J202" i="1" s="1"/>
  <c r="K202" i="1" s="1"/>
  <c r="I203" i="1"/>
  <c r="J203" i="1" s="1"/>
  <c r="K203" i="1" s="1"/>
  <c r="I204" i="1"/>
  <c r="J204" i="1" s="1"/>
  <c r="K204" i="1" s="1"/>
  <c r="I71" i="1"/>
  <c r="J71" i="1" s="1"/>
  <c r="K71" i="1" s="1"/>
  <c r="I206" i="1"/>
  <c r="J206" i="1" s="1"/>
  <c r="K206" i="1" s="1"/>
  <c r="I207" i="1"/>
  <c r="J207" i="1" s="1"/>
  <c r="K207" i="1" s="1"/>
  <c r="I208" i="1"/>
  <c r="J208" i="1" s="1"/>
  <c r="K208" i="1" s="1"/>
  <c r="I209" i="1"/>
  <c r="J209" i="1" s="1"/>
  <c r="K209" i="1" s="1"/>
  <c r="I210" i="1"/>
  <c r="J210" i="1" s="1"/>
  <c r="K210" i="1" s="1"/>
  <c r="I211" i="1"/>
  <c r="J211" i="1" s="1"/>
  <c r="K211" i="1" s="1"/>
  <c r="I212" i="1"/>
  <c r="J212" i="1" s="1"/>
  <c r="K212" i="1" s="1"/>
  <c r="I213" i="1"/>
  <c r="J213" i="1" s="1"/>
  <c r="K213" i="1" s="1"/>
  <c r="I214" i="1"/>
  <c r="J214" i="1" s="1"/>
  <c r="K214" i="1" s="1"/>
  <c r="I215" i="1"/>
  <c r="J215" i="1" s="1"/>
  <c r="K215" i="1" s="1"/>
  <c r="I216" i="1"/>
  <c r="J216" i="1" s="1"/>
  <c r="K216" i="1" s="1"/>
  <c r="I217" i="1"/>
  <c r="J217" i="1" s="1"/>
  <c r="K217" i="1" s="1"/>
  <c r="I218" i="1"/>
  <c r="J218" i="1" s="1"/>
  <c r="K218" i="1" s="1"/>
  <c r="I219" i="1"/>
  <c r="J219" i="1" s="1"/>
  <c r="K219" i="1" s="1"/>
  <c r="I313" i="1"/>
  <c r="J313" i="1" s="1"/>
  <c r="K313" i="1" s="1"/>
  <c r="I221" i="1"/>
  <c r="J221" i="1" s="1"/>
  <c r="K221" i="1" s="1"/>
  <c r="I222" i="1"/>
  <c r="J222" i="1" s="1"/>
  <c r="K222" i="1" s="1"/>
  <c r="I223" i="1"/>
  <c r="J223" i="1" s="1"/>
  <c r="K223" i="1" s="1"/>
  <c r="I224" i="1"/>
  <c r="J224" i="1" s="1"/>
  <c r="K224" i="1" s="1"/>
  <c r="I248" i="1"/>
  <c r="J248" i="1" s="1"/>
  <c r="K248" i="1" s="1"/>
  <c r="I354" i="1"/>
  <c r="J354" i="1" s="1"/>
  <c r="K354" i="1" s="1"/>
  <c r="I227" i="1"/>
  <c r="J227" i="1" s="1"/>
  <c r="K227" i="1" s="1"/>
  <c r="I228" i="1"/>
  <c r="J228" i="1" s="1"/>
  <c r="K228" i="1" s="1"/>
  <c r="I229" i="1"/>
  <c r="J229" i="1" s="1"/>
  <c r="K229" i="1" s="1"/>
  <c r="I230" i="1"/>
  <c r="J230" i="1" s="1"/>
  <c r="K230" i="1" s="1"/>
  <c r="I231" i="1"/>
  <c r="J231" i="1" s="1"/>
  <c r="K231" i="1" s="1"/>
  <c r="I232" i="1"/>
  <c r="J232" i="1" s="1"/>
  <c r="K232" i="1" s="1"/>
  <c r="I233" i="1"/>
  <c r="J233" i="1" s="1"/>
  <c r="K233" i="1" s="1"/>
  <c r="I234" i="1"/>
  <c r="J234" i="1" s="1"/>
  <c r="K234" i="1" s="1"/>
  <c r="I235" i="1"/>
  <c r="J235" i="1" s="1"/>
  <c r="K235" i="1" s="1"/>
  <c r="I236" i="1"/>
  <c r="J236" i="1" s="1"/>
  <c r="K236" i="1" s="1"/>
  <c r="I237" i="1"/>
  <c r="J237" i="1" s="1"/>
  <c r="K237" i="1" s="1"/>
  <c r="I238" i="1"/>
  <c r="J238" i="1" s="1"/>
  <c r="K238" i="1" s="1"/>
  <c r="I173" i="1"/>
  <c r="J173" i="1" s="1"/>
  <c r="K173" i="1" s="1"/>
  <c r="I421" i="1"/>
  <c r="J421" i="1" s="1"/>
  <c r="K421" i="1" s="1"/>
  <c r="I106" i="1"/>
  <c r="J106" i="1" s="1"/>
  <c r="K106" i="1" s="1"/>
  <c r="I242" i="1"/>
  <c r="J242" i="1" s="1"/>
  <c r="K242" i="1" s="1"/>
  <c r="I243" i="1"/>
  <c r="J243" i="1" s="1"/>
  <c r="K243" i="1" s="1"/>
  <c r="I85" i="1"/>
  <c r="J85" i="1" s="1"/>
  <c r="K85" i="1" s="1"/>
  <c r="I100" i="1"/>
  <c r="J100" i="1" s="1"/>
  <c r="K100" i="1" s="1"/>
  <c r="I246" i="1"/>
  <c r="J246" i="1" s="1"/>
  <c r="K246" i="1" s="1"/>
  <c r="I247" i="1"/>
  <c r="J247" i="1" s="1"/>
  <c r="K247" i="1" s="1"/>
  <c r="I542" i="1"/>
  <c r="J542" i="1" s="1"/>
  <c r="K542" i="1" s="1"/>
  <c r="I604" i="1"/>
  <c r="J604" i="1" s="1"/>
  <c r="K604" i="1" s="1"/>
  <c r="I429" i="1"/>
  <c r="J429" i="1" s="1"/>
  <c r="K429" i="1" s="1"/>
  <c r="I251" i="1"/>
  <c r="J251" i="1" s="1"/>
  <c r="K251" i="1" s="1"/>
  <c r="I448" i="1"/>
  <c r="J448" i="1" s="1"/>
  <c r="K448" i="1" s="1"/>
  <c r="I253" i="1"/>
  <c r="J253" i="1" s="1"/>
  <c r="K253" i="1" s="1"/>
  <c r="I244" i="1"/>
  <c r="J244" i="1" s="1"/>
  <c r="K244" i="1" s="1"/>
  <c r="I255" i="1"/>
  <c r="J255" i="1" s="1"/>
  <c r="K255" i="1" s="1"/>
  <c r="I256" i="1"/>
  <c r="J256" i="1" s="1"/>
  <c r="K256" i="1" s="1"/>
  <c r="I257" i="1"/>
  <c r="J257" i="1" s="1"/>
  <c r="K257" i="1" s="1"/>
  <c r="I329" i="1"/>
  <c r="J329" i="1" s="1"/>
  <c r="K329" i="1" s="1"/>
  <c r="I259" i="1"/>
  <c r="J259" i="1" s="1"/>
  <c r="K259" i="1" s="1"/>
  <c r="I249" i="1"/>
  <c r="J249" i="1" s="1"/>
  <c r="K249" i="1" s="1"/>
  <c r="I261" i="1"/>
  <c r="J261" i="1" s="1"/>
  <c r="K261" i="1" s="1"/>
  <c r="I262" i="1"/>
  <c r="J262" i="1" s="1"/>
  <c r="K262" i="1" s="1"/>
  <c r="I263" i="1"/>
  <c r="J263" i="1" s="1"/>
  <c r="K263" i="1" s="1"/>
  <c r="I264" i="1"/>
  <c r="J264" i="1" s="1"/>
  <c r="K264" i="1" s="1"/>
  <c r="I265" i="1"/>
  <c r="J265" i="1" s="1"/>
  <c r="K265" i="1" s="1"/>
  <c r="I266" i="1"/>
  <c r="J266" i="1" s="1"/>
  <c r="K266" i="1" s="1"/>
  <c r="I267" i="1"/>
  <c r="J267" i="1" s="1"/>
  <c r="K267" i="1" s="1"/>
  <c r="I245" i="1"/>
  <c r="J245" i="1" s="1"/>
  <c r="K245" i="1" s="1"/>
  <c r="I269" i="1"/>
  <c r="J269" i="1" s="1"/>
  <c r="K269" i="1" s="1"/>
  <c r="I270" i="1"/>
  <c r="J270" i="1" s="1"/>
  <c r="K270" i="1" s="1"/>
  <c r="I271" i="1"/>
  <c r="J271" i="1" s="1"/>
  <c r="K271" i="1" s="1"/>
  <c r="I272" i="1"/>
  <c r="J272" i="1" s="1"/>
  <c r="K272" i="1" s="1"/>
  <c r="I273" i="1"/>
  <c r="J273" i="1" s="1"/>
  <c r="K273" i="1" s="1"/>
  <c r="I274" i="1"/>
  <c r="J274" i="1" s="1"/>
  <c r="K274" i="1" s="1"/>
  <c r="I275" i="1"/>
  <c r="J275" i="1" s="1"/>
  <c r="K275" i="1" s="1"/>
  <c r="I276" i="1"/>
  <c r="J276" i="1" s="1"/>
  <c r="K276" i="1" s="1"/>
  <c r="I277" i="1"/>
  <c r="J277" i="1" s="1"/>
  <c r="K277" i="1" s="1"/>
  <c r="I278" i="1"/>
  <c r="J278" i="1" s="1"/>
  <c r="K278" i="1" s="1"/>
  <c r="I279" i="1"/>
  <c r="J279" i="1" s="1"/>
  <c r="K279" i="1" s="1"/>
  <c r="I280" i="1"/>
  <c r="J280" i="1" s="1"/>
  <c r="K280" i="1" s="1"/>
  <c r="I281" i="1"/>
  <c r="J281" i="1" s="1"/>
  <c r="K281" i="1" s="1"/>
  <c r="I282" i="1"/>
  <c r="J282" i="1" s="1"/>
  <c r="K282" i="1" s="1"/>
  <c r="I283" i="1"/>
  <c r="J283" i="1" s="1"/>
  <c r="K283" i="1" s="1"/>
  <c r="I284" i="1"/>
  <c r="J284" i="1" s="1"/>
  <c r="K284" i="1" s="1"/>
  <c r="I353" i="1"/>
  <c r="J353" i="1" s="1"/>
  <c r="K353" i="1" s="1"/>
  <c r="I286" i="1"/>
  <c r="J286" i="1" s="1"/>
  <c r="K286" i="1" s="1"/>
  <c r="I287" i="1"/>
  <c r="J287" i="1" s="1"/>
  <c r="K287" i="1" s="1"/>
  <c r="I376" i="1"/>
  <c r="J376" i="1" s="1"/>
  <c r="K376" i="1" s="1"/>
  <c r="I289" i="1"/>
  <c r="J289" i="1" s="1"/>
  <c r="K289" i="1" s="1"/>
  <c r="I290" i="1"/>
  <c r="J290" i="1" s="1"/>
  <c r="K290" i="1" s="1"/>
  <c r="I291" i="1"/>
  <c r="J291" i="1" s="1"/>
  <c r="K291" i="1" s="1"/>
  <c r="I292" i="1"/>
  <c r="J292" i="1" s="1"/>
  <c r="K292" i="1" s="1"/>
  <c r="I293" i="1"/>
  <c r="J293" i="1" s="1"/>
  <c r="K293" i="1" s="1"/>
  <c r="I294" i="1"/>
  <c r="J294" i="1" s="1"/>
  <c r="K294" i="1" s="1"/>
  <c r="I295" i="1"/>
  <c r="J295" i="1" s="1"/>
  <c r="K295" i="1" s="1"/>
  <c r="I296" i="1"/>
  <c r="J296" i="1" s="1"/>
  <c r="K296" i="1" s="1"/>
  <c r="I297" i="1"/>
  <c r="J297" i="1" s="1"/>
  <c r="K297" i="1" s="1"/>
  <c r="I298" i="1"/>
  <c r="J298" i="1" s="1"/>
  <c r="K298" i="1" s="1"/>
  <c r="I299" i="1"/>
  <c r="J299" i="1" s="1"/>
  <c r="K299" i="1" s="1"/>
  <c r="I92" i="1"/>
  <c r="J92" i="1" s="1"/>
  <c r="K92" i="1" s="1"/>
  <c r="I301" i="1"/>
  <c r="J301" i="1" s="1"/>
  <c r="K301" i="1" s="1"/>
  <c r="I302" i="1"/>
  <c r="J302" i="1" s="1"/>
  <c r="K302" i="1" s="1"/>
  <c r="I303" i="1"/>
  <c r="J303" i="1" s="1"/>
  <c r="K303" i="1" s="1"/>
  <c r="I304" i="1"/>
  <c r="J304" i="1" s="1"/>
  <c r="K304" i="1" s="1"/>
  <c r="I305" i="1"/>
  <c r="J305" i="1" s="1"/>
  <c r="K305" i="1" s="1"/>
  <c r="I306" i="1"/>
  <c r="J306" i="1" s="1"/>
  <c r="K306" i="1" s="1"/>
  <c r="I307" i="1"/>
  <c r="J307" i="1" s="1"/>
  <c r="K307" i="1" s="1"/>
  <c r="I308" i="1"/>
  <c r="J308" i="1" s="1"/>
  <c r="K308" i="1" s="1"/>
  <c r="I309" i="1"/>
  <c r="J309" i="1" s="1"/>
  <c r="K309" i="1" s="1"/>
  <c r="I310" i="1"/>
  <c r="J310" i="1" s="1"/>
  <c r="K310" i="1" s="1"/>
  <c r="I467" i="1"/>
  <c r="J467" i="1" s="1"/>
  <c r="K467" i="1" s="1"/>
  <c r="I312" i="1"/>
  <c r="J312" i="1" s="1"/>
  <c r="K312" i="1" s="1"/>
  <c r="I53" i="1"/>
  <c r="J53" i="1" s="1"/>
  <c r="K53" i="1" s="1"/>
  <c r="I252" i="1"/>
  <c r="J252" i="1" s="1"/>
  <c r="K252" i="1" s="1"/>
  <c r="I315" i="1"/>
  <c r="J315" i="1" s="1"/>
  <c r="K315" i="1" s="1"/>
  <c r="I316" i="1"/>
  <c r="J316" i="1" s="1"/>
  <c r="K316" i="1" s="1"/>
  <c r="I317" i="1"/>
  <c r="J317" i="1" s="1"/>
  <c r="K317" i="1" s="1"/>
  <c r="I318" i="1"/>
  <c r="J318" i="1" s="1"/>
  <c r="K318" i="1" s="1"/>
  <c r="I319" i="1"/>
  <c r="J319" i="1" s="1"/>
  <c r="K319" i="1" s="1"/>
  <c r="I320" i="1"/>
  <c r="J320" i="1" s="1"/>
  <c r="K320" i="1" s="1"/>
  <c r="I321" i="1"/>
  <c r="J321" i="1" s="1"/>
  <c r="K321" i="1" s="1"/>
  <c r="I322" i="1"/>
  <c r="J322" i="1" s="1"/>
  <c r="K322" i="1" s="1"/>
  <c r="I323" i="1"/>
  <c r="J323" i="1" s="1"/>
  <c r="K323" i="1" s="1"/>
  <c r="I324" i="1"/>
  <c r="J324" i="1" s="1"/>
  <c r="K324" i="1" s="1"/>
  <c r="I325" i="1"/>
  <c r="J325" i="1" s="1"/>
  <c r="K325" i="1" s="1"/>
  <c r="I326" i="1"/>
  <c r="J326" i="1" s="1"/>
  <c r="K326" i="1" s="1"/>
  <c r="I327" i="1"/>
  <c r="J327" i="1" s="1"/>
  <c r="K327" i="1" s="1"/>
  <c r="I328" i="1"/>
  <c r="J328" i="1" s="1"/>
  <c r="K328" i="1" s="1"/>
  <c r="I95" i="1"/>
  <c r="J95" i="1" s="1"/>
  <c r="K95" i="1" s="1"/>
  <c r="I330" i="1"/>
  <c r="J330" i="1" s="1"/>
  <c r="K330" i="1" s="1"/>
  <c r="I331" i="1"/>
  <c r="J331" i="1" s="1"/>
  <c r="K331" i="1" s="1"/>
  <c r="I332" i="1"/>
  <c r="J332" i="1" s="1"/>
  <c r="K332" i="1" s="1"/>
  <c r="I333" i="1"/>
  <c r="J333" i="1" s="1"/>
  <c r="K333" i="1" s="1"/>
  <c r="I334" i="1"/>
  <c r="J334" i="1" s="1"/>
  <c r="K334" i="1" s="1"/>
  <c r="I335" i="1"/>
  <c r="J335" i="1" s="1"/>
  <c r="K335" i="1" s="1"/>
  <c r="I336" i="1"/>
  <c r="J336" i="1" s="1"/>
  <c r="K336" i="1" s="1"/>
  <c r="I337" i="1"/>
  <c r="J337" i="1" s="1"/>
  <c r="K337" i="1" s="1"/>
  <c r="I338" i="1"/>
  <c r="J338" i="1" s="1"/>
  <c r="K338" i="1" s="1"/>
  <c r="I339" i="1"/>
  <c r="J339" i="1" s="1"/>
  <c r="K339" i="1" s="1"/>
  <c r="I340" i="1"/>
  <c r="J340" i="1" s="1"/>
  <c r="K340" i="1" s="1"/>
  <c r="I341" i="1"/>
  <c r="J341" i="1" s="1"/>
  <c r="K341" i="1" s="1"/>
  <c r="I342" i="1"/>
  <c r="J342" i="1" s="1"/>
  <c r="K342" i="1" s="1"/>
  <c r="I343" i="1"/>
  <c r="J343" i="1" s="1"/>
  <c r="K343" i="1" s="1"/>
  <c r="I344" i="1"/>
  <c r="J344" i="1" s="1"/>
  <c r="K344" i="1" s="1"/>
  <c r="I345" i="1"/>
  <c r="J345" i="1" s="1"/>
  <c r="K345" i="1" s="1"/>
  <c r="I346" i="1"/>
  <c r="J346" i="1" s="1"/>
  <c r="K346" i="1" s="1"/>
  <c r="I347" i="1"/>
  <c r="J347" i="1" s="1"/>
  <c r="K347" i="1" s="1"/>
  <c r="I348" i="1"/>
  <c r="J348" i="1" s="1"/>
  <c r="K348" i="1" s="1"/>
  <c r="I349" i="1"/>
  <c r="J349" i="1" s="1"/>
  <c r="K349" i="1" s="1"/>
  <c r="I350" i="1"/>
  <c r="J350" i="1" s="1"/>
  <c r="K350" i="1" s="1"/>
  <c r="I351" i="1"/>
  <c r="J351" i="1" s="1"/>
  <c r="K351" i="1" s="1"/>
  <c r="I352" i="1"/>
  <c r="J352" i="1" s="1"/>
  <c r="K352" i="1" s="1"/>
  <c r="I84" i="1"/>
  <c r="J84" i="1" s="1"/>
  <c r="K84" i="1" s="1"/>
  <c r="I103" i="1"/>
  <c r="J103" i="1" s="1"/>
  <c r="K103" i="1" s="1"/>
  <c r="I355" i="1"/>
  <c r="J355" i="1" s="1"/>
  <c r="K355" i="1" s="1"/>
  <c r="I356" i="1"/>
  <c r="J356" i="1" s="1"/>
  <c r="K356" i="1" s="1"/>
  <c r="I357" i="1"/>
  <c r="J357" i="1" s="1"/>
  <c r="K357" i="1" s="1"/>
  <c r="I358" i="1"/>
  <c r="J358" i="1" s="1"/>
  <c r="K358" i="1" s="1"/>
  <c r="I359" i="1"/>
  <c r="J359" i="1" s="1"/>
  <c r="K359" i="1" s="1"/>
  <c r="I360" i="1"/>
  <c r="J360" i="1" s="1"/>
  <c r="K360" i="1" s="1"/>
  <c r="I362" i="1"/>
  <c r="J362" i="1" s="1"/>
  <c r="K362" i="1" s="1"/>
  <c r="I25" i="1"/>
  <c r="J25" i="1" s="1"/>
  <c r="K25" i="1" s="1"/>
  <c r="I363" i="1"/>
  <c r="J363" i="1" s="1"/>
  <c r="K363" i="1" s="1"/>
  <c r="I364" i="1"/>
  <c r="J364" i="1" s="1"/>
  <c r="K364" i="1" s="1"/>
  <c r="I365" i="1"/>
  <c r="J365" i="1" s="1"/>
  <c r="K365" i="1" s="1"/>
  <c r="I366" i="1"/>
  <c r="J366" i="1" s="1"/>
  <c r="K366" i="1" s="1"/>
  <c r="I367" i="1"/>
  <c r="J367" i="1" s="1"/>
  <c r="K367" i="1" s="1"/>
  <c r="I368" i="1"/>
  <c r="J368" i="1" s="1"/>
  <c r="K368" i="1" s="1"/>
  <c r="I369" i="1"/>
  <c r="J369" i="1" s="1"/>
  <c r="K369" i="1" s="1"/>
  <c r="I314" i="1"/>
  <c r="J314" i="1" s="1"/>
  <c r="K314" i="1" s="1"/>
  <c r="I371" i="1"/>
  <c r="J371" i="1" s="1"/>
  <c r="K371" i="1" s="1"/>
  <c r="I174" i="1"/>
  <c r="J174" i="1" s="1"/>
  <c r="K174" i="1" s="1"/>
  <c r="I373" i="1"/>
  <c r="J373" i="1" s="1"/>
  <c r="K373" i="1" s="1"/>
  <c r="I374" i="1"/>
  <c r="J374" i="1" s="1"/>
  <c r="K374" i="1" s="1"/>
  <c r="I375" i="1"/>
  <c r="J375" i="1" s="1"/>
  <c r="K375" i="1" s="1"/>
  <c r="I102" i="1"/>
  <c r="J102" i="1" s="1"/>
  <c r="K102" i="1" s="1"/>
  <c r="I377" i="1"/>
  <c r="J377" i="1" s="1"/>
  <c r="K377" i="1" s="1"/>
  <c r="I104" i="1"/>
  <c r="J104" i="1" s="1"/>
  <c r="K104" i="1" s="1"/>
  <c r="I379" i="1"/>
  <c r="J379" i="1" s="1"/>
  <c r="K379" i="1" s="1"/>
  <c r="I380" i="1"/>
  <c r="J380" i="1" s="1"/>
  <c r="K380" i="1" s="1"/>
  <c r="I361" i="1"/>
  <c r="J361" i="1" s="1"/>
  <c r="K361" i="1" s="1"/>
  <c r="I382" i="1"/>
  <c r="J382" i="1" s="1"/>
  <c r="K382" i="1" s="1"/>
  <c r="I383" i="1"/>
  <c r="J383" i="1" s="1"/>
  <c r="K383" i="1" s="1"/>
  <c r="I384" i="1"/>
  <c r="J384" i="1" s="1"/>
  <c r="K384" i="1" s="1"/>
  <c r="I370" i="1"/>
  <c r="J370" i="1" s="1"/>
  <c r="K370" i="1" s="1"/>
  <c r="I386" i="1"/>
  <c r="J386" i="1" s="1"/>
  <c r="K386" i="1" s="1"/>
  <c r="I387" i="1"/>
  <c r="J387" i="1" s="1"/>
  <c r="K387" i="1" s="1"/>
  <c r="I388" i="1"/>
  <c r="J388" i="1" s="1"/>
  <c r="K388" i="1" s="1"/>
  <c r="I389" i="1"/>
  <c r="J389" i="1" s="1"/>
  <c r="K389" i="1" s="1"/>
  <c r="I390" i="1"/>
  <c r="J390" i="1" s="1"/>
  <c r="K390" i="1" s="1"/>
  <c r="I391" i="1"/>
  <c r="J391" i="1" s="1"/>
  <c r="K391" i="1" s="1"/>
  <c r="I392" i="1"/>
  <c r="J392" i="1" s="1"/>
  <c r="K392" i="1" s="1"/>
  <c r="I250" i="1"/>
  <c r="J250" i="1" s="1"/>
  <c r="K250" i="1" s="1"/>
  <c r="I394" i="1"/>
  <c r="J394" i="1" s="1"/>
  <c r="K394" i="1" s="1"/>
  <c r="I395" i="1"/>
  <c r="J395" i="1" s="1"/>
  <c r="K395" i="1" s="1"/>
  <c r="I396" i="1"/>
  <c r="J396" i="1" s="1"/>
  <c r="K396" i="1" s="1"/>
  <c r="I397" i="1"/>
  <c r="J397" i="1" s="1"/>
  <c r="K397" i="1" s="1"/>
  <c r="I398" i="1"/>
  <c r="J398" i="1" s="1"/>
  <c r="K398" i="1" s="1"/>
  <c r="I268" i="1"/>
  <c r="J268" i="1" s="1"/>
  <c r="K268" i="1" s="1"/>
  <c r="I400" i="1"/>
  <c r="J400" i="1" s="1"/>
  <c r="K400" i="1" s="1"/>
  <c r="I401" i="1"/>
  <c r="J401" i="1" s="1"/>
  <c r="K401" i="1" s="1"/>
  <c r="I402" i="1"/>
  <c r="J402" i="1" s="1"/>
  <c r="K402" i="1" s="1"/>
  <c r="I403" i="1"/>
  <c r="J403" i="1" s="1"/>
  <c r="K403" i="1" s="1"/>
  <c r="I404" i="1"/>
  <c r="J404" i="1" s="1"/>
  <c r="K404" i="1" s="1"/>
  <c r="I405" i="1"/>
  <c r="J405" i="1" s="1"/>
  <c r="K405" i="1" s="1"/>
  <c r="I406" i="1"/>
  <c r="J406" i="1" s="1"/>
  <c r="K406" i="1" s="1"/>
  <c r="I407" i="1"/>
  <c r="J407" i="1" s="1"/>
  <c r="K407" i="1" s="1"/>
  <c r="I408" i="1"/>
  <c r="J408" i="1" s="1"/>
  <c r="K408" i="1" s="1"/>
  <c r="I409" i="1"/>
  <c r="J409" i="1" s="1"/>
  <c r="K409" i="1" s="1"/>
  <c r="I410" i="1"/>
  <c r="J410" i="1" s="1"/>
  <c r="K410" i="1" s="1"/>
  <c r="I411" i="1"/>
  <c r="J411" i="1" s="1"/>
  <c r="K411" i="1" s="1"/>
  <c r="I412" i="1"/>
  <c r="J412" i="1" s="1"/>
  <c r="K412" i="1" s="1"/>
  <c r="I413" i="1"/>
  <c r="J413" i="1" s="1"/>
  <c r="K413" i="1" s="1"/>
  <c r="I414" i="1"/>
  <c r="J414" i="1" s="1"/>
  <c r="K414" i="1" s="1"/>
  <c r="I415" i="1"/>
  <c r="J415" i="1" s="1"/>
  <c r="K415" i="1" s="1"/>
  <c r="I416" i="1"/>
  <c r="J416" i="1" s="1"/>
  <c r="K416" i="1" s="1"/>
  <c r="I417" i="1"/>
  <c r="J417" i="1" s="1"/>
  <c r="K417" i="1" s="1"/>
  <c r="I418" i="1"/>
  <c r="J418" i="1" s="1"/>
  <c r="K418" i="1" s="1"/>
  <c r="I419" i="1"/>
  <c r="J419" i="1" s="1"/>
  <c r="K419" i="1" s="1"/>
  <c r="I420" i="1"/>
  <c r="J420" i="1" s="1"/>
  <c r="K420" i="1" s="1"/>
  <c r="I198" i="1"/>
  <c r="J198" i="1" s="1"/>
  <c r="K198" i="1" s="1"/>
  <c r="I205" i="1"/>
  <c r="J205" i="1" s="1"/>
  <c r="K205" i="1" s="1"/>
  <c r="I423" i="1"/>
  <c r="J423" i="1" s="1"/>
  <c r="K423" i="1" s="1"/>
  <c r="I424" i="1"/>
  <c r="J424" i="1" s="1"/>
  <c r="K424" i="1" s="1"/>
  <c r="I434" i="1"/>
  <c r="J434" i="1" s="1"/>
  <c r="K434" i="1" s="1"/>
  <c r="I175" i="1"/>
  <c r="J175" i="1" s="1"/>
  <c r="K175" i="1" s="1"/>
  <c r="I427" i="1"/>
  <c r="J427" i="1" s="1"/>
  <c r="K427" i="1" s="1"/>
  <c r="I428" i="1"/>
  <c r="J428" i="1" s="1"/>
  <c r="K428" i="1" s="1"/>
  <c r="I220" i="1"/>
  <c r="J220" i="1" s="1"/>
  <c r="K220" i="1" s="1"/>
  <c r="I430" i="1"/>
  <c r="J430" i="1" s="1"/>
  <c r="K430" i="1" s="1"/>
  <c r="I431" i="1"/>
  <c r="J431" i="1" s="1"/>
  <c r="K431" i="1" s="1"/>
  <c r="I432" i="1"/>
  <c r="J432" i="1" s="1"/>
  <c r="K432" i="1" s="1"/>
  <c r="I433" i="1"/>
  <c r="J433" i="1" s="1"/>
  <c r="K433" i="1" s="1"/>
  <c r="I226" i="1"/>
  <c r="J226" i="1" s="1"/>
  <c r="K226" i="1" s="1"/>
  <c r="I145" i="1"/>
  <c r="J145" i="1" s="1"/>
  <c r="K145" i="1" s="1"/>
  <c r="I436" i="1"/>
  <c r="J436" i="1" s="1"/>
  <c r="K436" i="1" s="1"/>
  <c r="I437" i="1"/>
  <c r="J437" i="1" s="1"/>
  <c r="K437" i="1" s="1"/>
  <c r="I438" i="1"/>
  <c r="J438" i="1" s="1"/>
  <c r="K438" i="1" s="1"/>
  <c r="I439" i="1"/>
  <c r="J439" i="1" s="1"/>
  <c r="K439" i="1" s="1"/>
  <c r="I440" i="1"/>
  <c r="J440" i="1" s="1"/>
  <c r="K440" i="1" s="1"/>
  <c r="I441" i="1"/>
  <c r="J441" i="1" s="1"/>
  <c r="K441" i="1" s="1"/>
  <c r="I442" i="1"/>
  <c r="J442" i="1" s="1"/>
  <c r="K442" i="1" s="1"/>
  <c r="I443" i="1"/>
  <c r="J443" i="1" s="1"/>
  <c r="K443" i="1" s="1"/>
  <c r="I444" i="1"/>
  <c r="J444" i="1" s="1"/>
  <c r="K444" i="1" s="1"/>
  <c r="I445" i="1"/>
  <c r="J445" i="1" s="1"/>
  <c r="K445" i="1" s="1"/>
  <c r="I446" i="1"/>
  <c r="J446" i="1" s="1"/>
  <c r="K446" i="1" s="1"/>
  <c r="I447" i="1"/>
  <c r="J447" i="1" s="1"/>
  <c r="K447" i="1" s="1"/>
  <c r="I8" i="1"/>
  <c r="J8" i="1" s="1"/>
  <c r="K8" i="1" s="1"/>
  <c r="I449" i="1"/>
  <c r="J449" i="1" s="1"/>
  <c r="K449" i="1" s="1"/>
  <c r="I450" i="1"/>
  <c r="J450" i="1" s="1"/>
  <c r="K450" i="1" s="1"/>
  <c r="I451" i="1"/>
  <c r="J451" i="1" s="1"/>
  <c r="K451" i="1" s="1"/>
  <c r="I452" i="1"/>
  <c r="J452" i="1" s="1"/>
  <c r="K452" i="1" s="1"/>
  <c r="I453" i="1"/>
  <c r="J453" i="1" s="1"/>
  <c r="K453" i="1" s="1"/>
  <c r="I454" i="1"/>
  <c r="J454" i="1" s="1"/>
  <c r="K454" i="1" s="1"/>
  <c r="I455" i="1"/>
  <c r="J455" i="1" s="1"/>
  <c r="K455" i="1" s="1"/>
  <c r="I456" i="1"/>
  <c r="J456" i="1" s="1"/>
  <c r="K456" i="1" s="1"/>
  <c r="I457" i="1"/>
  <c r="J457" i="1" s="1"/>
  <c r="K457" i="1" s="1"/>
  <c r="I458" i="1"/>
  <c r="J458" i="1" s="1"/>
  <c r="K458" i="1" s="1"/>
  <c r="I459" i="1"/>
  <c r="J459" i="1" s="1"/>
  <c r="K459" i="1" s="1"/>
  <c r="I460" i="1"/>
  <c r="J460" i="1" s="1"/>
  <c r="K460" i="1" s="1"/>
  <c r="I461" i="1"/>
  <c r="J461" i="1" s="1"/>
  <c r="K461" i="1" s="1"/>
  <c r="I101" i="1"/>
  <c r="J101" i="1" s="1"/>
  <c r="K101" i="1" s="1"/>
  <c r="I463" i="1"/>
  <c r="J463" i="1" s="1"/>
  <c r="K463" i="1" s="1"/>
  <c r="I91" i="1"/>
  <c r="J91" i="1" s="1"/>
  <c r="K91" i="1" s="1"/>
  <c r="I465" i="1"/>
  <c r="J465" i="1" s="1"/>
  <c r="K465" i="1" s="1"/>
  <c r="I466" i="1"/>
  <c r="J466" i="1" s="1"/>
  <c r="K466" i="1" s="1"/>
  <c r="I189" i="1"/>
  <c r="J189" i="1" s="1"/>
  <c r="K189" i="1" s="1"/>
  <c r="I468" i="1"/>
  <c r="J468" i="1" s="1"/>
  <c r="K468" i="1" s="1"/>
  <c r="I469" i="1"/>
  <c r="J469" i="1" s="1"/>
  <c r="K469" i="1" s="1"/>
  <c r="I470" i="1"/>
  <c r="J470" i="1" s="1"/>
  <c r="K470" i="1" s="1"/>
  <c r="I471" i="1"/>
  <c r="J471" i="1" s="1"/>
  <c r="K471" i="1" s="1"/>
  <c r="I472" i="1"/>
  <c r="J472" i="1" s="1"/>
  <c r="K472" i="1" s="1"/>
  <c r="I473" i="1"/>
  <c r="J473" i="1" s="1"/>
  <c r="K473" i="1" s="1"/>
  <c r="I474" i="1"/>
  <c r="J474" i="1" s="1"/>
  <c r="K474" i="1" s="1"/>
  <c r="I475" i="1"/>
  <c r="J475" i="1" s="1"/>
  <c r="K475" i="1" s="1"/>
  <c r="I476" i="1"/>
  <c r="J476" i="1" s="1"/>
  <c r="K476" i="1" s="1"/>
  <c r="I477" i="1"/>
  <c r="J477" i="1" s="1"/>
  <c r="K477" i="1" s="1"/>
  <c r="I478" i="1"/>
  <c r="J478" i="1" s="1"/>
  <c r="K478" i="1" s="1"/>
  <c r="I479" i="1"/>
  <c r="J479" i="1" s="1"/>
  <c r="K479" i="1" s="1"/>
  <c r="I480" i="1"/>
  <c r="J480" i="1" s="1"/>
  <c r="K480" i="1" s="1"/>
  <c r="I481" i="1"/>
  <c r="J481" i="1" s="1"/>
  <c r="K481" i="1" s="1"/>
  <c r="I482" i="1"/>
  <c r="J482" i="1" s="1"/>
  <c r="K482" i="1" s="1"/>
  <c r="I483" i="1"/>
  <c r="J483" i="1" s="1"/>
  <c r="K483" i="1" s="1"/>
  <c r="I484" i="1"/>
  <c r="J484" i="1" s="1"/>
  <c r="K484" i="1" s="1"/>
  <c r="I485" i="1"/>
  <c r="J485" i="1" s="1"/>
  <c r="K485" i="1" s="1"/>
  <c r="I486" i="1"/>
  <c r="J486" i="1" s="1"/>
  <c r="K486" i="1" s="1"/>
  <c r="I487" i="1"/>
  <c r="J487" i="1" s="1"/>
  <c r="K487" i="1" s="1"/>
  <c r="I488" i="1"/>
  <c r="J488" i="1" s="1"/>
  <c r="K488" i="1" s="1"/>
  <c r="I489" i="1"/>
  <c r="J489" i="1" s="1"/>
  <c r="K489" i="1" s="1"/>
  <c r="I490" i="1"/>
  <c r="J490" i="1" s="1"/>
  <c r="K490" i="1" s="1"/>
  <c r="I491" i="1"/>
  <c r="J491" i="1" s="1"/>
  <c r="K491" i="1" s="1"/>
  <c r="I492" i="1"/>
  <c r="J492" i="1" s="1"/>
  <c r="K492" i="1" s="1"/>
  <c r="I493" i="1"/>
  <c r="J493" i="1" s="1"/>
  <c r="K493" i="1" s="1"/>
  <c r="I494" i="1"/>
  <c r="J494" i="1" s="1"/>
  <c r="K494" i="1" s="1"/>
  <c r="I495" i="1"/>
  <c r="J495" i="1" s="1"/>
  <c r="K495" i="1" s="1"/>
  <c r="I496" i="1"/>
  <c r="J496" i="1" s="1"/>
  <c r="K496" i="1" s="1"/>
  <c r="I497" i="1"/>
  <c r="J497" i="1" s="1"/>
  <c r="K497" i="1" s="1"/>
  <c r="I498" i="1"/>
  <c r="J498" i="1" s="1"/>
  <c r="K498" i="1" s="1"/>
  <c r="I499" i="1"/>
  <c r="J499" i="1" s="1"/>
  <c r="K499" i="1" s="1"/>
  <c r="I500" i="1"/>
  <c r="J500" i="1" s="1"/>
  <c r="K500" i="1" s="1"/>
  <c r="I501" i="1"/>
  <c r="J501" i="1" s="1"/>
  <c r="K501" i="1" s="1"/>
  <c r="I502" i="1"/>
  <c r="J502" i="1" s="1"/>
  <c r="K502" i="1" s="1"/>
  <c r="I503" i="1"/>
  <c r="J503" i="1" s="1"/>
  <c r="K503" i="1" s="1"/>
  <c r="I504" i="1"/>
  <c r="J504" i="1" s="1"/>
  <c r="K504" i="1" s="1"/>
  <c r="I505" i="1"/>
  <c r="J505" i="1" s="1"/>
  <c r="K505" i="1" s="1"/>
  <c r="I506" i="1"/>
  <c r="J506" i="1" s="1"/>
  <c r="K506" i="1" s="1"/>
  <c r="I507" i="1"/>
  <c r="J507" i="1" s="1"/>
  <c r="K507" i="1" s="1"/>
  <c r="I508" i="1"/>
  <c r="J508" i="1" s="1"/>
  <c r="K508" i="1" s="1"/>
  <c r="I509" i="1"/>
  <c r="J509" i="1" s="1"/>
  <c r="K509" i="1" s="1"/>
  <c r="I510" i="1"/>
  <c r="J510" i="1" s="1"/>
  <c r="K510" i="1" s="1"/>
  <c r="I511" i="1"/>
  <c r="J511" i="1" s="1"/>
  <c r="K511" i="1" s="1"/>
  <c r="I512" i="1"/>
  <c r="J512" i="1" s="1"/>
  <c r="K512" i="1" s="1"/>
  <c r="I513" i="1"/>
  <c r="J513" i="1" s="1"/>
  <c r="K513" i="1" s="1"/>
  <c r="I514" i="1"/>
  <c r="J514" i="1" s="1"/>
  <c r="K514" i="1" s="1"/>
  <c r="I515" i="1"/>
  <c r="J515" i="1" s="1"/>
  <c r="K515" i="1" s="1"/>
  <c r="I516" i="1"/>
  <c r="J516" i="1" s="1"/>
  <c r="K516" i="1" s="1"/>
  <c r="I517" i="1"/>
  <c r="J517" i="1" s="1"/>
  <c r="K517" i="1" s="1"/>
  <c r="I518" i="1"/>
  <c r="J518" i="1" s="1"/>
  <c r="K518" i="1" s="1"/>
  <c r="I519" i="1"/>
  <c r="J519" i="1" s="1"/>
  <c r="K519" i="1" s="1"/>
  <c r="I520" i="1"/>
  <c r="J520" i="1" s="1"/>
  <c r="K520" i="1" s="1"/>
  <c r="I521" i="1"/>
  <c r="J521" i="1" s="1"/>
  <c r="K521" i="1" s="1"/>
  <c r="I522" i="1"/>
  <c r="J522" i="1" s="1"/>
  <c r="K522" i="1" s="1"/>
  <c r="I523" i="1"/>
  <c r="J523" i="1" s="1"/>
  <c r="K523" i="1" s="1"/>
  <c r="I524" i="1"/>
  <c r="J524" i="1" s="1"/>
  <c r="K524" i="1" s="1"/>
  <c r="I525" i="1"/>
  <c r="J525" i="1" s="1"/>
  <c r="K525" i="1" s="1"/>
  <c r="I526" i="1"/>
  <c r="J526" i="1" s="1"/>
  <c r="K526" i="1" s="1"/>
  <c r="I527" i="1"/>
  <c r="J527" i="1" s="1"/>
  <c r="K527" i="1" s="1"/>
  <c r="I528" i="1"/>
  <c r="J528" i="1" s="1"/>
  <c r="K528" i="1" s="1"/>
  <c r="I529" i="1"/>
  <c r="J529" i="1" s="1"/>
  <c r="K529" i="1" s="1"/>
  <c r="I530" i="1"/>
  <c r="J530" i="1" s="1"/>
  <c r="K530" i="1" s="1"/>
  <c r="I531" i="1"/>
  <c r="J531" i="1" s="1"/>
  <c r="K531" i="1" s="1"/>
  <c r="I532" i="1"/>
  <c r="J532" i="1" s="1"/>
  <c r="K532" i="1" s="1"/>
  <c r="I533" i="1"/>
  <c r="J533" i="1" s="1"/>
  <c r="K533" i="1" s="1"/>
  <c r="I534" i="1"/>
  <c r="J534" i="1" s="1"/>
  <c r="K534" i="1" s="1"/>
  <c r="I535" i="1"/>
  <c r="J535" i="1" s="1"/>
  <c r="K535" i="1" s="1"/>
  <c r="I536" i="1"/>
  <c r="J536" i="1" s="1"/>
  <c r="K536" i="1" s="1"/>
  <c r="I75" i="1"/>
  <c r="J75" i="1" s="1"/>
  <c r="K75" i="1" s="1"/>
  <c r="I538" i="1"/>
  <c r="J538" i="1" s="1"/>
  <c r="K538" i="1" s="1"/>
  <c r="I539" i="1"/>
  <c r="J539" i="1" s="1"/>
  <c r="K539" i="1" s="1"/>
  <c r="I540" i="1"/>
  <c r="J540" i="1" s="1"/>
  <c r="K540" i="1" s="1"/>
  <c r="I108" i="1"/>
  <c r="J108" i="1" s="1"/>
  <c r="K108" i="1" s="1"/>
  <c r="I110" i="1"/>
  <c r="J110" i="1" s="1"/>
  <c r="K110" i="1" s="1"/>
  <c r="I543" i="1"/>
  <c r="J543" i="1" s="1"/>
  <c r="K543" i="1" s="1"/>
  <c r="I544" i="1"/>
  <c r="J544" i="1" s="1"/>
  <c r="K544" i="1" s="1"/>
  <c r="I545" i="1"/>
  <c r="J545" i="1" s="1"/>
  <c r="K545" i="1" s="1"/>
  <c r="I546" i="1"/>
  <c r="J546" i="1" s="1"/>
  <c r="K546" i="1" s="1"/>
  <c r="I547" i="1"/>
  <c r="J547" i="1" s="1"/>
  <c r="K547" i="1" s="1"/>
  <c r="I548" i="1"/>
  <c r="J548" i="1" s="1"/>
  <c r="K548" i="1" s="1"/>
  <c r="I549" i="1"/>
  <c r="J549" i="1" s="1"/>
  <c r="K549" i="1" s="1"/>
  <c r="I550" i="1"/>
  <c r="J550" i="1" s="1"/>
  <c r="K550" i="1" s="1"/>
  <c r="I551" i="1"/>
  <c r="J551" i="1" s="1"/>
  <c r="K551" i="1" s="1"/>
  <c r="I552" i="1"/>
  <c r="J552" i="1" s="1"/>
  <c r="K552" i="1" s="1"/>
  <c r="I553" i="1"/>
  <c r="J553" i="1" s="1"/>
  <c r="K553" i="1" s="1"/>
  <c r="I554" i="1"/>
  <c r="J554" i="1" s="1"/>
  <c r="K554" i="1" s="1"/>
  <c r="I555" i="1"/>
  <c r="J555" i="1" s="1"/>
  <c r="K555" i="1" s="1"/>
  <c r="I240" i="1"/>
  <c r="J240" i="1" s="1"/>
  <c r="K240" i="1" s="1"/>
  <c r="I557" i="1"/>
  <c r="J557" i="1" s="1"/>
  <c r="K557" i="1" s="1"/>
  <c r="I558" i="1"/>
  <c r="J558" i="1" s="1"/>
  <c r="K558" i="1" s="1"/>
  <c r="I559" i="1"/>
  <c r="J559" i="1" s="1"/>
  <c r="K559" i="1" s="1"/>
  <c r="I560" i="1"/>
  <c r="J560" i="1" s="1"/>
  <c r="K560" i="1" s="1"/>
  <c r="I561" i="1"/>
  <c r="J561" i="1" s="1"/>
  <c r="K561" i="1" s="1"/>
  <c r="I562" i="1"/>
  <c r="J562" i="1" s="1"/>
  <c r="K562" i="1" s="1"/>
  <c r="I285" i="1"/>
  <c r="J285" i="1" s="1"/>
  <c r="K285" i="1" s="1"/>
  <c r="I564" i="1"/>
  <c r="J564" i="1" s="1"/>
  <c r="K564" i="1" s="1"/>
  <c r="I565" i="1"/>
  <c r="J565" i="1" s="1"/>
  <c r="K565" i="1" s="1"/>
  <c r="I566" i="1"/>
  <c r="J566" i="1" s="1"/>
  <c r="K566" i="1" s="1"/>
  <c r="I254" i="1"/>
  <c r="J254" i="1" s="1"/>
  <c r="K254" i="1" s="1"/>
  <c r="I568" i="1"/>
  <c r="J568" i="1" s="1"/>
  <c r="K568" i="1" s="1"/>
  <c r="I569" i="1"/>
  <c r="J569" i="1" s="1"/>
  <c r="K569" i="1" s="1"/>
  <c r="I570" i="1"/>
  <c r="J570" i="1" s="1"/>
  <c r="K570" i="1" s="1"/>
  <c r="I571" i="1"/>
  <c r="J571" i="1" s="1"/>
  <c r="K571" i="1" s="1"/>
  <c r="I572" i="1"/>
  <c r="J572" i="1" s="1"/>
  <c r="K572" i="1" s="1"/>
  <c r="I573" i="1"/>
  <c r="J573" i="1" s="1"/>
  <c r="K573" i="1" s="1"/>
  <c r="I574" i="1"/>
  <c r="J574" i="1" s="1"/>
  <c r="K574" i="1" s="1"/>
  <c r="I575" i="1"/>
  <c r="J575" i="1" s="1"/>
  <c r="K575" i="1" s="1"/>
  <c r="I576" i="1"/>
  <c r="J576" i="1" s="1"/>
  <c r="K576" i="1" s="1"/>
  <c r="I577" i="1"/>
  <c r="J577" i="1" s="1"/>
  <c r="K577" i="1" s="1"/>
  <c r="I578" i="1"/>
  <c r="J578" i="1" s="1"/>
  <c r="K578" i="1" s="1"/>
  <c r="I579" i="1"/>
  <c r="J579" i="1" s="1"/>
  <c r="K579" i="1" s="1"/>
  <c r="I580" i="1"/>
  <c r="J580" i="1" s="1"/>
  <c r="K580" i="1" s="1"/>
  <c r="I581" i="1"/>
  <c r="J581" i="1" s="1"/>
  <c r="K581" i="1" s="1"/>
  <c r="I582" i="1"/>
  <c r="J582" i="1" s="1"/>
  <c r="K582" i="1" s="1"/>
  <c r="I583" i="1"/>
  <c r="J583" i="1" s="1"/>
  <c r="K583" i="1" s="1"/>
  <c r="I584" i="1"/>
  <c r="J584" i="1" s="1"/>
  <c r="K584" i="1" s="1"/>
  <c r="I585" i="1"/>
  <c r="J585" i="1" s="1"/>
  <c r="K585" i="1" s="1"/>
  <c r="I586" i="1"/>
  <c r="J586" i="1" s="1"/>
  <c r="K586" i="1" s="1"/>
  <c r="I587" i="1"/>
  <c r="J587" i="1" s="1"/>
  <c r="K587" i="1" s="1"/>
  <c r="I588" i="1"/>
  <c r="J588" i="1" s="1"/>
  <c r="K588" i="1" s="1"/>
  <c r="I589" i="1"/>
  <c r="J589" i="1" s="1"/>
  <c r="K589" i="1" s="1"/>
  <c r="I68" i="1"/>
  <c r="J68" i="1" s="1"/>
  <c r="K68" i="1" s="1"/>
  <c r="I591" i="1"/>
  <c r="J591" i="1" s="1"/>
  <c r="K591" i="1" s="1"/>
  <c r="I260" i="1"/>
  <c r="J260" i="1" s="1"/>
  <c r="K260" i="1" s="1"/>
  <c r="I593" i="1"/>
  <c r="J593" i="1" s="1"/>
  <c r="K593" i="1" s="1"/>
  <c r="I594" i="1"/>
  <c r="J594" i="1" s="1"/>
  <c r="K594" i="1" s="1"/>
  <c r="I595" i="1"/>
  <c r="J595" i="1" s="1"/>
  <c r="K595" i="1" s="1"/>
  <c r="I596" i="1"/>
  <c r="J596" i="1" s="1"/>
  <c r="K596" i="1" s="1"/>
  <c r="I597" i="1"/>
  <c r="J597" i="1" s="1"/>
  <c r="K597" i="1" s="1"/>
  <c r="I598" i="1"/>
  <c r="J598" i="1" s="1"/>
  <c r="K598" i="1" s="1"/>
  <c r="I599" i="1"/>
  <c r="J599" i="1" s="1"/>
  <c r="K599" i="1" s="1"/>
  <c r="I600" i="1"/>
  <c r="J600" i="1" s="1"/>
  <c r="K600" i="1" s="1"/>
  <c r="I601" i="1"/>
  <c r="J601" i="1" s="1"/>
  <c r="K601" i="1" s="1"/>
  <c r="I602" i="1"/>
  <c r="J602" i="1" s="1"/>
  <c r="K602" i="1" s="1"/>
  <c r="I603" i="1"/>
  <c r="J603" i="1" s="1"/>
  <c r="K603" i="1" s="1"/>
  <c r="I16" i="1"/>
  <c r="J16" i="1" s="1"/>
  <c r="K16" i="1" s="1"/>
  <c r="I605" i="1"/>
  <c r="J605" i="1" s="1"/>
  <c r="K605" i="1" s="1"/>
  <c r="I606" i="1"/>
  <c r="J606" i="1" s="1"/>
  <c r="K606" i="1" s="1"/>
  <c r="I607" i="1"/>
  <c r="J607" i="1" s="1"/>
  <c r="K607" i="1" s="1"/>
  <c r="I608" i="1"/>
  <c r="J608" i="1" s="1"/>
  <c r="K608" i="1" s="1"/>
  <c r="I609" i="1"/>
  <c r="J609" i="1" s="1"/>
  <c r="K609" i="1" s="1"/>
  <c r="I610" i="1"/>
  <c r="J610" i="1" s="1"/>
  <c r="K610" i="1" s="1"/>
  <c r="I611" i="1"/>
  <c r="J611" i="1" s="1"/>
  <c r="K611" i="1" s="1"/>
  <c r="I612" i="1"/>
  <c r="J612" i="1" s="1"/>
  <c r="K612" i="1" s="1"/>
  <c r="I613" i="1"/>
  <c r="J613" i="1" s="1"/>
  <c r="K613" i="1" s="1"/>
  <c r="I614" i="1"/>
  <c r="J614" i="1" s="1"/>
  <c r="K614" i="1" s="1"/>
  <c r="I22" i="1"/>
  <c r="J22" i="1" s="1"/>
  <c r="K22" i="1" s="1"/>
  <c r="I616" i="1"/>
  <c r="J616" i="1" s="1"/>
  <c r="K616" i="1" s="1"/>
  <c r="I617" i="1"/>
  <c r="J617" i="1" s="1"/>
  <c r="K617" i="1" s="1"/>
  <c r="I618" i="1"/>
  <c r="J618" i="1" s="1"/>
  <c r="K618" i="1" s="1"/>
  <c r="I619" i="1"/>
  <c r="J619" i="1" s="1"/>
  <c r="K619" i="1" s="1"/>
  <c r="I620" i="1"/>
  <c r="J620" i="1" s="1"/>
  <c r="K620" i="1" s="1"/>
  <c r="I621" i="1"/>
  <c r="J621" i="1" s="1"/>
  <c r="K621" i="1" s="1"/>
  <c r="I622" i="1"/>
  <c r="J622" i="1" s="1"/>
  <c r="K622" i="1" s="1"/>
  <c r="I623" i="1"/>
  <c r="J623" i="1" s="1"/>
  <c r="K623" i="1" s="1"/>
  <c r="I624" i="1"/>
  <c r="J624" i="1" s="1"/>
  <c r="K624" i="1" s="1"/>
  <c r="I625" i="1"/>
  <c r="J625" i="1" s="1"/>
  <c r="K625" i="1" s="1"/>
  <c r="I626" i="1"/>
  <c r="J626" i="1" s="1"/>
  <c r="K626" i="1" s="1"/>
  <c r="I627" i="1"/>
  <c r="J627" i="1" s="1"/>
  <c r="K627" i="1" s="1"/>
  <c r="I628" i="1"/>
  <c r="J628" i="1" s="1"/>
  <c r="K628" i="1" s="1"/>
  <c r="I629" i="1"/>
  <c r="J629" i="1" s="1"/>
  <c r="K629" i="1" s="1"/>
  <c r="I630" i="1"/>
  <c r="J630" i="1" s="1"/>
  <c r="K630" i="1" s="1"/>
  <c r="I631" i="1"/>
  <c r="J631" i="1" s="1"/>
  <c r="K631" i="1" s="1"/>
  <c r="I632" i="1"/>
  <c r="J632" i="1" s="1"/>
  <c r="K632" i="1" s="1"/>
  <c r="I633" i="1"/>
  <c r="J633" i="1" s="1"/>
  <c r="K633" i="1" s="1"/>
  <c r="I634" i="1"/>
  <c r="J634" i="1" s="1"/>
  <c r="K634" i="1" s="1"/>
  <c r="I635" i="1"/>
  <c r="J635" i="1" s="1"/>
  <c r="K635" i="1" s="1"/>
  <c r="I636" i="1"/>
  <c r="J636" i="1" s="1"/>
  <c r="K636" i="1" s="1"/>
  <c r="I637" i="1"/>
  <c r="J637" i="1" s="1"/>
  <c r="K637" i="1" s="1"/>
  <c r="I638" i="1"/>
  <c r="J638" i="1" s="1"/>
  <c r="K638" i="1" s="1"/>
  <c r="I639" i="1"/>
  <c r="J639" i="1" s="1"/>
  <c r="K639" i="1" s="1"/>
  <c r="I640" i="1"/>
  <c r="J640" i="1" s="1"/>
  <c r="K640" i="1" s="1"/>
  <c r="I641" i="1"/>
  <c r="J641" i="1" s="1"/>
  <c r="K641" i="1" s="1"/>
  <c r="I642" i="1"/>
  <c r="J642" i="1" s="1"/>
  <c r="K642" i="1" s="1"/>
  <c r="I643" i="1"/>
  <c r="J643" i="1" s="1"/>
  <c r="K643" i="1" s="1"/>
  <c r="I644" i="1"/>
  <c r="J644" i="1" s="1"/>
  <c r="K644" i="1" s="1"/>
  <c r="I645" i="1"/>
  <c r="J645" i="1" s="1"/>
  <c r="K645" i="1" s="1"/>
  <c r="I646" i="1"/>
  <c r="J646" i="1" s="1"/>
  <c r="K646" i="1" s="1"/>
  <c r="I647" i="1"/>
  <c r="J647" i="1" s="1"/>
  <c r="K647" i="1" s="1"/>
  <c r="I648" i="1"/>
  <c r="J648" i="1" s="1"/>
  <c r="K648" i="1" s="1"/>
  <c r="I649" i="1"/>
  <c r="J649" i="1" s="1"/>
  <c r="K649" i="1" s="1"/>
  <c r="I650" i="1"/>
  <c r="J650" i="1" s="1"/>
  <c r="K650" i="1" s="1"/>
  <c r="I651" i="1"/>
  <c r="J651" i="1" s="1"/>
  <c r="K651" i="1" s="1"/>
  <c r="I652" i="1"/>
  <c r="J652" i="1" s="1"/>
  <c r="K652" i="1" s="1"/>
  <c r="I653" i="1"/>
  <c r="J653" i="1" s="1"/>
  <c r="K653" i="1" s="1"/>
  <c r="I654" i="1"/>
  <c r="J654" i="1" s="1"/>
  <c r="K654" i="1" s="1"/>
  <c r="I655" i="1"/>
  <c r="J655" i="1" s="1"/>
  <c r="K655" i="1" s="1"/>
  <c r="I656" i="1"/>
  <c r="J656" i="1" s="1"/>
  <c r="K656" i="1" s="1"/>
  <c r="I657" i="1"/>
  <c r="J657" i="1" s="1"/>
  <c r="K657" i="1" s="1"/>
  <c r="I658" i="1"/>
  <c r="J658" i="1" s="1"/>
  <c r="K658" i="1" s="1"/>
  <c r="I659" i="1"/>
  <c r="J659" i="1" s="1"/>
  <c r="K659" i="1" s="1"/>
  <c r="I660" i="1"/>
  <c r="J660" i="1" s="1"/>
  <c r="K660" i="1" s="1"/>
  <c r="I661" i="1"/>
  <c r="J661" i="1" s="1"/>
  <c r="K661" i="1" s="1"/>
  <c r="I662" i="1"/>
  <c r="J662" i="1" s="1"/>
  <c r="K662" i="1" s="1"/>
  <c r="I663" i="1"/>
  <c r="J663" i="1" s="1"/>
  <c r="K663" i="1" s="1"/>
  <c r="I664" i="1"/>
  <c r="J664" i="1" s="1"/>
  <c r="K664" i="1" s="1"/>
  <c r="I665" i="1"/>
  <c r="J665" i="1" s="1"/>
  <c r="K665" i="1" s="1"/>
  <c r="I666" i="1"/>
  <c r="J666" i="1" s="1"/>
  <c r="K666" i="1" s="1"/>
  <c r="I667" i="1"/>
  <c r="J667" i="1" s="1"/>
  <c r="K667" i="1" s="1"/>
  <c r="I668" i="1"/>
  <c r="J668" i="1" s="1"/>
  <c r="K668" i="1" s="1"/>
  <c r="I669" i="1"/>
  <c r="J669" i="1" s="1"/>
  <c r="K669" i="1" s="1"/>
  <c r="I670" i="1"/>
  <c r="J670" i="1" s="1"/>
  <c r="K670" i="1" s="1"/>
  <c r="I671" i="1"/>
  <c r="J671" i="1" s="1"/>
  <c r="K671" i="1" s="1"/>
  <c r="D672" i="1"/>
  <c r="E672" i="1"/>
  <c r="F672" i="1"/>
  <c r="G672" i="1"/>
  <c r="H672" i="1"/>
  <c r="C672" i="1"/>
</calcChain>
</file>

<file path=xl/sharedStrings.xml><?xml version="1.0" encoding="utf-8"?>
<sst xmlns="http://schemas.openxmlformats.org/spreadsheetml/2006/main" count="1350" uniqueCount="832">
  <si>
    <t>Descrição do bem</t>
  </si>
  <si>
    <t>ID da OS</t>
  </si>
  <si>
    <t>Custo dos insumos</t>
  </si>
  <si>
    <t>Mão-de-obra (custo médio)</t>
  </si>
  <si>
    <t>Terceiros (custo médio)</t>
  </si>
  <si>
    <t>Materiais de apoio (custo médio)</t>
  </si>
  <si>
    <t>Materiais de substituição (custo médio)</t>
  </si>
  <si>
    <t>Materiais de troca (custo médio)</t>
  </si>
  <si>
    <t>CM1000</t>
  </si>
  <si>
    <t>004275</t>
  </si>
  <si>
    <t>004279</t>
  </si>
  <si>
    <t>004370</t>
  </si>
  <si>
    <t>007391</t>
  </si>
  <si>
    <t>010780</t>
  </si>
  <si>
    <t>010781</t>
  </si>
  <si>
    <t>CM1001</t>
  </si>
  <si>
    <t>003943</t>
  </si>
  <si>
    <t>003950</t>
  </si>
  <si>
    <t>004045</t>
  </si>
  <si>
    <t>004223</t>
  </si>
  <si>
    <t>004225</t>
  </si>
  <si>
    <t>004239</t>
  </si>
  <si>
    <t>004263</t>
  </si>
  <si>
    <t>010686</t>
  </si>
  <si>
    <t>010689</t>
  </si>
  <si>
    <t>011040</t>
  </si>
  <si>
    <t>CM1002</t>
  </si>
  <si>
    <t>004100</t>
  </si>
  <si>
    <t>CM1003</t>
  </si>
  <si>
    <t>010009</t>
  </si>
  <si>
    <t>010184</t>
  </si>
  <si>
    <t>010188</t>
  </si>
  <si>
    <t>010467</t>
  </si>
  <si>
    <t>010820</t>
  </si>
  <si>
    <t>CM1004</t>
  </si>
  <si>
    <t>003917</t>
  </si>
  <si>
    <t>003976</t>
  </si>
  <si>
    <t>004006</t>
  </si>
  <si>
    <t>004007</t>
  </si>
  <si>
    <t>004147</t>
  </si>
  <si>
    <t>004203</t>
  </si>
  <si>
    <t>004414</t>
  </si>
  <si>
    <t>CM1005</t>
  </si>
  <si>
    <t>003951</t>
  </si>
  <si>
    <t>003965</t>
  </si>
  <si>
    <t>004018</t>
  </si>
  <si>
    <t>004023</t>
  </si>
  <si>
    <t>004055</t>
  </si>
  <si>
    <t>004058</t>
  </si>
  <si>
    <t>004207</t>
  </si>
  <si>
    <t>004309</t>
  </si>
  <si>
    <t>004334</t>
  </si>
  <si>
    <t>009793</t>
  </si>
  <si>
    <t>010487</t>
  </si>
  <si>
    <t>CM1006</t>
  </si>
  <si>
    <t>003877</t>
  </si>
  <si>
    <t>004039</t>
  </si>
  <si>
    <t>004183</t>
  </si>
  <si>
    <t>004187</t>
  </si>
  <si>
    <t>004215</t>
  </si>
  <si>
    <t>004220</t>
  </si>
  <si>
    <t>004227</t>
  </si>
  <si>
    <t>004241</t>
  </si>
  <si>
    <t>004293</t>
  </si>
  <si>
    <t>010654</t>
  </si>
  <si>
    <t>010740</t>
  </si>
  <si>
    <t>010744</t>
  </si>
  <si>
    <t>010774</t>
  </si>
  <si>
    <t>010775</t>
  </si>
  <si>
    <t>010791</t>
  </si>
  <si>
    <t>010995</t>
  </si>
  <si>
    <t>011043</t>
  </si>
  <si>
    <t>CM1007</t>
  </si>
  <si>
    <t>003902</t>
  </si>
  <si>
    <t>004091</t>
  </si>
  <si>
    <t>004094</t>
  </si>
  <si>
    <t>004108</t>
  </si>
  <si>
    <t>004148</t>
  </si>
  <si>
    <t>004173</t>
  </si>
  <si>
    <t>004194</t>
  </si>
  <si>
    <t>004199</t>
  </si>
  <si>
    <t>004363</t>
  </si>
  <si>
    <t>004376</t>
  </si>
  <si>
    <t>004438</t>
  </si>
  <si>
    <t>010485</t>
  </si>
  <si>
    <t>010655</t>
  </si>
  <si>
    <t>010997</t>
  </si>
  <si>
    <t>CM1008</t>
  </si>
  <si>
    <t>005635</t>
  </si>
  <si>
    <t>006849</t>
  </si>
  <si>
    <t>006853</t>
  </si>
  <si>
    <t>CM1009</t>
  </si>
  <si>
    <t>004102</t>
  </si>
  <si>
    <t>004104</t>
  </si>
  <si>
    <t>004321</t>
  </si>
  <si>
    <t>004431</t>
  </si>
  <si>
    <t>004455</t>
  </si>
  <si>
    <t>004463</t>
  </si>
  <si>
    <t>CM1010</t>
  </si>
  <si>
    <t>009994</t>
  </si>
  <si>
    <t>009995</t>
  </si>
  <si>
    <t>010272</t>
  </si>
  <si>
    <t>010695</t>
  </si>
  <si>
    <t>CM1011</t>
  </si>
  <si>
    <t>004329</t>
  </si>
  <si>
    <t>004342</t>
  </si>
  <si>
    <t>004352</t>
  </si>
  <si>
    <t>004378</t>
  </si>
  <si>
    <t>010323</t>
  </si>
  <si>
    <t>010331</t>
  </si>
  <si>
    <t>010373</t>
  </si>
  <si>
    <t>010374</t>
  </si>
  <si>
    <t>010468</t>
  </si>
  <si>
    <t>010525</t>
  </si>
  <si>
    <t>010570</t>
  </si>
  <si>
    <t>010581</t>
  </si>
  <si>
    <t>010617</t>
  </si>
  <si>
    <t>011140</t>
  </si>
  <si>
    <t>CM1012</t>
  </si>
  <si>
    <t>003709</t>
  </si>
  <si>
    <t>009396</t>
  </si>
  <si>
    <t>010614</t>
  </si>
  <si>
    <t>010679</t>
  </si>
  <si>
    <t>CM1013</t>
  </si>
  <si>
    <t>009247</t>
  </si>
  <si>
    <t>010260</t>
  </si>
  <si>
    <t>010426</t>
  </si>
  <si>
    <t>010462</t>
  </si>
  <si>
    <t>010643</t>
  </si>
  <si>
    <t>CM1014</t>
  </si>
  <si>
    <t>007320</t>
  </si>
  <si>
    <t>009271</t>
  </si>
  <si>
    <t>010524</t>
  </si>
  <si>
    <t>CM1015</t>
  </si>
  <si>
    <t>008234</t>
  </si>
  <si>
    <t>010335</t>
  </si>
  <si>
    <t>010342</t>
  </si>
  <si>
    <t>010375</t>
  </si>
  <si>
    <t>010411</t>
  </si>
  <si>
    <t>010671</t>
  </si>
  <si>
    <t>CM1016</t>
  </si>
  <si>
    <t>003493</t>
  </si>
  <si>
    <t>004073</t>
  </si>
  <si>
    <t>004170</t>
  </si>
  <si>
    <t>004270</t>
  </si>
  <si>
    <t>CM1017</t>
  </si>
  <si>
    <t>010376</t>
  </si>
  <si>
    <t>010453</t>
  </si>
  <si>
    <t>010737</t>
  </si>
  <si>
    <t>010748</t>
  </si>
  <si>
    <t>011021</t>
  </si>
  <si>
    <t>011022</t>
  </si>
  <si>
    <t>011153</t>
  </si>
  <si>
    <t>CM1018</t>
  </si>
  <si>
    <t>010324</t>
  </si>
  <si>
    <t>010377</t>
  </si>
  <si>
    <t>010490</t>
  </si>
  <si>
    <t>010528</t>
  </si>
  <si>
    <t>010687</t>
  </si>
  <si>
    <t>CM1019</t>
  </si>
  <si>
    <t>004386</t>
  </si>
  <si>
    <t>010657</t>
  </si>
  <si>
    <t>CM1020</t>
  </si>
  <si>
    <t>010742</t>
  </si>
  <si>
    <t>CM1021</t>
  </si>
  <si>
    <t>010306</t>
  </si>
  <si>
    <t>010577</t>
  </si>
  <si>
    <t>010745</t>
  </si>
  <si>
    <t>CM1022</t>
  </si>
  <si>
    <t>004374</t>
  </si>
  <si>
    <t>004380</t>
  </si>
  <si>
    <t>009829</t>
  </si>
  <si>
    <t>010708</t>
  </si>
  <si>
    <t>011037</t>
  </si>
  <si>
    <t>CM1024</t>
  </si>
  <si>
    <t>011018</t>
  </si>
  <si>
    <t>011026</t>
  </si>
  <si>
    <t>CM1025</t>
  </si>
  <si>
    <t>003494</t>
  </si>
  <si>
    <t>003881</t>
  </si>
  <si>
    <t>003889</t>
  </si>
  <si>
    <t>003890</t>
  </si>
  <si>
    <t>004038</t>
  </si>
  <si>
    <t>004070</t>
  </si>
  <si>
    <t>004075</t>
  </si>
  <si>
    <t>004169</t>
  </si>
  <si>
    <t>004308</t>
  </si>
  <si>
    <t>004364</t>
  </si>
  <si>
    <t>004366</t>
  </si>
  <si>
    <t>CM1026</t>
  </si>
  <si>
    <t>003932</t>
  </si>
  <si>
    <t>003938</t>
  </si>
  <si>
    <t>003956</t>
  </si>
  <si>
    <t>004153</t>
  </si>
  <si>
    <t>004303</t>
  </si>
  <si>
    <t>004307</t>
  </si>
  <si>
    <t>004316</t>
  </si>
  <si>
    <t>004324</t>
  </si>
  <si>
    <t>004326</t>
  </si>
  <si>
    <t>004344</t>
  </si>
  <si>
    <t>004433</t>
  </si>
  <si>
    <t>004449</t>
  </si>
  <si>
    <t>010479</t>
  </si>
  <si>
    <t>010565</t>
  </si>
  <si>
    <t>CM1027 TB</t>
  </si>
  <si>
    <t>007978</t>
  </si>
  <si>
    <t>010180</t>
  </si>
  <si>
    <t>010276</t>
  </si>
  <si>
    <t>010642</t>
  </si>
  <si>
    <t>CM2002</t>
  </si>
  <si>
    <t>003899</t>
  </si>
  <si>
    <t>003988</t>
  </si>
  <si>
    <t>004281</t>
  </si>
  <si>
    <t>004395</t>
  </si>
  <si>
    <t>CM2003</t>
  </si>
  <si>
    <t>004001</t>
  </si>
  <si>
    <t>004009</t>
  </si>
  <si>
    <t>004041</t>
  </si>
  <si>
    <t>004208</t>
  </si>
  <si>
    <t>004222</t>
  </si>
  <si>
    <t>004290</t>
  </si>
  <si>
    <t>004302</t>
  </si>
  <si>
    <t>004351</t>
  </si>
  <si>
    <t>004412</t>
  </si>
  <si>
    <t>004420</t>
  </si>
  <si>
    <t>004465</t>
  </si>
  <si>
    <t>CM2004</t>
  </si>
  <si>
    <t>004014</t>
  </si>
  <si>
    <t>004063</t>
  </si>
  <si>
    <t>004092</t>
  </si>
  <si>
    <t>004154</t>
  </si>
  <si>
    <t>004198</t>
  </si>
  <si>
    <t>004201</t>
  </si>
  <si>
    <t>004238</t>
  </si>
  <si>
    <t>CM2005 TB</t>
  </si>
  <si>
    <t>007947</t>
  </si>
  <si>
    <t>CM3000</t>
  </si>
  <si>
    <t>003900</t>
  </si>
  <si>
    <t>003928</t>
  </si>
  <si>
    <t>003952</t>
  </si>
  <si>
    <t>003958</t>
  </si>
  <si>
    <t>003998</t>
  </si>
  <si>
    <t>004019</t>
  </si>
  <si>
    <t>004107</t>
  </si>
  <si>
    <t>004155</t>
  </si>
  <si>
    <t>004205</t>
  </si>
  <si>
    <t>004212</t>
  </si>
  <si>
    <t>004232</t>
  </si>
  <si>
    <t>004276</t>
  </si>
  <si>
    <t>004318</t>
  </si>
  <si>
    <t>004373</t>
  </si>
  <si>
    <t>004377</t>
  </si>
  <si>
    <t>004413</t>
  </si>
  <si>
    <t>004418</t>
  </si>
  <si>
    <t>004434</t>
  </si>
  <si>
    <t>004436</t>
  </si>
  <si>
    <t>004445</t>
  </si>
  <si>
    <t>CM3002</t>
  </si>
  <si>
    <t>003844</t>
  </si>
  <si>
    <t>003897</t>
  </si>
  <si>
    <t>003921</t>
  </si>
  <si>
    <t>003931</t>
  </si>
  <si>
    <t>003936</t>
  </si>
  <si>
    <t>003954</t>
  </si>
  <si>
    <t>003973</t>
  </si>
  <si>
    <t>004056</t>
  </si>
  <si>
    <t>004099</t>
  </si>
  <si>
    <t>004106</t>
  </si>
  <si>
    <t>004171</t>
  </si>
  <si>
    <t>004174</t>
  </si>
  <si>
    <t>004213</t>
  </si>
  <si>
    <t>004273</t>
  </si>
  <si>
    <t>004296</t>
  </si>
  <si>
    <t>004338</t>
  </si>
  <si>
    <t>004353</t>
  </si>
  <si>
    <t>010489</t>
  </si>
  <si>
    <t>010996</t>
  </si>
  <si>
    <t>CM3004</t>
  </si>
  <si>
    <t>005411</t>
  </si>
  <si>
    <t>006254</t>
  </si>
  <si>
    <t>009359</t>
  </si>
  <si>
    <t>CM3005</t>
  </si>
  <si>
    <t>004259</t>
  </si>
  <si>
    <t>004262</t>
  </si>
  <si>
    <t>010195</t>
  </si>
  <si>
    <t>010412</t>
  </si>
  <si>
    <t>010478</t>
  </si>
  <si>
    <t>010634</t>
  </si>
  <si>
    <t>010751</t>
  </si>
  <si>
    <t>CM3006</t>
  </si>
  <si>
    <t>001939</t>
  </si>
  <si>
    <t>001940</t>
  </si>
  <si>
    <t>010185</t>
  </si>
  <si>
    <t>CM3007</t>
  </si>
  <si>
    <t>001955</t>
  </si>
  <si>
    <t>003915</t>
  </si>
  <si>
    <t>003960</t>
  </si>
  <si>
    <t>003999</t>
  </si>
  <si>
    <t>010496</t>
  </si>
  <si>
    <t>010498</t>
  </si>
  <si>
    <t>010819</t>
  </si>
  <si>
    <t>CM3008</t>
  </si>
  <si>
    <t>010546</t>
  </si>
  <si>
    <t>010548</t>
  </si>
  <si>
    <t>010558</t>
  </si>
  <si>
    <t>010618</t>
  </si>
  <si>
    <t>010776</t>
  </si>
  <si>
    <t>011051</t>
  </si>
  <si>
    <t>CM3009</t>
  </si>
  <si>
    <t>010936</t>
  </si>
  <si>
    <t>CM3010</t>
  </si>
  <si>
    <t>003975</t>
  </si>
  <si>
    <t>010491</t>
  </si>
  <si>
    <t>011073</t>
  </si>
  <si>
    <t>CM3011</t>
  </si>
  <si>
    <t>010131</t>
  </si>
  <si>
    <t>010458</t>
  </si>
  <si>
    <t>010471</t>
  </si>
  <si>
    <t>010599</t>
  </si>
  <si>
    <t>010645</t>
  </si>
  <si>
    <t>CM3012</t>
  </si>
  <si>
    <t>010339</t>
  </si>
  <si>
    <t>010378</t>
  </si>
  <si>
    <t>CM3013</t>
  </si>
  <si>
    <t>010282</t>
  </si>
  <si>
    <t>010455</t>
  </si>
  <si>
    <t>010494</t>
  </si>
  <si>
    <t>010573</t>
  </si>
  <si>
    <t>CM3014</t>
  </si>
  <si>
    <t>010379</t>
  </si>
  <si>
    <t>010380</t>
  </si>
  <si>
    <t>CM3015</t>
  </si>
  <si>
    <t>010381</t>
  </si>
  <si>
    <t>010438</t>
  </si>
  <si>
    <t>011047</t>
  </si>
  <si>
    <t>CM4000</t>
  </si>
  <si>
    <t>010018</t>
  </si>
  <si>
    <t>CM4001</t>
  </si>
  <si>
    <t>010382</t>
  </si>
  <si>
    <t>011006</t>
  </si>
  <si>
    <t>CM4002</t>
  </si>
  <si>
    <t>008780</t>
  </si>
  <si>
    <t>010155</t>
  </si>
  <si>
    <t>010506</t>
  </si>
  <si>
    <t>010507</t>
  </si>
  <si>
    <t>010511</t>
  </si>
  <si>
    <t>010629</t>
  </si>
  <si>
    <t>CM4003</t>
  </si>
  <si>
    <t>010062</t>
  </si>
  <si>
    <t>010383</t>
  </si>
  <si>
    <t>010519</t>
  </si>
  <si>
    <t>010523</t>
  </si>
  <si>
    <t>010529</t>
  </si>
  <si>
    <t>010784</t>
  </si>
  <si>
    <t>010786</t>
  </si>
  <si>
    <t>011023</t>
  </si>
  <si>
    <t>CM5000</t>
  </si>
  <si>
    <t>004365</t>
  </si>
  <si>
    <t>008309</t>
  </si>
  <si>
    <t>009773</t>
  </si>
  <si>
    <t>010407</t>
  </si>
  <si>
    <t>010457</t>
  </si>
  <si>
    <t>010739</t>
  </si>
  <si>
    <t>011049</t>
  </si>
  <si>
    <t>011072</t>
  </si>
  <si>
    <t>CM5001</t>
  </si>
  <si>
    <t>010486</t>
  </si>
  <si>
    <t>CM5002</t>
  </si>
  <si>
    <t>007209</t>
  </si>
  <si>
    <t>009775</t>
  </si>
  <si>
    <t>010265</t>
  </si>
  <si>
    <t>010296</t>
  </si>
  <si>
    <t>010567</t>
  </si>
  <si>
    <t>010580</t>
  </si>
  <si>
    <t>010608</t>
  </si>
  <si>
    <t>010801</t>
  </si>
  <si>
    <t>010994</t>
  </si>
  <si>
    <t>011206</t>
  </si>
  <si>
    <t>CM5003</t>
  </si>
  <si>
    <t>009991</t>
  </si>
  <si>
    <t>010384</t>
  </si>
  <si>
    <t>CM5004</t>
  </si>
  <si>
    <t>008929</t>
  </si>
  <si>
    <t>010053</t>
  </si>
  <si>
    <t>010543</t>
  </si>
  <si>
    <t>010750</t>
  </si>
  <si>
    <t>010999</t>
  </si>
  <si>
    <t>CM5005</t>
  </si>
  <si>
    <t>008936</t>
  </si>
  <si>
    <t>010653</t>
  </si>
  <si>
    <t>CM5006</t>
  </si>
  <si>
    <t>007398</t>
  </si>
  <si>
    <t>010341</t>
  </si>
  <si>
    <t>010385</t>
  </si>
  <si>
    <t>010401</t>
  </si>
  <si>
    <t>010559</t>
  </si>
  <si>
    <t>010562</t>
  </si>
  <si>
    <t>010563</t>
  </si>
  <si>
    <t>010575</t>
  </si>
  <si>
    <t>010586</t>
  </si>
  <si>
    <t>010592</t>
  </si>
  <si>
    <t>010598</t>
  </si>
  <si>
    <t>010797</t>
  </si>
  <si>
    <t>CM5007</t>
  </si>
  <si>
    <t>010626</t>
  </si>
  <si>
    <t>010627</t>
  </si>
  <si>
    <t>010651</t>
  </si>
  <si>
    <t>010652</t>
  </si>
  <si>
    <t>CM5008</t>
  </si>
  <si>
    <t>010183</t>
  </si>
  <si>
    <t>010300</t>
  </si>
  <si>
    <t>010576</t>
  </si>
  <si>
    <t>CM5009</t>
  </si>
  <si>
    <t>009043</t>
  </si>
  <si>
    <t>010055</t>
  </si>
  <si>
    <t>010328</t>
  </si>
  <si>
    <t>010330</t>
  </si>
  <si>
    <t>010595</t>
  </si>
  <si>
    <t>010597</t>
  </si>
  <si>
    <t>010692</t>
  </si>
  <si>
    <t>010770</t>
  </si>
  <si>
    <t>010817</t>
  </si>
  <si>
    <t>CM5010</t>
  </si>
  <si>
    <t>004467</t>
  </si>
  <si>
    <t>010588</t>
  </si>
  <si>
    <t>010710</t>
  </si>
  <si>
    <t>010813</t>
  </si>
  <si>
    <t>011418</t>
  </si>
  <si>
    <t>CM5011</t>
  </si>
  <si>
    <t>010052</t>
  </si>
  <si>
    <t>010160</t>
  </si>
  <si>
    <t>010305</t>
  </si>
  <si>
    <t>010386</t>
  </si>
  <si>
    <t>010387</t>
  </si>
  <si>
    <t>010612</t>
  </si>
  <si>
    <t>010647</t>
  </si>
  <si>
    <t>010670</t>
  </si>
  <si>
    <t>CM5012</t>
  </si>
  <si>
    <t>010263</t>
  </si>
  <si>
    <t>010264</t>
  </si>
  <si>
    <t>010388</t>
  </si>
  <si>
    <t>010456</t>
  </si>
  <si>
    <t>CM5013</t>
  </si>
  <si>
    <t>010473</t>
  </si>
  <si>
    <t>010623</t>
  </si>
  <si>
    <t>010641</t>
  </si>
  <si>
    <t>010703</t>
  </si>
  <si>
    <t>010704</t>
  </si>
  <si>
    <t>010771</t>
  </si>
  <si>
    <t>010818</t>
  </si>
  <si>
    <t>CM5014</t>
  </si>
  <si>
    <t>004426</t>
  </si>
  <si>
    <t>007390</t>
  </si>
  <si>
    <t>010746</t>
  </si>
  <si>
    <t>010816</t>
  </si>
  <si>
    <t>CM5015</t>
  </si>
  <si>
    <t>004387</t>
  </si>
  <si>
    <t>010723</t>
  </si>
  <si>
    <t>011039</t>
  </si>
  <si>
    <t>CM5016</t>
  </si>
  <si>
    <t>010194</t>
  </si>
  <si>
    <t>010405</t>
  </si>
  <si>
    <t>010465</t>
  </si>
  <si>
    <t>010514</t>
  </si>
  <si>
    <t>010714</t>
  </si>
  <si>
    <t>010779</t>
  </si>
  <si>
    <t>CM5017</t>
  </si>
  <si>
    <t>009224</t>
  </si>
  <si>
    <t>010326</t>
  </si>
  <si>
    <t>010332</t>
  </si>
  <si>
    <t>010472</t>
  </si>
  <si>
    <t>010564</t>
  </si>
  <si>
    <t>010796</t>
  </si>
  <si>
    <t>011079</t>
  </si>
  <si>
    <t>CM5018</t>
  </si>
  <si>
    <t>010607</t>
  </si>
  <si>
    <t>CM5019</t>
  </si>
  <si>
    <t>009993</t>
  </si>
  <si>
    <t>010606</t>
  </si>
  <si>
    <t>010715</t>
  </si>
  <si>
    <t>CM5021</t>
  </si>
  <si>
    <t>007380</t>
  </si>
  <si>
    <t>010389</t>
  </si>
  <si>
    <t>010463</t>
  </si>
  <si>
    <t>CM5022</t>
  </si>
  <si>
    <t>009919</t>
  </si>
  <si>
    <t>010587</t>
  </si>
  <si>
    <t>011041</t>
  </si>
  <si>
    <t>CM5023</t>
  </si>
  <si>
    <t>010427</t>
  </si>
  <si>
    <t>010680</t>
  </si>
  <si>
    <t>010809</t>
  </si>
  <si>
    <t>CM5024</t>
  </si>
  <si>
    <t>010578</t>
  </si>
  <si>
    <t>CM5025</t>
  </si>
  <si>
    <t>010454</t>
  </si>
  <si>
    <t>010793</t>
  </si>
  <si>
    <t>CM5026</t>
  </si>
  <si>
    <t>010293</t>
  </si>
  <si>
    <t>010583</t>
  </si>
  <si>
    <t>010605</t>
  </si>
  <si>
    <t>010633</t>
  </si>
  <si>
    <t>CM5027</t>
  </si>
  <si>
    <t>010200</t>
  </si>
  <si>
    <t>010571</t>
  </si>
  <si>
    <t>010789</t>
  </si>
  <si>
    <t>011081</t>
  </si>
  <si>
    <t>CM5028</t>
  </si>
  <si>
    <t>009922</t>
  </si>
  <si>
    <t>010512</t>
  </si>
  <si>
    <t>010572</t>
  </si>
  <si>
    <t>CM5029</t>
  </si>
  <si>
    <t>011078</t>
  </si>
  <si>
    <t>CM5030</t>
  </si>
  <si>
    <t>010274</t>
  </si>
  <si>
    <t>010325</t>
  </si>
  <si>
    <t>010397</t>
  </si>
  <si>
    <t>CM5031</t>
  </si>
  <si>
    <t>010179</t>
  </si>
  <si>
    <t>011076</t>
  </si>
  <si>
    <t>CM5032</t>
  </si>
  <si>
    <t>010166</t>
  </si>
  <si>
    <t>010258</t>
  </si>
  <si>
    <t>010517</t>
  </si>
  <si>
    <t>CM5033</t>
  </si>
  <si>
    <t>010336</t>
  </si>
  <si>
    <t>010337</t>
  </si>
  <si>
    <t>010792</t>
  </si>
  <si>
    <t>CM5034</t>
  </si>
  <si>
    <t>010419</t>
  </si>
  <si>
    <t>010521</t>
  </si>
  <si>
    <t>CM5035</t>
  </si>
  <si>
    <t>010031</t>
  </si>
  <si>
    <t>010406</t>
  </si>
  <si>
    <t>010470</t>
  </si>
  <si>
    <t>010477</t>
  </si>
  <si>
    <t>010650</t>
  </si>
  <si>
    <t>SR10002</t>
  </si>
  <si>
    <t>009320</t>
  </si>
  <si>
    <t>SR10008</t>
  </si>
  <si>
    <t>010646</t>
  </si>
  <si>
    <t>010711</t>
  </si>
  <si>
    <t>SR10009</t>
  </si>
  <si>
    <t>010709</t>
  </si>
  <si>
    <t>SR10010</t>
  </si>
  <si>
    <t>011014</t>
  </si>
  <si>
    <t>011019</t>
  </si>
  <si>
    <t>SR10011</t>
  </si>
  <si>
    <t>004361</t>
  </si>
  <si>
    <t>010782</t>
  </si>
  <si>
    <t>011015</t>
  </si>
  <si>
    <t>SR10019</t>
  </si>
  <si>
    <t>010747</t>
  </si>
  <si>
    <t>SR10020</t>
  </si>
  <si>
    <t>010414</t>
  </si>
  <si>
    <t>010415</t>
  </si>
  <si>
    <t>010569</t>
  </si>
  <si>
    <t>SR10021</t>
  </si>
  <si>
    <t>010658</t>
  </si>
  <si>
    <t>010659</t>
  </si>
  <si>
    <t>SR10026</t>
  </si>
  <si>
    <t>010504</t>
  </si>
  <si>
    <t>010505</t>
  </si>
  <si>
    <t>010560</t>
  </si>
  <si>
    <t>SR10028</t>
  </si>
  <si>
    <t>007397</t>
  </si>
  <si>
    <t>009537</t>
  </si>
  <si>
    <t>010660</t>
  </si>
  <si>
    <t>010682</t>
  </si>
  <si>
    <t>010799</t>
  </si>
  <si>
    <t>010800</t>
  </si>
  <si>
    <t>SR10029</t>
  </si>
  <si>
    <t>011007</t>
  </si>
  <si>
    <t>SR10030</t>
  </si>
  <si>
    <t>010601</t>
  </si>
  <si>
    <t>010621</t>
  </si>
  <si>
    <t>SR10031</t>
  </si>
  <si>
    <t>010804</t>
  </si>
  <si>
    <t>SR10037</t>
  </si>
  <si>
    <t>010584</t>
  </si>
  <si>
    <t>010585</t>
  </si>
  <si>
    <t>010594</t>
  </si>
  <si>
    <t>010721</t>
  </si>
  <si>
    <t>SR10038</t>
  </si>
  <si>
    <t>011071</t>
  </si>
  <si>
    <t>SR10041</t>
  </si>
  <si>
    <t>010256</t>
  </si>
  <si>
    <t>SR10042</t>
  </si>
  <si>
    <t>008940</t>
  </si>
  <si>
    <t>010508</t>
  </si>
  <si>
    <t>010561</t>
  </si>
  <si>
    <t>SR10043</t>
  </si>
  <si>
    <t>010530</t>
  </si>
  <si>
    <t>010624</t>
  </si>
  <si>
    <t>010625</t>
  </si>
  <si>
    <t>010701</t>
  </si>
  <si>
    <t>010702</t>
  </si>
  <si>
    <t>011000</t>
  </si>
  <si>
    <t>011003</t>
  </si>
  <si>
    <t>011050</t>
  </si>
  <si>
    <t>011199</t>
  </si>
  <si>
    <t>SR10045</t>
  </si>
  <si>
    <t>010464</t>
  </si>
  <si>
    <t>010622</t>
  </si>
  <si>
    <t>SR10046</t>
  </si>
  <si>
    <t>010616</t>
  </si>
  <si>
    <t>010805</t>
  </si>
  <si>
    <t>011013</t>
  </si>
  <si>
    <t>SR10047</t>
  </si>
  <si>
    <t>008428</t>
  </si>
  <si>
    <t>010145</t>
  </si>
  <si>
    <t>SR10048</t>
  </si>
  <si>
    <t>010640</t>
  </si>
  <si>
    <t>010798</t>
  </si>
  <si>
    <t>010802</t>
  </si>
  <si>
    <t>011011</t>
  </si>
  <si>
    <t>011038</t>
  </si>
  <si>
    <t>011080</t>
  </si>
  <si>
    <t>011082</t>
  </si>
  <si>
    <t>011191</t>
  </si>
  <si>
    <t>SR10051</t>
  </si>
  <si>
    <t>010690</t>
  </si>
  <si>
    <t>010694</t>
  </si>
  <si>
    <t>SR10052</t>
  </si>
  <si>
    <t>010304</t>
  </si>
  <si>
    <t>SR10053</t>
  </si>
  <si>
    <t>010810</t>
  </si>
  <si>
    <t>SR10054</t>
  </si>
  <si>
    <t>010143</t>
  </si>
  <si>
    <t>010749</t>
  </si>
  <si>
    <t>SR10055</t>
  </si>
  <si>
    <t>010404</t>
  </si>
  <si>
    <t>010520</t>
  </si>
  <si>
    <t>010593</t>
  </si>
  <si>
    <t>010619</t>
  </si>
  <si>
    <t>010785</t>
  </si>
  <si>
    <t>010795</t>
  </si>
  <si>
    <t>SR10056</t>
  </si>
  <si>
    <t>009920</t>
  </si>
  <si>
    <t>010516</t>
  </si>
  <si>
    <t>011009</t>
  </si>
  <si>
    <t>011012</t>
  </si>
  <si>
    <t>SR10058</t>
  </si>
  <si>
    <t>010334</t>
  </si>
  <si>
    <t>010522</t>
  </si>
  <si>
    <t>010620</t>
  </si>
  <si>
    <t>011001</t>
  </si>
  <si>
    <t>011036</t>
  </si>
  <si>
    <t>SR10061</t>
  </si>
  <si>
    <t>004250</t>
  </si>
  <si>
    <t>010122</t>
  </si>
  <si>
    <t>010713</t>
  </si>
  <si>
    <t>010823</t>
  </si>
  <si>
    <t>011010</t>
  </si>
  <si>
    <t>011192</t>
  </si>
  <si>
    <t>SR10062</t>
  </si>
  <si>
    <t>004337</t>
  </si>
  <si>
    <t>010338</t>
  </si>
  <si>
    <t>010752</t>
  </si>
  <si>
    <t>SR10065</t>
  </si>
  <si>
    <t>004025</t>
  </si>
  <si>
    <t>010566</t>
  </si>
  <si>
    <t>010807</t>
  </si>
  <si>
    <t>SR10067</t>
  </si>
  <si>
    <t>003926</t>
  </si>
  <si>
    <t>SR11002</t>
  </si>
  <si>
    <t>010497</t>
  </si>
  <si>
    <t>010499</t>
  </si>
  <si>
    <t>010501</t>
  </si>
  <si>
    <t>SR11006</t>
  </si>
  <si>
    <t>010329</t>
  </si>
  <si>
    <t>010400</t>
  </si>
  <si>
    <t>010596</t>
  </si>
  <si>
    <t>SR11007</t>
  </si>
  <si>
    <t>011002</t>
  </si>
  <si>
    <t>SR11008</t>
  </si>
  <si>
    <t>005888</t>
  </si>
  <si>
    <t>SR11009</t>
  </si>
  <si>
    <t>010502</t>
  </si>
  <si>
    <t>010531</t>
  </si>
  <si>
    <t>010697</t>
  </si>
  <si>
    <t>011189</t>
  </si>
  <si>
    <t>SR11010</t>
  </si>
  <si>
    <t>010518</t>
  </si>
  <si>
    <t>011044</t>
  </si>
  <si>
    <t>SR11013</t>
  </si>
  <si>
    <t>004340</t>
  </si>
  <si>
    <t>010327</t>
  </si>
  <si>
    <t>011156</t>
  </si>
  <si>
    <t>SR11014</t>
  </si>
  <si>
    <t>010121</t>
  </si>
  <si>
    <t>010492</t>
  </si>
  <si>
    <t>010493</t>
  </si>
  <si>
    <t>010685</t>
  </si>
  <si>
    <t>SR11015</t>
  </si>
  <si>
    <t>010513</t>
  </si>
  <si>
    <t>010544</t>
  </si>
  <si>
    <t>010693</t>
  </si>
  <si>
    <t>011077</t>
  </si>
  <si>
    <t>SR11016</t>
  </si>
  <si>
    <t>004399</t>
  </si>
  <si>
    <t>010474</t>
  </si>
  <si>
    <t>010602</t>
  </si>
  <si>
    <t>SR11017</t>
  </si>
  <si>
    <t>010547</t>
  </si>
  <si>
    <t>010549</t>
  </si>
  <si>
    <t>010712</t>
  </si>
  <si>
    <t>011052</t>
  </si>
  <si>
    <t>SR11019</t>
  </si>
  <si>
    <t>004391</t>
  </si>
  <si>
    <t>004393</t>
  </si>
  <si>
    <t>004396</t>
  </si>
  <si>
    <t>010579</t>
  </si>
  <si>
    <t>010688</t>
  </si>
  <si>
    <t>010790</t>
  </si>
  <si>
    <t>SR11020</t>
  </si>
  <si>
    <t>010398</t>
  </si>
  <si>
    <t>010399</t>
  </si>
  <si>
    <t>010428</t>
  </si>
  <si>
    <t>SR11021</t>
  </si>
  <si>
    <t>010503</t>
  </si>
  <si>
    <t>SR11023</t>
  </si>
  <si>
    <t>010635</t>
  </si>
  <si>
    <t>010637</t>
  </si>
  <si>
    <t>010738</t>
  </si>
  <si>
    <t>010783</t>
  </si>
  <si>
    <t>011017</t>
  </si>
  <si>
    <t>SR13000</t>
  </si>
  <si>
    <t>010696</t>
  </si>
  <si>
    <t>010700</t>
  </si>
  <si>
    <t>SR13002</t>
  </si>
  <si>
    <t>010717</t>
  </si>
  <si>
    <t>010722</t>
  </si>
  <si>
    <t>010743</t>
  </si>
  <si>
    <t>010772</t>
  </si>
  <si>
    <t>SR13004</t>
  </si>
  <si>
    <t>010698</t>
  </si>
  <si>
    <t>010699</t>
  </si>
  <si>
    <t>010718</t>
  </si>
  <si>
    <t>011008</t>
  </si>
  <si>
    <t>SR13007</t>
  </si>
  <si>
    <t>004484</t>
  </si>
  <si>
    <t>SR14001</t>
  </si>
  <si>
    <t>004020</t>
  </si>
  <si>
    <t>004400</t>
  </si>
  <si>
    <t>004408</t>
  </si>
  <si>
    <t>009795</t>
  </si>
  <si>
    <t>010669</t>
  </si>
  <si>
    <t>010998</t>
  </si>
  <si>
    <t>SR14002</t>
  </si>
  <si>
    <t>004240</t>
  </si>
  <si>
    <t>004245</t>
  </si>
  <si>
    <t>SR14003</t>
  </si>
  <si>
    <t>003982</t>
  </si>
  <si>
    <t>004021</t>
  </si>
  <si>
    <t>004226</t>
  </si>
  <si>
    <t>004242</t>
  </si>
  <si>
    <t>004257</t>
  </si>
  <si>
    <t>004362</t>
  </si>
  <si>
    <t>010488</t>
  </si>
  <si>
    <t>SR14004</t>
  </si>
  <si>
    <t>004076</t>
  </si>
  <si>
    <t>004252</t>
  </si>
  <si>
    <t>004330</t>
  </si>
  <si>
    <t>004482</t>
  </si>
  <si>
    <t>SR14005</t>
  </si>
  <si>
    <t>003985</t>
  </si>
  <si>
    <t>004022</t>
  </si>
  <si>
    <t>004178</t>
  </si>
  <si>
    <t>004179</t>
  </si>
  <si>
    <t>004218</t>
  </si>
  <si>
    <t>004325</t>
  </si>
  <si>
    <t>004483</t>
  </si>
  <si>
    <t>SR14006</t>
  </si>
  <si>
    <t>004228</t>
  </si>
  <si>
    <t>004409</t>
  </si>
  <si>
    <t>004486</t>
  </si>
  <si>
    <t>SR15000</t>
  </si>
  <si>
    <t>004251</t>
  </si>
  <si>
    <t>010416</t>
  </si>
  <si>
    <t>010418</t>
  </si>
  <si>
    <t>010808</t>
  </si>
  <si>
    <t>SR15003</t>
  </si>
  <si>
    <t>010413</t>
  </si>
  <si>
    <t>010806</t>
  </si>
  <si>
    <t>SR16000</t>
  </si>
  <si>
    <t>004392</t>
  </si>
  <si>
    <t>SR16001</t>
  </si>
  <si>
    <t>004224</t>
  </si>
  <si>
    <t>004254</t>
  </si>
  <si>
    <t>004339</t>
  </si>
  <si>
    <t>SR16003</t>
  </si>
  <si>
    <t>004485</t>
  </si>
  <si>
    <t>SR16007</t>
  </si>
  <si>
    <t>003940</t>
  </si>
  <si>
    <t>004202</t>
  </si>
  <si>
    <t>004286</t>
  </si>
  <si>
    <t>004427</t>
  </si>
  <si>
    <t>SR16008</t>
  </si>
  <si>
    <t>003908</t>
  </si>
  <si>
    <t>003980</t>
  </si>
  <si>
    <t>003987</t>
  </si>
  <si>
    <t>004176</t>
  </si>
  <si>
    <t>004258</t>
  </si>
  <si>
    <t>004341</t>
  </si>
  <si>
    <t>004381</t>
  </si>
  <si>
    <t>004394</t>
  </si>
  <si>
    <t>004397</t>
  </si>
  <si>
    <t>004479</t>
  </si>
  <si>
    <t>SR18000</t>
  </si>
  <si>
    <t>003937</t>
  </si>
  <si>
    <t>003945</t>
  </si>
  <si>
    <t>003981</t>
  </si>
  <si>
    <t>004249</t>
  </si>
  <si>
    <t>004261</t>
  </si>
  <si>
    <t>004430</t>
  </si>
  <si>
    <t>004432</t>
  </si>
  <si>
    <t>004476</t>
  </si>
  <si>
    <t>010484</t>
  </si>
  <si>
    <t>SR18001</t>
  </si>
  <si>
    <t>003909</t>
  </si>
  <si>
    <t>004410</t>
  </si>
  <si>
    <t>004424</t>
  </si>
  <si>
    <t>010480</t>
  </si>
  <si>
    <t>010481</t>
  </si>
  <si>
    <t>010482</t>
  </si>
  <si>
    <t>010483</t>
  </si>
  <si>
    <t>010615</t>
  </si>
  <si>
    <t>Total</t>
  </si>
  <si>
    <t>Custos da os</t>
  </si>
  <si>
    <t>Dif. Insumo e OS</t>
  </si>
  <si>
    <t>tipo de diferença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</si>
</sst>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44" fontId="0" fillId="2" borderId="0" xfId="1" applyFont="1" applyFill="1"/>
    <xf numFmtId="0" fontId="0" fillId="0" borderId="0" xfId="0" applyFill="1"/>
    <xf numFmtId="44" fontId="0" fillId="0" borderId="0" xfId="1" applyFont="1" applyFill="1"/>
  </cellXfs>
  <cellStyles count="2">
    <cellStyle name="Moeda" xfId="1" builtinId="4"/>
    <cellStyle name="Normal" xfId="0" builtinId="0"/>
  </cellStyles>
  <dxfs count="14">
    <dxf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</dxf>
    <dxf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</dxf>
    <dxf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2:K672" totalsRowCount="1">
  <autoFilter ref="A2:K671">
    <filterColumn colId="10">
      <filters>
        <filter val="verificar"/>
      </filters>
    </filterColumn>
  </autoFilter>
  <sortState ref="A8:K615">
    <sortCondition ref="J2:J671"/>
  </sortState>
  <tableColumns count="11">
    <tableColumn id="1" name="Descrição do bem" totalsRowLabel="Total" totalsRowDxfId="13"/>
    <tableColumn id="2" name="ID da OS" totalsRowDxfId="12"/>
    <tableColumn id="3" name="Custo dos insumos" totalsRowFunction="sum" totalsRowDxfId="11" dataCellStyle="Moeda"/>
    <tableColumn id="4" name="Mão-de-obra (custo médio)" totalsRowFunction="sum" totalsRowDxfId="10" dataCellStyle="Moeda"/>
    <tableColumn id="5" name="Terceiros (custo médio)" totalsRowFunction="sum" totalsRowDxfId="9" dataCellStyle="Moeda"/>
    <tableColumn id="6" name="Materiais de apoio (custo médio)" totalsRowFunction="sum" totalsRowDxfId="8" dataCellStyle="Moeda"/>
    <tableColumn id="7" name="Materiais de substituição (custo médio)" totalsRowFunction="sum" totalsRowDxfId="7" dataCellStyle="Moeda"/>
    <tableColumn id="8" name="Materiais de troca (custo médio)" totalsRowFunction="sum" totalsRowDxfId="6" dataCellStyle="Moeda"/>
    <tableColumn id="9" name="Custos da os" dataDxfId="5" totalsRowDxfId="4" dataCellStyle="Moeda">
      <calculatedColumnFormula>SUM(Tabela1[[#This Row],[Mão-de-obra (custo médio)]:[Materiais de troca (custo médio)]])</calculatedColumnFormula>
    </tableColumn>
    <tableColumn id="10" name="Dif. Insumo e OS" dataDxfId="3" totalsRowDxfId="2" dataCellStyle="Moeda">
      <calculatedColumnFormula>Tabela1[[#This Row],[Custos da os]]-Tabela1[[#This Row],[Custo dos insumos]]</calculatedColumnFormula>
    </tableColumn>
    <tableColumn id="11" name="tipo de diferença" dataDxfId="1" totalsRowDxfId="0" dataCellStyle="Moeda">
      <calculatedColumnFormula>IF(ABS(Tabela1[[#This Row],[Dif. Insumo e OS]])&lt;=0.02,"ok ou um centavo","verificar")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72"/>
  <sheetViews>
    <sheetView tabSelected="1" topLeftCell="A2" workbookViewId="0">
      <selection activeCell="C71" sqref="C71"/>
    </sheetView>
  </sheetViews>
  <sheetFormatPr defaultRowHeight="15" x14ac:dyDescent="0.25"/>
  <cols>
    <col min="1" max="1" width="18.7109375" customWidth="1"/>
    <col min="2" max="2" width="17.5703125" customWidth="1"/>
    <col min="3" max="3" width="19.5703125" customWidth="1"/>
    <col min="4" max="4" width="19" customWidth="1"/>
    <col min="5" max="5" width="15.7109375" customWidth="1"/>
    <col min="6" max="6" width="22.140625" customWidth="1"/>
    <col min="7" max="7" width="22" customWidth="1"/>
    <col min="8" max="8" width="21.42578125" customWidth="1"/>
    <col min="9" max="9" width="14.140625" bestFit="1" customWidth="1"/>
    <col min="10" max="10" width="18" bestFit="1" customWidth="1"/>
    <col min="11" max="11" width="18.5703125" bestFit="1" customWidth="1"/>
  </cols>
  <sheetData>
    <row r="2" spans="1:1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829</v>
      </c>
      <c r="J2" s="3" t="s">
        <v>830</v>
      </c>
      <c r="K2" s="3" t="s">
        <v>831</v>
      </c>
    </row>
    <row r="3" spans="1:11" hidden="1" x14ac:dyDescent="0.25">
      <c r="A3" s="3" t="s">
        <v>8</v>
      </c>
      <c r="B3" s="3" t="s">
        <v>9</v>
      </c>
      <c r="C3" s="4">
        <v>133.01</v>
      </c>
      <c r="D3" s="4">
        <v>133</v>
      </c>
      <c r="E3" s="4">
        <v>0</v>
      </c>
      <c r="F3" s="4">
        <v>0</v>
      </c>
      <c r="G3" s="4">
        <v>0</v>
      </c>
      <c r="H3" s="4">
        <v>0</v>
      </c>
      <c r="I3" s="4">
        <f>SUM(Tabela1[[#This Row],[Mão-de-obra (custo médio)]:[Materiais de troca (custo médio)]])</f>
        <v>133</v>
      </c>
      <c r="J3" s="4">
        <f>Tabela1[[#This Row],[Custos da os]]-Tabela1[[#This Row],[Custo dos insumos]]</f>
        <v>-9.9999999999909051E-3</v>
      </c>
      <c r="K3" s="4" t="str">
        <f>IF(ABS(Tabela1[[#This Row],[Dif. Insumo e OS]])&lt;=0.02,"ok ou um centavo","verificar")</f>
        <v>ok ou um centavo</v>
      </c>
    </row>
    <row r="4" spans="1:11" hidden="1" x14ac:dyDescent="0.25">
      <c r="A4" s="3" t="s">
        <v>8</v>
      </c>
      <c r="B4" s="3" t="s">
        <v>10</v>
      </c>
      <c r="C4" s="4">
        <v>137.16</v>
      </c>
      <c r="D4" s="4">
        <v>137.15</v>
      </c>
      <c r="E4" s="4">
        <v>0</v>
      </c>
      <c r="F4" s="4">
        <v>0</v>
      </c>
      <c r="G4" s="4">
        <v>0</v>
      </c>
      <c r="H4" s="4">
        <v>0</v>
      </c>
      <c r="I4" s="4">
        <f>SUM(Tabela1[[#This Row],[Mão-de-obra (custo médio)]:[Materiais de troca (custo médio)]])</f>
        <v>137.15</v>
      </c>
      <c r="J4" s="4">
        <f>Tabela1[[#This Row],[Custos da os]]-Tabela1[[#This Row],[Custo dos insumos]]</f>
        <v>-9.9999999999909051E-3</v>
      </c>
      <c r="K4" s="4" t="str">
        <f>IF(ABS(Tabela1[[#This Row],[Dif. Insumo e OS]])&lt;=0.02,"ok ou um centavo","verificar")</f>
        <v>ok ou um centavo</v>
      </c>
    </row>
    <row r="5" spans="1:11" hidden="1" x14ac:dyDescent="0.25">
      <c r="A5" s="3" t="s">
        <v>8</v>
      </c>
      <c r="B5" s="3" t="s">
        <v>11</v>
      </c>
      <c r="C5" s="4">
        <v>99.14</v>
      </c>
      <c r="D5" s="4">
        <v>99.14</v>
      </c>
      <c r="E5" s="4">
        <v>0</v>
      </c>
      <c r="F5" s="4">
        <v>0</v>
      </c>
      <c r="G5" s="4">
        <v>0</v>
      </c>
      <c r="H5" s="4">
        <v>0</v>
      </c>
      <c r="I5" s="4">
        <f>SUM(Tabela1[[#This Row],[Mão-de-obra (custo médio)]:[Materiais de troca (custo médio)]])</f>
        <v>99.14</v>
      </c>
      <c r="J5" s="4">
        <f>Tabela1[[#This Row],[Custos da os]]-Tabela1[[#This Row],[Custo dos insumos]]</f>
        <v>0</v>
      </c>
      <c r="K5" s="4" t="str">
        <f>IF(ABS(Tabela1[[#This Row],[Dif. Insumo e OS]])&lt;=0.02,"ok ou um centavo","verificar")</f>
        <v>ok ou um centavo</v>
      </c>
    </row>
    <row r="6" spans="1:11" hidden="1" x14ac:dyDescent="0.25">
      <c r="A6" s="3" t="s">
        <v>8</v>
      </c>
      <c r="B6" s="3" t="s">
        <v>12</v>
      </c>
      <c r="C6" s="4">
        <v>0.49</v>
      </c>
      <c r="D6" s="4">
        <v>0.49</v>
      </c>
      <c r="E6" s="4">
        <v>0</v>
      </c>
      <c r="F6" s="4">
        <v>0</v>
      </c>
      <c r="G6" s="4">
        <v>0</v>
      </c>
      <c r="H6" s="4">
        <v>0</v>
      </c>
      <c r="I6" s="4">
        <f>SUM(Tabela1[[#This Row],[Mão-de-obra (custo médio)]:[Materiais de troca (custo médio)]])</f>
        <v>0.49</v>
      </c>
      <c r="J6" s="4">
        <f>Tabela1[[#This Row],[Custos da os]]-Tabela1[[#This Row],[Custo dos insumos]]</f>
        <v>0</v>
      </c>
      <c r="K6" s="4" t="str">
        <f>IF(ABS(Tabela1[[#This Row],[Dif. Insumo e OS]])&lt;=0.02,"ok ou um centavo","verificar")</f>
        <v>ok ou um centavo</v>
      </c>
    </row>
    <row r="7" spans="1:11" hidden="1" x14ac:dyDescent="0.25">
      <c r="A7" s="3" t="s">
        <v>8</v>
      </c>
      <c r="B7" s="3" t="s">
        <v>13</v>
      </c>
      <c r="C7" s="4">
        <v>293.97000000000003</v>
      </c>
      <c r="D7" s="4">
        <v>53.48</v>
      </c>
      <c r="E7" s="4">
        <v>0</v>
      </c>
      <c r="F7" s="4">
        <v>0</v>
      </c>
      <c r="G7" s="4">
        <v>0</v>
      </c>
      <c r="H7" s="4">
        <v>240.49</v>
      </c>
      <c r="I7" s="4">
        <f>SUM(Tabela1[[#This Row],[Mão-de-obra (custo médio)]:[Materiais de troca (custo médio)]])</f>
        <v>293.97000000000003</v>
      </c>
      <c r="J7" s="4">
        <f>Tabela1[[#This Row],[Custos da os]]-Tabela1[[#This Row],[Custo dos insumos]]</f>
        <v>0</v>
      </c>
      <c r="K7" s="4" t="str">
        <f>IF(ABS(Tabela1[[#This Row],[Dif. Insumo e OS]])&lt;=0.02,"ok ou um centavo","verificar")</f>
        <v>ok ou um centavo</v>
      </c>
    </row>
    <row r="8" spans="1:11" x14ac:dyDescent="0.25">
      <c r="A8" s="1" t="s">
        <v>537</v>
      </c>
      <c r="B8" s="1" t="s">
        <v>538</v>
      </c>
      <c r="C8" s="2">
        <v>8479.17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f>SUM(Tabela1[[#This Row],[Mão-de-obra (custo médio)]:[Materiais de troca (custo médio)]])</f>
        <v>0</v>
      </c>
      <c r="J8" s="2">
        <f>Tabela1[[#This Row],[Custos da os]]-Tabela1[[#This Row],[Custo dos insumos]]</f>
        <v>-8479.17</v>
      </c>
      <c r="K8" s="2" t="str">
        <f>IF(ABS(Tabela1[[#This Row],[Dif. Insumo e OS]])&lt;=0.02,"ok ou um centavo","verificar")</f>
        <v>verificar</v>
      </c>
    </row>
    <row r="9" spans="1:11" hidden="1" x14ac:dyDescent="0.25">
      <c r="A9" s="3" t="s">
        <v>15</v>
      </c>
      <c r="B9" s="3" t="s">
        <v>16</v>
      </c>
      <c r="C9" s="4">
        <v>329.49</v>
      </c>
      <c r="D9" s="4">
        <v>0.22</v>
      </c>
      <c r="E9" s="4">
        <v>0</v>
      </c>
      <c r="F9" s="4">
        <v>0</v>
      </c>
      <c r="G9" s="4">
        <v>0</v>
      </c>
      <c r="H9" s="4">
        <v>329.27</v>
      </c>
      <c r="I9" s="4">
        <f>SUM(Tabela1[[#This Row],[Mão-de-obra (custo médio)]:[Materiais de troca (custo médio)]])</f>
        <v>329.49</v>
      </c>
      <c r="J9" s="4">
        <f>Tabela1[[#This Row],[Custos da os]]-Tabela1[[#This Row],[Custo dos insumos]]</f>
        <v>0</v>
      </c>
      <c r="K9" s="4" t="str">
        <f>IF(ABS(Tabela1[[#This Row],[Dif. Insumo e OS]])&lt;=0.02,"ok ou um centavo","verificar")</f>
        <v>ok ou um centavo</v>
      </c>
    </row>
    <row r="10" spans="1:11" hidden="1" x14ac:dyDescent="0.25">
      <c r="A10" s="3" t="s">
        <v>15</v>
      </c>
      <c r="B10" s="3" t="s">
        <v>17</v>
      </c>
      <c r="C10" s="4">
        <v>391.12</v>
      </c>
      <c r="D10" s="4">
        <v>391.12</v>
      </c>
      <c r="E10" s="4">
        <v>0</v>
      </c>
      <c r="F10" s="4">
        <v>0</v>
      </c>
      <c r="G10" s="4">
        <v>0</v>
      </c>
      <c r="H10" s="4">
        <v>0</v>
      </c>
      <c r="I10" s="4">
        <f>SUM(Tabela1[[#This Row],[Mão-de-obra (custo médio)]:[Materiais de troca (custo médio)]])</f>
        <v>391.12</v>
      </c>
      <c r="J10" s="4">
        <f>Tabela1[[#This Row],[Custos da os]]-Tabela1[[#This Row],[Custo dos insumos]]</f>
        <v>0</v>
      </c>
      <c r="K10" s="4" t="str">
        <f>IF(ABS(Tabela1[[#This Row],[Dif. Insumo e OS]])&lt;=0.02,"ok ou um centavo","verificar")</f>
        <v>ok ou um centavo</v>
      </c>
    </row>
    <row r="11" spans="1:11" hidden="1" x14ac:dyDescent="0.25">
      <c r="A11" s="3" t="s">
        <v>15</v>
      </c>
      <c r="B11" s="3" t="s">
        <v>18</v>
      </c>
      <c r="C11" s="4">
        <v>53.2</v>
      </c>
      <c r="D11" s="4">
        <v>53.2</v>
      </c>
      <c r="E11" s="4">
        <v>0</v>
      </c>
      <c r="F11" s="4">
        <v>0</v>
      </c>
      <c r="G11" s="4">
        <v>0</v>
      </c>
      <c r="H11" s="4">
        <v>0</v>
      </c>
      <c r="I11" s="4">
        <f>SUM(Tabela1[[#This Row],[Mão-de-obra (custo médio)]:[Materiais de troca (custo médio)]])</f>
        <v>53.2</v>
      </c>
      <c r="J11" s="4">
        <f>Tabela1[[#This Row],[Custos da os]]-Tabela1[[#This Row],[Custo dos insumos]]</f>
        <v>0</v>
      </c>
      <c r="K11" s="4" t="str">
        <f>IF(ABS(Tabela1[[#This Row],[Dif. Insumo e OS]])&lt;=0.02,"ok ou um centavo","verificar")</f>
        <v>ok ou um centavo</v>
      </c>
    </row>
    <row r="12" spans="1:11" hidden="1" x14ac:dyDescent="0.25">
      <c r="A12" s="3" t="s">
        <v>15</v>
      </c>
      <c r="B12" s="3" t="s">
        <v>19</v>
      </c>
      <c r="C12" s="4">
        <v>126.18</v>
      </c>
      <c r="D12" s="4">
        <v>126.18</v>
      </c>
      <c r="E12" s="4">
        <v>0</v>
      </c>
      <c r="F12" s="4">
        <v>0</v>
      </c>
      <c r="G12" s="4">
        <v>0</v>
      </c>
      <c r="H12" s="4">
        <v>0</v>
      </c>
      <c r="I12" s="4">
        <f>SUM(Tabela1[[#This Row],[Mão-de-obra (custo médio)]:[Materiais de troca (custo médio)]])</f>
        <v>126.18</v>
      </c>
      <c r="J12" s="4">
        <f>Tabela1[[#This Row],[Custos da os]]-Tabela1[[#This Row],[Custo dos insumos]]</f>
        <v>0</v>
      </c>
      <c r="K12" s="4" t="str">
        <f>IF(ABS(Tabela1[[#This Row],[Dif. Insumo e OS]])&lt;=0.02,"ok ou um centavo","verificar")</f>
        <v>ok ou um centavo</v>
      </c>
    </row>
    <row r="13" spans="1:11" hidden="1" x14ac:dyDescent="0.25">
      <c r="A13" s="3" t="s">
        <v>15</v>
      </c>
      <c r="B13" s="3" t="s">
        <v>20</v>
      </c>
      <c r="C13" s="4">
        <v>64.31</v>
      </c>
      <c r="D13" s="4">
        <v>30.41</v>
      </c>
      <c r="E13" s="4">
        <v>0</v>
      </c>
      <c r="F13" s="4">
        <v>0</v>
      </c>
      <c r="G13" s="4">
        <v>0</v>
      </c>
      <c r="H13" s="4">
        <v>33.9</v>
      </c>
      <c r="I13" s="4">
        <f>SUM(Tabela1[[#This Row],[Mão-de-obra (custo médio)]:[Materiais de troca (custo médio)]])</f>
        <v>64.31</v>
      </c>
      <c r="J13" s="4">
        <f>Tabela1[[#This Row],[Custos da os]]-Tabela1[[#This Row],[Custo dos insumos]]</f>
        <v>0</v>
      </c>
      <c r="K13" s="4" t="str">
        <f>IF(ABS(Tabela1[[#This Row],[Dif. Insumo e OS]])&lt;=0.02,"ok ou um centavo","verificar")</f>
        <v>ok ou um centavo</v>
      </c>
    </row>
    <row r="14" spans="1:11" hidden="1" x14ac:dyDescent="0.25">
      <c r="A14" s="3" t="s">
        <v>15</v>
      </c>
      <c r="B14" s="3" t="s">
        <v>21</v>
      </c>
      <c r="C14" s="4">
        <v>2965.32</v>
      </c>
      <c r="D14" s="4">
        <v>0.55000000000000004</v>
      </c>
      <c r="E14" s="4">
        <v>0</v>
      </c>
      <c r="F14" s="4">
        <v>0</v>
      </c>
      <c r="G14" s="4">
        <v>0</v>
      </c>
      <c r="H14" s="4">
        <v>2964.78</v>
      </c>
      <c r="I14" s="4">
        <f>SUM(Tabela1[[#This Row],[Mão-de-obra (custo médio)]:[Materiais de troca (custo médio)]])</f>
        <v>2965.3300000000004</v>
      </c>
      <c r="J14" s="4">
        <f>Tabela1[[#This Row],[Custos da os]]-Tabela1[[#This Row],[Custo dos insumos]]</f>
        <v>1.0000000000218279E-2</v>
      </c>
      <c r="K14" s="4" t="str">
        <f>IF(ABS(Tabela1[[#This Row],[Dif. Insumo e OS]])&lt;=0.02,"ok ou um centavo","verificar")</f>
        <v>ok ou um centavo</v>
      </c>
    </row>
    <row r="15" spans="1:11" hidden="1" x14ac:dyDescent="0.25">
      <c r="A15" s="3" t="s">
        <v>15</v>
      </c>
      <c r="B15" s="3" t="s">
        <v>22</v>
      </c>
      <c r="C15" s="4">
        <v>0.22</v>
      </c>
      <c r="D15" s="4">
        <v>0.22</v>
      </c>
      <c r="E15" s="4">
        <v>0</v>
      </c>
      <c r="F15" s="4">
        <v>0</v>
      </c>
      <c r="G15" s="4">
        <v>0</v>
      </c>
      <c r="H15" s="4">
        <v>0</v>
      </c>
      <c r="I15" s="4">
        <f>SUM(Tabela1[[#This Row],[Mão-de-obra (custo médio)]:[Materiais de troca (custo médio)]])</f>
        <v>0.22</v>
      </c>
      <c r="J15" s="4">
        <f>Tabela1[[#This Row],[Custos da os]]-Tabela1[[#This Row],[Custo dos insumos]]</f>
        <v>0</v>
      </c>
      <c r="K15" s="4" t="str">
        <f>IF(ABS(Tabela1[[#This Row],[Dif. Insumo e OS]])&lt;=0.02,"ok ou um centavo","verificar")</f>
        <v>ok ou um centavo</v>
      </c>
    </row>
    <row r="16" spans="1:11" x14ac:dyDescent="0.25">
      <c r="A16" s="1" t="s">
        <v>742</v>
      </c>
      <c r="B16" s="1" t="s">
        <v>746</v>
      </c>
      <c r="C16" s="2">
        <v>2173.6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f>SUM(Tabela1[[#This Row],[Mão-de-obra (custo médio)]:[Materiais de troca (custo médio)]])</f>
        <v>0</v>
      </c>
      <c r="J16" s="2">
        <f>Tabela1[[#This Row],[Custos da os]]-Tabela1[[#This Row],[Custo dos insumos]]</f>
        <v>-2173.6</v>
      </c>
      <c r="K16" s="2" t="str">
        <f>IF(ABS(Tabela1[[#This Row],[Dif. Insumo e OS]])&lt;=0.02,"ok ou um centavo","verificar")</f>
        <v>verificar</v>
      </c>
    </row>
    <row r="17" spans="1:11" hidden="1" x14ac:dyDescent="0.25">
      <c r="A17" s="3" t="s">
        <v>15</v>
      </c>
      <c r="B17" s="3" t="s">
        <v>24</v>
      </c>
      <c r="C17" s="4">
        <v>98.02</v>
      </c>
      <c r="D17" s="4">
        <v>66.39</v>
      </c>
      <c r="E17" s="4">
        <v>0</v>
      </c>
      <c r="F17" s="4">
        <v>0</v>
      </c>
      <c r="G17" s="4">
        <v>31.63</v>
      </c>
      <c r="H17" s="4">
        <v>0</v>
      </c>
      <c r="I17" s="4">
        <f>SUM(Tabela1[[#This Row],[Mão-de-obra (custo médio)]:[Materiais de troca (custo médio)]])</f>
        <v>98.02</v>
      </c>
      <c r="J17" s="4">
        <f>Tabela1[[#This Row],[Custos da os]]-Tabela1[[#This Row],[Custo dos insumos]]</f>
        <v>0</v>
      </c>
      <c r="K17" s="4" t="str">
        <f>IF(ABS(Tabela1[[#This Row],[Dif. Insumo e OS]])&lt;=0.02,"ok ou um centavo","verificar")</f>
        <v>ok ou um centavo</v>
      </c>
    </row>
    <row r="18" spans="1:11" hidden="1" x14ac:dyDescent="0.25">
      <c r="A18" s="3" t="s">
        <v>15</v>
      </c>
      <c r="B18" s="3" t="s">
        <v>25</v>
      </c>
      <c r="C18" s="4">
        <v>0.11</v>
      </c>
      <c r="D18" s="4">
        <v>0.11</v>
      </c>
      <c r="E18" s="4">
        <v>0</v>
      </c>
      <c r="F18" s="4">
        <v>0</v>
      </c>
      <c r="G18" s="4">
        <v>0</v>
      </c>
      <c r="H18" s="4">
        <v>0</v>
      </c>
      <c r="I18" s="4">
        <f>SUM(Tabela1[[#This Row],[Mão-de-obra (custo médio)]:[Materiais de troca (custo médio)]])</f>
        <v>0.11</v>
      </c>
      <c r="J18" s="4">
        <f>Tabela1[[#This Row],[Custos da os]]-Tabela1[[#This Row],[Custo dos insumos]]</f>
        <v>0</v>
      </c>
      <c r="K18" s="4" t="str">
        <f>IF(ABS(Tabela1[[#This Row],[Dif. Insumo e OS]])&lt;=0.02,"ok ou um centavo","verificar")</f>
        <v>ok ou um centavo</v>
      </c>
    </row>
    <row r="19" spans="1:11" hidden="1" x14ac:dyDescent="0.25">
      <c r="A19" s="3" t="s">
        <v>26</v>
      </c>
      <c r="B19" s="3" t="s">
        <v>27</v>
      </c>
      <c r="C19" s="4">
        <v>483.12</v>
      </c>
      <c r="D19" s="4">
        <v>483.12</v>
      </c>
      <c r="E19" s="4">
        <v>0</v>
      </c>
      <c r="F19" s="4">
        <v>0</v>
      </c>
      <c r="G19" s="4">
        <v>0</v>
      </c>
      <c r="H19" s="4">
        <v>0</v>
      </c>
      <c r="I19" s="4">
        <f>SUM(Tabela1[[#This Row],[Mão-de-obra (custo médio)]:[Materiais de troca (custo médio)]])</f>
        <v>483.12</v>
      </c>
      <c r="J19" s="4">
        <f>Tabela1[[#This Row],[Custos da os]]-Tabela1[[#This Row],[Custo dos insumos]]</f>
        <v>0</v>
      </c>
      <c r="K19" s="4" t="str">
        <f>IF(ABS(Tabela1[[#This Row],[Dif. Insumo e OS]])&lt;=0.02,"ok ou um centavo","verificar")</f>
        <v>ok ou um centavo</v>
      </c>
    </row>
    <row r="20" spans="1:11" x14ac:dyDescent="0.25">
      <c r="A20" s="1" t="s">
        <v>72</v>
      </c>
      <c r="B20" s="1" t="s">
        <v>84</v>
      </c>
      <c r="C20" s="2">
        <v>1342.13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f>SUM(Tabela1[[#This Row],[Mão-de-obra (custo médio)]:[Materiais de troca (custo médio)]])</f>
        <v>0</v>
      </c>
      <c r="J20" s="2">
        <f>Tabela1[[#This Row],[Custos da os]]-Tabela1[[#This Row],[Custo dos insumos]]</f>
        <v>-1342.13</v>
      </c>
      <c r="K20" s="2" t="str">
        <f>IF(ABS(Tabela1[[#This Row],[Dif. Insumo e OS]])&lt;=0.02,"ok ou um centavo","verificar")</f>
        <v>verificar</v>
      </c>
    </row>
    <row r="21" spans="1:11" x14ac:dyDescent="0.25">
      <c r="A21" s="1" t="s">
        <v>42</v>
      </c>
      <c r="B21" s="1" t="s">
        <v>52</v>
      </c>
      <c r="C21" s="2">
        <v>750.41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f>SUM(Tabela1[[#This Row],[Mão-de-obra (custo médio)]:[Materiais de troca (custo médio)]])</f>
        <v>0</v>
      </c>
      <c r="J21" s="2">
        <f>Tabela1[[#This Row],[Custos da os]]-Tabela1[[#This Row],[Custo dos insumos]]</f>
        <v>-750.41</v>
      </c>
      <c r="K21" s="2" t="str">
        <f>IF(ABS(Tabela1[[#This Row],[Dif. Insumo e OS]])&lt;=0.02,"ok ou um centavo","verificar")</f>
        <v>verificar</v>
      </c>
    </row>
    <row r="22" spans="1:11" x14ac:dyDescent="0.25">
      <c r="A22" s="1" t="s">
        <v>752</v>
      </c>
      <c r="B22" s="1" t="s">
        <v>759</v>
      </c>
      <c r="C22" s="2">
        <v>706.54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f>SUM(Tabela1[[#This Row],[Mão-de-obra (custo médio)]:[Materiais de troca (custo médio)]])</f>
        <v>0</v>
      </c>
      <c r="J22" s="2">
        <f>Tabela1[[#This Row],[Custos da os]]-Tabela1[[#This Row],[Custo dos insumos]]</f>
        <v>-706.54</v>
      </c>
      <c r="K22" s="2" t="str">
        <f>IF(ABS(Tabela1[[#This Row],[Dif. Insumo e OS]])&lt;=0.02,"ok ou um centavo","verificar")</f>
        <v>verificar</v>
      </c>
    </row>
    <row r="23" spans="1:11" hidden="1" x14ac:dyDescent="0.25">
      <c r="A23" s="3" t="s">
        <v>28</v>
      </c>
      <c r="B23" s="3" t="s">
        <v>32</v>
      </c>
      <c r="C23" s="4">
        <v>780.45</v>
      </c>
      <c r="D23" s="4">
        <v>0</v>
      </c>
      <c r="E23" s="4">
        <v>780.45</v>
      </c>
      <c r="F23" s="4">
        <v>0</v>
      </c>
      <c r="G23" s="4">
        <v>0</v>
      </c>
      <c r="H23" s="4">
        <v>0</v>
      </c>
      <c r="I23" s="4">
        <f>SUM(Tabela1[[#This Row],[Mão-de-obra (custo médio)]:[Materiais de troca (custo médio)]])</f>
        <v>780.45</v>
      </c>
      <c r="J23" s="4">
        <f>Tabela1[[#This Row],[Custos da os]]-Tabela1[[#This Row],[Custo dos insumos]]</f>
        <v>0</v>
      </c>
      <c r="K23" s="4" t="str">
        <f>IF(ABS(Tabela1[[#This Row],[Dif. Insumo e OS]])&lt;=0.02,"ok ou um centavo","verificar")</f>
        <v>ok ou um centavo</v>
      </c>
    </row>
    <row r="24" spans="1:11" x14ac:dyDescent="0.25">
      <c r="A24" s="1" t="s">
        <v>118</v>
      </c>
      <c r="B24" s="1" t="s">
        <v>120</v>
      </c>
      <c r="C24" s="2">
        <v>10958.57</v>
      </c>
      <c r="D24" s="2">
        <v>0</v>
      </c>
      <c r="E24" s="2">
        <v>0</v>
      </c>
      <c r="F24" s="2">
        <v>0</v>
      </c>
      <c r="G24" s="2">
        <v>5647.79</v>
      </c>
      <c r="H24" s="2">
        <v>4919.72</v>
      </c>
      <c r="I24" s="2">
        <f>SUM(Tabela1[[#This Row],[Mão-de-obra (custo médio)]:[Materiais de troca (custo médio)]])</f>
        <v>10567.51</v>
      </c>
      <c r="J24" s="2">
        <f>Tabela1[[#This Row],[Custos da os]]-Tabela1[[#This Row],[Custo dos insumos]]</f>
        <v>-391.05999999999949</v>
      </c>
      <c r="K24" s="2" t="str">
        <f>IF(ABS(Tabela1[[#This Row],[Dif. Insumo e OS]])&lt;=0.02,"ok ou um centavo","verificar")</f>
        <v>verificar</v>
      </c>
    </row>
    <row r="25" spans="1:11" x14ac:dyDescent="0.25">
      <c r="A25" s="1" t="s">
        <v>422</v>
      </c>
      <c r="B25" s="1" t="s">
        <v>427</v>
      </c>
      <c r="C25" s="2">
        <v>282.27999999999997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f>SUM(Tabela1[[#This Row],[Mão-de-obra (custo médio)]:[Materiais de troca (custo médio)]])</f>
        <v>0</v>
      </c>
      <c r="J25" s="2">
        <f>Tabela1[[#This Row],[Custos da os]]-Tabela1[[#This Row],[Custo dos insumos]]</f>
        <v>-282.27999999999997</v>
      </c>
      <c r="K25" s="2" t="str">
        <f>IF(ABS(Tabela1[[#This Row],[Dif. Insumo e OS]])&lt;=0.02,"ok ou um centavo","verificar")</f>
        <v>verificar</v>
      </c>
    </row>
    <row r="26" spans="1:11" hidden="1" x14ac:dyDescent="0.25">
      <c r="A26" s="3" t="s">
        <v>34</v>
      </c>
      <c r="B26" s="3" t="s">
        <v>36</v>
      </c>
      <c r="C26" s="4">
        <v>102.31</v>
      </c>
      <c r="D26" s="4">
        <v>53.89</v>
      </c>
      <c r="E26" s="4">
        <v>0</v>
      </c>
      <c r="F26" s="4">
        <v>0</v>
      </c>
      <c r="G26" s="4">
        <v>0</v>
      </c>
      <c r="H26" s="4">
        <v>48.42</v>
      </c>
      <c r="I26" s="4">
        <f>SUM(Tabela1[[#This Row],[Mão-de-obra (custo médio)]:[Materiais de troca (custo médio)]])</f>
        <v>102.31</v>
      </c>
      <c r="J26" s="4">
        <f>Tabela1[[#This Row],[Custos da os]]-Tabela1[[#This Row],[Custo dos insumos]]</f>
        <v>0</v>
      </c>
      <c r="K26" s="4" t="str">
        <f>IF(ABS(Tabela1[[#This Row],[Dif. Insumo e OS]])&lt;=0.02,"ok ou um centavo","verificar")</f>
        <v>ok ou um centavo</v>
      </c>
    </row>
    <row r="27" spans="1:11" hidden="1" x14ac:dyDescent="0.25">
      <c r="A27" s="3" t="s">
        <v>34</v>
      </c>
      <c r="B27" s="3" t="s">
        <v>37</v>
      </c>
      <c r="C27" s="4">
        <v>23.88</v>
      </c>
      <c r="D27" s="4">
        <v>23.88</v>
      </c>
      <c r="E27" s="4">
        <v>0</v>
      </c>
      <c r="F27" s="4">
        <v>0</v>
      </c>
      <c r="G27" s="4">
        <v>0</v>
      </c>
      <c r="H27" s="4">
        <v>0</v>
      </c>
      <c r="I27" s="4">
        <f>SUM(Tabela1[[#This Row],[Mão-de-obra (custo médio)]:[Materiais de troca (custo médio)]])</f>
        <v>23.88</v>
      </c>
      <c r="J27" s="4">
        <f>Tabela1[[#This Row],[Custos da os]]-Tabela1[[#This Row],[Custo dos insumos]]</f>
        <v>0</v>
      </c>
      <c r="K27" s="4" t="str">
        <f>IF(ABS(Tabela1[[#This Row],[Dif. Insumo e OS]])&lt;=0.02,"ok ou um centavo","verificar")</f>
        <v>ok ou um centavo</v>
      </c>
    </row>
    <row r="28" spans="1:11" hidden="1" x14ac:dyDescent="0.25">
      <c r="A28" s="3" t="s">
        <v>34</v>
      </c>
      <c r="B28" s="3" t="s">
        <v>38</v>
      </c>
      <c r="C28" s="4">
        <v>21.09</v>
      </c>
      <c r="D28" s="4">
        <v>21.08</v>
      </c>
      <c r="E28" s="4">
        <v>0</v>
      </c>
      <c r="F28" s="4">
        <v>0</v>
      </c>
      <c r="G28" s="4">
        <v>0</v>
      </c>
      <c r="H28" s="4">
        <v>0</v>
      </c>
      <c r="I28" s="4">
        <f>SUM(Tabela1[[#This Row],[Mão-de-obra (custo médio)]:[Materiais de troca (custo médio)]])</f>
        <v>21.08</v>
      </c>
      <c r="J28" s="4">
        <f>Tabela1[[#This Row],[Custos da os]]-Tabela1[[#This Row],[Custo dos insumos]]</f>
        <v>-1.0000000000001563E-2</v>
      </c>
      <c r="K28" s="4" t="str">
        <f>IF(ABS(Tabela1[[#This Row],[Dif. Insumo e OS]])&lt;=0.02,"ok ou um centavo","verificar")</f>
        <v>ok ou um centavo</v>
      </c>
    </row>
    <row r="29" spans="1:11" hidden="1" x14ac:dyDescent="0.25">
      <c r="A29" s="3" t="s">
        <v>34</v>
      </c>
      <c r="B29" s="3" t="s">
        <v>39</v>
      </c>
      <c r="C29" s="4">
        <v>1293.58</v>
      </c>
      <c r="D29" s="4">
        <v>0</v>
      </c>
      <c r="E29" s="4">
        <v>0</v>
      </c>
      <c r="F29" s="4">
        <v>0</v>
      </c>
      <c r="G29" s="4">
        <v>0</v>
      </c>
      <c r="H29" s="4">
        <v>1293.58</v>
      </c>
      <c r="I29" s="4">
        <f>SUM(Tabela1[[#This Row],[Mão-de-obra (custo médio)]:[Materiais de troca (custo médio)]])</f>
        <v>1293.58</v>
      </c>
      <c r="J29" s="4">
        <f>Tabela1[[#This Row],[Custos da os]]-Tabela1[[#This Row],[Custo dos insumos]]</f>
        <v>0</v>
      </c>
      <c r="K29" s="4" t="str">
        <f>IF(ABS(Tabela1[[#This Row],[Dif. Insumo e OS]])&lt;=0.02,"ok ou um centavo","verificar")</f>
        <v>ok ou um centavo</v>
      </c>
    </row>
    <row r="30" spans="1:11" hidden="1" x14ac:dyDescent="0.25">
      <c r="A30" s="3" t="s">
        <v>34</v>
      </c>
      <c r="B30" s="3" t="s">
        <v>40</v>
      </c>
      <c r="C30" s="4">
        <v>14.73</v>
      </c>
      <c r="D30" s="4">
        <v>14.73</v>
      </c>
      <c r="E30" s="4">
        <v>0</v>
      </c>
      <c r="F30" s="4">
        <v>0</v>
      </c>
      <c r="G30" s="4">
        <v>0</v>
      </c>
      <c r="H30" s="4">
        <v>0</v>
      </c>
      <c r="I30" s="4">
        <f>SUM(Tabela1[[#This Row],[Mão-de-obra (custo médio)]:[Materiais de troca (custo médio)]])</f>
        <v>14.73</v>
      </c>
      <c r="J30" s="4">
        <f>Tabela1[[#This Row],[Custos da os]]-Tabela1[[#This Row],[Custo dos insumos]]</f>
        <v>0</v>
      </c>
      <c r="K30" s="4" t="str">
        <f>IF(ABS(Tabela1[[#This Row],[Dif. Insumo e OS]])&lt;=0.02,"ok ou um centavo","verificar")</f>
        <v>ok ou um centavo</v>
      </c>
    </row>
    <row r="31" spans="1:11" hidden="1" x14ac:dyDescent="0.25">
      <c r="A31" s="3" t="s">
        <v>34</v>
      </c>
      <c r="B31" s="3" t="s">
        <v>41</v>
      </c>
      <c r="C31" s="4">
        <v>533.54999999999995</v>
      </c>
      <c r="D31" s="4">
        <v>497.58</v>
      </c>
      <c r="E31" s="4">
        <v>0</v>
      </c>
      <c r="F31" s="4">
        <v>0</v>
      </c>
      <c r="G31" s="4">
        <v>0</v>
      </c>
      <c r="H31" s="4">
        <v>35.97</v>
      </c>
      <c r="I31" s="4">
        <f>SUM(Tabela1[[#This Row],[Mão-de-obra (custo médio)]:[Materiais de troca (custo médio)]])</f>
        <v>533.54999999999995</v>
      </c>
      <c r="J31" s="4">
        <f>Tabela1[[#This Row],[Custos da os]]-Tabela1[[#This Row],[Custo dos insumos]]</f>
        <v>0</v>
      </c>
      <c r="K31" s="4" t="str">
        <f>IF(ABS(Tabela1[[#This Row],[Dif. Insumo e OS]])&lt;=0.02,"ok ou um centavo","verificar")</f>
        <v>ok ou um centavo</v>
      </c>
    </row>
    <row r="32" spans="1:11" hidden="1" x14ac:dyDescent="0.25">
      <c r="A32" s="3" t="s">
        <v>42</v>
      </c>
      <c r="B32" s="3" t="s">
        <v>43</v>
      </c>
      <c r="C32" s="4">
        <v>42.16</v>
      </c>
      <c r="D32" s="4">
        <v>42.16</v>
      </c>
      <c r="E32" s="4">
        <v>0</v>
      </c>
      <c r="F32" s="4">
        <v>0</v>
      </c>
      <c r="G32" s="4">
        <v>0</v>
      </c>
      <c r="H32" s="4">
        <v>0</v>
      </c>
      <c r="I32" s="4">
        <f>SUM(Tabela1[[#This Row],[Mão-de-obra (custo médio)]:[Materiais de troca (custo médio)]])</f>
        <v>42.16</v>
      </c>
      <c r="J32" s="4">
        <f>Tabela1[[#This Row],[Custos da os]]-Tabela1[[#This Row],[Custo dos insumos]]</f>
        <v>0</v>
      </c>
      <c r="K32" s="4" t="str">
        <f>IF(ABS(Tabela1[[#This Row],[Dif. Insumo e OS]])&lt;=0.02,"ok ou um centavo","verificar")</f>
        <v>ok ou um centavo</v>
      </c>
    </row>
    <row r="33" spans="1:11" hidden="1" x14ac:dyDescent="0.25">
      <c r="A33" s="3" t="s">
        <v>42</v>
      </c>
      <c r="B33" s="3" t="s">
        <v>44</v>
      </c>
      <c r="C33" s="4">
        <v>165.64</v>
      </c>
      <c r="D33" s="4">
        <v>78.739999999999995</v>
      </c>
      <c r="E33" s="4">
        <v>0</v>
      </c>
      <c r="F33" s="4">
        <v>0</v>
      </c>
      <c r="G33" s="4">
        <v>0</v>
      </c>
      <c r="H33" s="4">
        <v>86.9</v>
      </c>
      <c r="I33" s="4">
        <f>SUM(Tabela1[[#This Row],[Mão-de-obra (custo médio)]:[Materiais de troca (custo médio)]])</f>
        <v>165.64</v>
      </c>
      <c r="J33" s="4">
        <f>Tabela1[[#This Row],[Custos da os]]-Tabela1[[#This Row],[Custo dos insumos]]</f>
        <v>0</v>
      </c>
      <c r="K33" s="4" t="str">
        <f>IF(ABS(Tabela1[[#This Row],[Dif. Insumo e OS]])&lt;=0.02,"ok ou um centavo","verificar")</f>
        <v>ok ou um centavo</v>
      </c>
    </row>
    <row r="34" spans="1:11" hidden="1" x14ac:dyDescent="0.25">
      <c r="A34" s="3" t="s">
        <v>42</v>
      </c>
      <c r="B34" s="3" t="s">
        <v>45</v>
      </c>
      <c r="C34" s="4">
        <v>527.88</v>
      </c>
      <c r="D34" s="4">
        <v>0</v>
      </c>
      <c r="E34" s="4">
        <v>0</v>
      </c>
      <c r="F34" s="4">
        <v>7.33</v>
      </c>
      <c r="G34" s="4">
        <v>0</v>
      </c>
      <c r="H34" s="4">
        <v>520.54999999999995</v>
      </c>
      <c r="I34" s="4">
        <f>SUM(Tabela1[[#This Row],[Mão-de-obra (custo médio)]:[Materiais de troca (custo médio)]])</f>
        <v>527.88</v>
      </c>
      <c r="J34" s="4">
        <f>Tabela1[[#This Row],[Custos da os]]-Tabela1[[#This Row],[Custo dos insumos]]</f>
        <v>0</v>
      </c>
      <c r="K34" s="4" t="str">
        <f>IF(ABS(Tabela1[[#This Row],[Dif. Insumo e OS]])&lt;=0.02,"ok ou um centavo","verificar")</f>
        <v>ok ou um centavo</v>
      </c>
    </row>
    <row r="35" spans="1:11" hidden="1" x14ac:dyDescent="0.25">
      <c r="A35" s="3" t="s">
        <v>42</v>
      </c>
      <c r="B35" s="3" t="s">
        <v>46</v>
      </c>
      <c r="C35" s="4">
        <v>147.83000000000001</v>
      </c>
      <c r="D35" s="4">
        <v>36.83</v>
      </c>
      <c r="E35" s="4">
        <v>0</v>
      </c>
      <c r="F35" s="4">
        <v>0</v>
      </c>
      <c r="G35" s="4">
        <v>0</v>
      </c>
      <c r="H35" s="4">
        <v>111</v>
      </c>
      <c r="I35" s="4">
        <f>SUM(Tabela1[[#This Row],[Mão-de-obra (custo médio)]:[Materiais de troca (custo médio)]])</f>
        <v>147.82999999999998</v>
      </c>
      <c r="J35" s="4">
        <f>Tabela1[[#This Row],[Custos da os]]-Tabela1[[#This Row],[Custo dos insumos]]</f>
        <v>0</v>
      </c>
      <c r="K35" s="4" t="str">
        <f>IF(ABS(Tabela1[[#This Row],[Dif. Insumo e OS]])&lt;=0.02,"ok ou um centavo","verificar")</f>
        <v>ok ou um centavo</v>
      </c>
    </row>
    <row r="36" spans="1:11" hidden="1" x14ac:dyDescent="0.25">
      <c r="A36" s="3" t="s">
        <v>42</v>
      </c>
      <c r="B36" s="3" t="s">
        <v>47</v>
      </c>
      <c r="C36" s="4">
        <v>76.36</v>
      </c>
      <c r="D36" s="4">
        <v>76.36</v>
      </c>
      <c r="E36" s="4">
        <v>0</v>
      </c>
      <c r="F36" s="4">
        <v>0</v>
      </c>
      <c r="G36" s="4">
        <v>0</v>
      </c>
      <c r="H36" s="4">
        <v>0</v>
      </c>
      <c r="I36" s="4">
        <f>SUM(Tabela1[[#This Row],[Mão-de-obra (custo médio)]:[Materiais de troca (custo médio)]])</f>
        <v>76.36</v>
      </c>
      <c r="J36" s="4">
        <f>Tabela1[[#This Row],[Custos da os]]-Tabela1[[#This Row],[Custo dos insumos]]</f>
        <v>0</v>
      </c>
      <c r="K36" s="4" t="str">
        <f>IF(ABS(Tabela1[[#This Row],[Dif. Insumo e OS]])&lt;=0.02,"ok ou um centavo","verificar")</f>
        <v>ok ou um centavo</v>
      </c>
    </row>
    <row r="37" spans="1:11" hidden="1" x14ac:dyDescent="0.25">
      <c r="A37" s="3" t="s">
        <v>42</v>
      </c>
      <c r="B37" s="3" t="s">
        <v>48</v>
      </c>
      <c r="C37" s="4">
        <v>710.31</v>
      </c>
      <c r="D37" s="4">
        <v>0.22</v>
      </c>
      <c r="E37" s="4">
        <v>0</v>
      </c>
      <c r="F37" s="4">
        <v>0</v>
      </c>
      <c r="G37" s="4">
        <v>0</v>
      </c>
      <c r="H37" s="4">
        <v>710.09</v>
      </c>
      <c r="I37" s="4">
        <f>SUM(Tabela1[[#This Row],[Mão-de-obra (custo médio)]:[Materiais de troca (custo médio)]])</f>
        <v>710.31000000000006</v>
      </c>
      <c r="J37" s="4">
        <f>Tabela1[[#This Row],[Custos da os]]-Tabela1[[#This Row],[Custo dos insumos]]</f>
        <v>0</v>
      </c>
      <c r="K37" s="4" t="str">
        <f>IF(ABS(Tabela1[[#This Row],[Dif. Insumo e OS]])&lt;=0.02,"ok ou um centavo","verificar")</f>
        <v>ok ou um centavo</v>
      </c>
    </row>
    <row r="38" spans="1:11" hidden="1" x14ac:dyDescent="0.25">
      <c r="A38" s="3" t="s">
        <v>42</v>
      </c>
      <c r="B38" s="3" t="s">
        <v>49</v>
      </c>
      <c r="C38" s="4">
        <v>160.26</v>
      </c>
      <c r="D38" s="4">
        <v>160.26</v>
      </c>
      <c r="E38" s="4">
        <v>0</v>
      </c>
      <c r="F38" s="4">
        <v>0</v>
      </c>
      <c r="G38" s="4">
        <v>0</v>
      </c>
      <c r="H38" s="4">
        <v>0</v>
      </c>
      <c r="I38" s="4">
        <f>SUM(Tabela1[[#This Row],[Mão-de-obra (custo médio)]:[Materiais de troca (custo médio)]])</f>
        <v>160.26</v>
      </c>
      <c r="J38" s="4">
        <f>Tabela1[[#This Row],[Custos da os]]-Tabela1[[#This Row],[Custo dos insumos]]</f>
        <v>0</v>
      </c>
      <c r="K38" s="4" t="str">
        <f>IF(ABS(Tabela1[[#This Row],[Dif. Insumo e OS]])&lt;=0.02,"ok ou um centavo","verificar")</f>
        <v>ok ou um centavo</v>
      </c>
    </row>
    <row r="39" spans="1:11" hidden="1" x14ac:dyDescent="0.25">
      <c r="A39" s="3" t="s">
        <v>42</v>
      </c>
      <c r="B39" s="3" t="s">
        <v>50</v>
      </c>
      <c r="C39" s="4">
        <v>38.700000000000003</v>
      </c>
      <c r="D39" s="4">
        <v>0</v>
      </c>
      <c r="E39" s="4">
        <v>0</v>
      </c>
      <c r="F39" s="4">
        <v>0</v>
      </c>
      <c r="G39" s="4">
        <v>0</v>
      </c>
      <c r="H39" s="4">
        <v>38.700000000000003</v>
      </c>
      <c r="I39" s="4">
        <f>SUM(Tabela1[[#This Row],[Mão-de-obra (custo médio)]:[Materiais de troca (custo médio)]])</f>
        <v>38.700000000000003</v>
      </c>
      <c r="J39" s="4">
        <f>Tabela1[[#This Row],[Custos da os]]-Tabela1[[#This Row],[Custo dos insumos]]</f>
        <v>0</v>
      </c>
      <c r="K39" s="4" t="str">
        <f>IF(ABS(Tabela1[[#This Row],[Dif. Insumo e OS]])&lt;=0.02,"ok ou um centavo","verificar")</f>
        <v>ok ou um centavo</v>
      </c>
    </row>
    <row r="40" spans="1:11" hidden="1" x14ac:dyDescent="0.25">
      <c r="A40" s="3" t="s">
        <v>42</v>
      </c>
      <c r="B40" s="3" t="s">
        <v>51</v>
      </c>
      <c r="C40" s="4">
        <v>40.130000000000003</v>
      </c>
      <c r="D40" s="4">
        <v>40.130000000000003</v>
      </c>
      <c r="E40" s="4">
        <v>0</v>
      </c>
      <c r="F40" s="4">
        <v>0</v>
      </c>
      <c r="G40" s="4">
        <v>0</v>
      </c>
      <c r="H40" s="4">
        <v>0</v>
      </c>
      <c r="I40" s="4">
        <f>SUM(Tabela1[[#This Row],[Mão-de-obra (custo médio)]:[Materiais de troca (custo médio)]])</f>
        <v>40.130000000000003</v>
      </c>
      <c r="J40" s="4">
        <f>Tabela1[[#This Row],[Custos da os]]-Tabela1[[#This Row],[Custo dos insumos]]</f>
        <v>0</v>
      </c>
      <c r="K40" s="4" t="str">
        <f>IF(ABS(Tabela1[[#This Row],[Dif. Insumo e OS]])&lt;=0.02,"ok ou um centavo","verificar")</f>
        <v>ok ou um centavo</v>
      </c>
    </row>
    <row r="41" spans="1:11" x14ac:dyDescent="0.25">
      <c r="A41" s="1" t="s">
        <v>103</v>
      </c>
      <c r="B41" s="1" t="s">
        <v>108</v>
      </c>
      <c r="C41" s="2">
        <v>3732.47</v>
      </c>
      <c r="D41" s="2">
        <v>0</v>
      </c>
      <c r="E41" s="2">
        <v>0</v>
      </c>
      <c r="F41" s="2">
        <v>0</v>
      </c>
      <c r="G41" s="2">
        <v>0</v>
      </c>
      <c r="H41" s="2">
        <v>3561.06</v>
      </c>
      <c r="I41" s="2">
        <f>SUM(Tabela1[[#This Row],[Mão-de-obra (custo médio)]:[Materiais de troca (custo médio)]])</f>
        <v>3561.06</v>
      </c>
      <c r="J41" s="2">
        <f>Tabela1[[#This Row],[Custos da os]]-Tabela1[[#This Row],[Custo dos insumos]]</f>
        <v>-171.40999999999985</v>
      </c>
      <c r="K41" s="2" t="str">
        <f>IF(ABS(Tabela1[[#This Row],[Dif. Insumo e OS]])&lt;=0.02,"ok ou um centavo","verificar")</f>
        <v>verificar</v>
      </c>
    </row>
    <row r="42" spans="1:11" hidden="1" x14ac:dyDescent="0.25">
      <c r="A42" s="3" t="s">
        <v>42</v>
      </c>
      <c r="B42" s="3" t="s">
        <v>53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f>SUM(Tabela1[[#This Row],[Mão-de-obra (custo médio)]:[Materiais de troca (custo médio)]])</f>
        <v>0</v>
      </c>
      <c r="J42" s="4">
        <f>Tabela1[[#This Row],[Custos da os]]-Tabela1[[#This Row],[Custo dos insumos]]</f>
        <v>0</v>
      </c>
      <c r="K42" s="4" t="str">
        <f>IF(ABS(Tabela1[[#This Row],[Dif. Insumo e OS]])&lt;=0.02,"ok ou um centavo","verificar")</f>
        <v>ok ou um centavo</v>
      </c>
    </row>
    <row r="43" spans="1:11" hidden="1" x14ac:dyDescent="0.25">
      <c r="A43" s="3" t="s">
        <v>54</v>
      </c>
      <c r="B43" s="3" t="s">
        <v>55</v>
      </c>
      <c r="C43" s="4">
        <v>2152.9699999999998</v>
      </c>
      <c r="D43" s="4">
        <v>666.78</v>
      </c>
      <c r="E43" s="4">
        <v>0</v>
      </c>
      <c r="F43" s="4">
        <v>0</v>
      </c>
      <c r="G43" s="4">
        <v>0</v>
      </c>
      <c r="H43" s="4">
        <v>1486.18</v>
      </c>
      <c r="I43" s="4">
        <f>SUM(Tabela1[[#This Row],[Mão-de-obra (custo médio)]:[Materiais de troca (custo médio)]])</f>
        <v>2152.96</v>
      </c>
      <c r="J43" s="4">
        <f>Tabela1[[#This Row],[Custos da os]]-Tabela1[[#This Row],[Custo dos insumos]]</f>
        <v>-9.9999999997635314E-3</v>
      </c>
      <c r="K43" s="4" t="str">
        <f>IF(ABS(Tabela1[[#This Row],[Dif. Insumo e OS]])&lt;=0.02,"ok ou um centavo","verificar")</f>
        <v>ok ou um centavo</v>
      </c>
    </row>
    <row r="44" spans="1:11" hidden="1" x14ac:dyDescent="0.25">
      <c r="A44" s="3" t="s">
        <v>54</v>
      </c>
      <c r="B44" s="3" t="s">
        <v>56</v>
      </c>
      <c r="C44" s="4">
        <v>107.78</v>
      </c>
      <c r="D44" s="4">
        <v>107.78</v>
      </c>
      <c r="E44" s="4">
        <v>0</v>
      </c>
      <c r="F44" s="4">
        <v>0</v>
      </c>
      <c r="G44" s="4">
        <v>0</v>
      </c>
      <c r="H44" s="4">
        <v>0</v>
      </c>
      <c r="I44" s="4">
        <f>SUM(Tabela1[[#This Row],[Mão-de-obra (custo médio)]:[Materiais de troca (custo médio)]])</f>
        <v>107.78</v>
      </c>
      <c r="J44" s="4">
        <f>Tabela1[[#This Row],[Custos da os]]-Tabela1[[#This Row],[Custo dos insumos]]</f>
        <v>0</v>
      </c>
      <c r="K44" s="4" t="str">
        <f>IF(ABS(Tabela1[[#This Row],[Dif. Insumo e OS]])&lt;=0.02,"ok ou um centavo","verificar")</f>
        <v>ok ou um centavo</v>
      </c>
    </row>
    <row r="45" spans="1:11" hidden="1" x14ac:dyDescent="0.25">
      <c r="A45" s="3" t="s">
        <v>54</v>
      </c>
      <c r="B45" s="3" t="s">
        <v>57</v>
      </c>
      <c r="C45" s="4">
        <v>12.9</v>
      </c>
      <c r="D45" s="4">
        <v>12.9</v>
      </c>
      <c r="E45" s="4">
        <v>0</v>
      </c>
      <c r="F45" s="4">
        <v>0</v>
      </c>
      <c r="G45" s="4">
        <v>0</v>
      </c>
      <c r="H45" s="4">
        <v>0</v>
      </c>
      <c r="I45" s="4">
        <f>SUM(Tabela1[[#This Row],[Mão-de-obra (custo médio)]:[Materiais de troca (custo médio)]])</f>
        <v>12.9</v>
      </c>
      <c r="J45" s="4">
        <f>Tabela1[[#This Row],[Custos da os]]-Tabela1[[#This Row],[Custo dos insumos]]</f>
        <v>0</v>
      </c>
      <c r="K45" s="4" t="str">
        <f>IF(ABS(Tabela1[[#This Row],[Dif. Insumo e OS]])&lt;=0.02,"ok ou um centavo","verificar")</f>
        <v>ok ou um centavo</v>
      </c>
    </row>
    <row r="46" spans="1:11" hidden="1" x14ac:dyDescent="0.25">
      <c r="A46" s="3" t="s">
        <v>54</v>
      </c>
      <c r="B46" s="3" t="s">
        <v>58</v>
      </c>
      <c r="C46" s="4">
        <v>2017.88</v>
      </c>
      <c r="D46" s="4">
        <v>39</v>
      </c>
      <c r="E46" s="4">
        <v>0</v>
      </c>
      <c r="F46" s="4">
        <v>0</v>
      </c>
      <c r="G46" s="4">
        <v>0</v>
      </c>
      <c r="H46" s="4">
        <v>1978.88</v>
      </c>
      <c r="I46" s="4">
        <f>SUM(Tabela1[[#This Row],[Mão-de-obra (custo médio)]:[Materiais de troca (custo médio)]])</f>
        <v>2017.88</v>
      </c>
      <c r="J46" s="4">
        <f>Tabela1[[#This Row],[Custos da os]]-Tabela1[[#This Row],[Custo dos insumos]]</f>
        <v>0</v>
      </c>
      <c r="K46" s="4" t="str">
        <f>IF(ABS(Tabela1[[#This Row],[Dif. Insumo e OS]])&lt;=0.02,"ok ou um centavo","verificar")</f>
        <v>ok ou um centavo</v>
      </c>
    </row>
    <row r="47" spans="1:11" hidden="1" x14ac:dyDescent="0.25">
      <c r="A47" s="3" t="s">
        <v>54</v>
      </c>
      <c r="B47" s="3" t="s">
        <v>59</v>
      </c>
      <c r="C47" s="4">
        <v>44.78</v>
      </c>
      <c r="D47" s="4">
        <v>0</v>
      </c>
      <c r="E47" s="4">
        <v>0</v>
      </c>
      <c r="F47" s="4">
        <v>0</v>
      </c>
      <c r="G47" s="4">
        <v>0</v>
      </c>
      <c r="H47" s="4">
        <v>44.78</v>
      </c>
      <c r="I47" s="4">
        <f>SUM(Tabela1[[#This Row],[Mão-de-obra (custo médio)]:[Materiais de troca (custo médio)]])</f>
        <v>44.78</v>
      </c>
      <c r="J47" s="4">
        <f>Tabela1[[#This Row],[Custos da os]]-Tabela1[[#This Row],[Custo dos insumos]]</f>
        <v>0</v>
      </c>
      <c r="K47" s="4" t="str">
        <f>IF(ABS(Tabela1[[#This Row],[Dif. Insumo e OS]])&lt;=0.02,"ok ou um centavo","verificar")</f>
        <v>ok ou um centavo</v>
      </c>
    </row>
    <row r="48" spans="1:11" hidden="1" x14ac:dyDescent="0.25">
      <c r="A48" s="3" t="s">
        <v>54</v>
      </c>
      <c r="B48" s="3" t="s">
        <v>60</v>
      </c>
      <c r="C48" s="4">
        <v>0.22</v>
      </c>
      <c r="D48" s="4">
        <v>0.22</v>
      </c>
      <c r="E48" s="4">
        <v>0</v>
      </c>
      <c r="F48" s="4">
        <v>0</v>
      </c>
      <c r="G48" s="4">
        <v>0</v>
      </c>
      <c r="H48" s="4">
        <v>0</v>
      </c>
      <c r="I48" s="4">
        <f>SUM(Tabela1[[#This Row],[Mão-de-obra (custo médio)]:[Materiais de troca (custo médio)]])</f>
        <v>0.22</v>
      </c>
      <c r="J48" s="4">
        <f>Tabela1[[#This Row],[Custos da os]]-Tabela1[[#This Row],[Custo dos insumos]]</f>
        <v>0</v>
      </c>
      <c r="K48" s="4" t="str">
        <f>IF(ABS(Tabela1[[#This Row],[Dif. Insumo e OS]])&lt;=0.02,"ok ou um centavo","verificar")</f>
        <v>ok ou um centavo</v>
      </c>
    </row>
    <row r="49" spans="1:11" hidden="1" x14ac:dyDescent="0.25">
      <c r="A49" s="3" t="s">
        <v>54</v>
      </c>
      <c r="B49" s="3" t="s">
        <v>61</v>
      </c>
      <c r="C49" s="4">
        <v>334.49</v>
      </c>
      <c r="D49" s="4">
        <v>0.22</v>
      </c>
      <c r="E49" s="4">
        <v>0</v>
      </c>
      <c r="F49" s="4">
        <v>0</v>
      </c>
      <c r="G49" s="4">
        <v>0</v>
      </c>
      <c r="H49" s="4">
        <v>334.27</v>
      </c>
      <c r="I49" s="4">
        <f>SUM(Tabela1[[#This Row],[Mão-de-obra (custo médio)]:[Materiais de troca (custo médio)]])</f>
        <v>334.49</v>
      </c>
      <c r="J49" s="4">
        <f>Tabela1[[#This Row],[Custos da os]]-Tabela1[[#This Row],[Custo dos insumos]]</f>
        <v>0</v>
      </c>
      <c r="K49" s="4" t="str">
        <f>IF(ABS(Tabela1[[#This Row],[Dif. Insumo e OS]])&lt;=0.02,"ok ou um centavo","verificar")</f>
        <v>ok ou um centavo</v>
      </c>
    </row>
    <row r="50" spans="1:11" hidden="1" x14ac:dyDescent="0.25">
      <c r="A50" s="3" t="s">
        <v>54</v>
      </c>
      <c r="B50" s="3" t="s">
        <v>62</v>
      </c>
      <c r="C50" s="4">
        <v>0.22</v>
      </c>
      <c r="D50" s="4">
        <v>0.22</v>
      </c>
      <c r="E50" s="4">
        <v>0</v>
      </c>
      <c r="F50" s="4">
        <v>0</v>
      </c>
      <c r="G50" s="4">
        <v>0</v>
      </c>
      <c r="H50" s="4">
        <v>0</v>
      </c>
      <c r="I50" s="4">
        <f>SUM(Tabela1[[#This Row],[Mão-de-obra (custo médio)]:[Materiais de troca (custo médio)]])</f>
        <v>0.22</v>
      </c>
      <c r="J50" s="4">
        <f>Tabela1[[#This Row],[Custos da os]]-Tabela1[[#This Row],[Custo dos insumos]]</f>
        <v>0</v>
      </c>
      <c r="K50" s="4" t="str">
        <f>IF(ABS(Tabela1[[#This Row],[Dif. Insumo e OS]])&lt;=0.02,"ok ou um centavo","verificar")</f>
        <v>ok ou um centavo</v>
      </c>
    </row>
    <row r="51" spans="1:11" hidden="1" x14ac:dyDescent="0.25">
      <c r="A51" s="3" t="s">
        <v>54</v>
      </c>
      <c r="B51" s="3" t="s">
        <v>63</v>
      </c>
      <c r="C51" s="4">
        <v>9.16</v>
      </c>
      <c r="D51" s="4">
        <v>9.16</v>
      </c>
      <c r="E51" s="4">
        <v>0</v>
      </c>
      <c r="F51" s="4">
        <v>0</v>
      </c>
      <c r="G51" s="4">
        <v>0</v>
      </c>
      <c r="H51" s="4">
        <v>0</v>
      </c>
      <c r="I51" s="4">
        <f>SUM(Tabela1[[#This Row],[Mão-de-obra (custo médio)]:[Materiais de troca (custo médio)]])</f>
        <v>9.16</v>
      </c>
      <c r="J51" s="4">
        <f>Tabela1[[#This Row],[Custos da os]]-Tabela1[[#This Row],[Custo dos insumos]]</f>
        <v>0</v>
      </c>
      <c r="K51" s="4" t="str">
        <f>IF(ABS(Tabela1[[#This Row],[Dif. Insumo e OS]])&lt;=0.02,"ok ou um centavo","verificar")</f>
        <v>ok ou um centavo</v>
      </c>
    </row>
    <row r="52" spans="1:11" hidden="1" x14ac:dyDescent="0.25">
      <c r="A52" s="3" t="s">
        <v>54</v>
      </c>
      <c r="B52" s="3" t="s">
        <v>64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f>SUM(Tabela1[[#This Row],[Mão-de-obra (custo médio)]:[Materiais de troca (custo médio)]])</f>
        <v>0</v>
      </c>
      <c r="J52" s="4">
        <f>Tabela1[[#This Row],[Custos da os]]-Tabela1[[#This Row],[Custo dos insumos]]</f>
        <v>0</v>
      </c>
      <c r="K52" s="4" t="str">
        <f>IF(ABS(Tabela1[[#This Row],[Dif. Insumo e OS]])&lt;=0.02,"ok ou um centavo","verificar")</f>
        <v>ok ou um centavo</v>
      </c>
    </row>
    <row r="53" spans="1:11" x14ac:dyDescent="0.25">
      <c r="A53" s="1" t="s">
        <v>367</v>
      </c>
      <c r="B53" s="1" t="s">
        <v>370</v>
      </c>
      <c r="C53" s="2">
        <v>171.27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f>SUM(Tabela1[[#This Row],[Mão-de-obra (custo médio)]:[Materiais de troca (custo médio)]])</f>
        <v>0</v>
      </c>
      <c r="J53" s="2">
        <f>Tabela1[[#This Row],[Custos da os]]-Tabela1[[#This Row],[Custo dos insumos]]</f>
        <v>-171.27</v>
      </c>
      <c r="K53" s="2" t="str">
        <f>IF(ABS(Tabela1[[#This Row],[Dif. Insumo e OS]])&lt;=0.02,"ok ou um centavo","verificar")</f>
        <v>verificar</v>
      </c>
    </row>
    <row r="54" spans="1:11" hidden="1" x14ac:dyDescent="0.25">
      <c r="A54" s="3" t="s">
        <v>54</v>
      </c>
      <c r="B54" s="3" t="s">
        <v>66</v>
      </c>
      <c r="C54" s="4">
        <v>0.46</v>
      </c>
      <c r="D54" s="4">
        <v>0.46</v>
      </c>
      <c r="E54" s="4">
        <v>0</v>
      </c>
      <c r="F54" s="4">
        <v>0</v>
      </c>
      <c r="G54" s="4">
        <v>0</v>
      </c>
      <c r="H54" s="4">
        <v>0</v>
      </c>
      <c r="I54" s="4">
        <f>SUM(Tabela1[[#This Row],[Mão-de-obra (custo médio)]:[Materiais de troca (custo médio)]])</f>
        <v>0.46</v>
      </c>
      <c r="J54" s="4">
        <f>Tabela1[[#This Row],[Custos da os]]-Tabela1[[#This Row],[Custo dos insumos]]</f>
        <v>0</v>
      </c>
      <c r="K54" s="4" t="str">
        <f>IF(ABS(Tabela1[[#This Row],[Dif. Insumo e OS]])&lt;=0.02,"ok ou um centavo","verificar")</f>
        <v>ok ou um centavo</v>
      </c>
    </row>
    <row r="55" spans="1:11" x14ac:dyDescent="0.25">
      <c r="A55" s="1" t="s">
        <v>103</v>
      </c>
      <c r="B55" s="1" t="s">
        <v>109</v>
      </c>
      <c r="C55" s="2">
        <v>711.27</v>
      </c>
      <c r="D55" s="2">
        <v>0</v>
      </c>
      <c r="E55" s="2">
        <v>0</v>
      </c>
      <c r="F55" s="2">
        <v>0</v>
      </c>
      <c r="G55" s="2">
        <v>0</v>
      </c>
      <c r="H55" s="2">
        <v>547.72</v>
      </c>
      <c r="I55" s="2">
        <f>SUM(Tabela1[[#This Row],[Mão-de-obra (custo médio)]:[Materiais de troca (custo médio)]])</f>
        <v>547.72</v>
      </c>
      <c r="J55" s="2">
        <f>Tabela1[[#This Row],[Custos da os]]-Tabela1[[#This Row],[Custo dos insumos]]</f>
        <v>-163.54999999999995</v>
      </c>
      <c r="K55" s="2" t="str">
        <f>IF(ABS(Tabela1[[#This Row],[Dif. Insumo e OS]])&lt;=0.02,"ok ou um centavo","verificar")</f>
        <v>verificar</v>
      </c>
    </row>
    <row r="56" spans="1:11" hidden="1" x14ac:dyDescent="0.25">
      <c r="A56" s="3" t="s">
        <v>54</v>
      </c>
      <c r="B56" s="3" t="s">
        <v>68</v>
      </c>
      <c r="C56" s="4">
        <v>80.84</v>
      </c>
      <c r="D56" s="4">
        <v>77.709999999999994</v>
      </c>
      <c r="E56" s="4">
        <v>0</v>
      </c>
      <c r="F56" s="4">
        <v>0</v>
      </c>
      <c r="G56" s="4">
        <v>3.12</v>
      </c>
      <c r="H56" s="4">
        <v>0</v>
      </c>
      <c r="I56" s="4">
        <f>SUM(Tabela1[[#This Row],[Mão-de-obra (custo médio)]:[Materiais de troca (custo médio)]])</f>
        <v>80.83</v>
      </c>
      <c r="J56" s="4">
        <f>Tabela1[[#This Row],[Custos da os]]-Tabela1[[#This Row],[Custo dos insumos]]</f>
        <v>-1.0000000000005116E-2</v>
      </c>
      <c r="K56" s="4" t="str">
        <f>IF(ABS(Tabela1[[#This Row],[Dif. Insumo e OS]])&lt;=0.02,"ok ou um centavo","verificar")</f>
        <v>ok ou um centavo</v>
      </c>
    </row>
    <row r="57" spans="1:11" hidden="1" x14ac:dyDescent="0.25">
      <c r="A57" s="3" t="s">
        <v>54</v>
      </c>
      <c r="B57" s="3" t="s">
        <v>69</v>
      </c>
      <c r="C57" s="4">
        <v>354.71</v>
      </c>
      <c r="D57" s="4">
        <v>4.71</v>
      </c>
      <c r="E57" s="4">
        <v>0</v>
      </c>
      <c r="F57" s="4">
        <v>0</v>
      </c>
      <c r="G57" s="4">
        <v>350</v>
      </c>
      <c r="H57" s="4">
        <v>0</v>
      </c>
      <c r="I57" s="4">
        <f>SUM(Tabela1[[#This Row],[Mão-de-obra (custo médio)]:[Materiais de troca (custo médio)]])</f>
        <v>354.71</v>
      </c>
      <c r="J57" s="4">
        <f>Tabela1[[#This Row],[Custos da os]]-Tabela1[[#This Row],[Custo dos insumos]]</f>
        <v>0</v>
      </c>
      <c r="K57" s="4" t="str">
        <f>IF(ABS(Tabela1[[#This Row],[Dif. Insumo e OS]])&lt;=0.02,"ok ou um centavo","verificar")</f>
        <v>ok ou um centavo</v>
      </c>
    </row>
    <row r="58" spans="1:11" hidden="1" x14ac:dyDescent="0.25">
      <c r="A58" s="3" t="s">
        <v>54</v>
      </c>
      <c r="B58" s="3" t="s">
        <v>70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f>SUM(Tabela1[[#This Row],[Mão-de-obra (custo médio)]:[Materiais de troca (custo médio)]])</f>
        <v>0</v>
      </c>
      <c r="J58" s="4">
        <f>Tabela1[[#This Row],[Custos da os]]-Tabela1[[#This Row],[Custo dos insumos]]</f>
        <v>0</v>
      </c>
      <c r="K58" s="4" t="str">
        <f>IF(ABS(Tabela1[[#This Row],[Dif. Insumo e OS]])&lt;=0.02,"ok ou um centavo","verificar")</f>
        <v>ok ou um centavo</v>
      </c>
    </row>
    <row r="59" spans="1:11" hidden="1" x14ac:dyDescent="0.25">
      <c r="A59" s="3" t="s">
        <v>54</v>
      </c>
      <c r="B59" s="3" t="s">
        <v>71</v>
      </c>
      <c r="C59" s="4">
        <v>127.82</v>
      </c>
      <c r="D59" s="4">
        <v>0.11</v>
      </c>
      <c r="E59" s="4">
        <v>0</v>
      </c>
      <c r="F59" s="4">
        <v>0</v>
      </c>
      <c r="G59" s="4">
        <v>0</v>
      </c>
      <c r="H59" s="4">
        <v>127.71</v>
      </c>
      <c r="I59" s="4">
        <f>SUM(Tabela1[[#This Row],[Mão-de-obra (custo médio)]:[Materiais de troca (custo médio)]])</f>
        <v>127.82</v>
      </c>
      <c r="J59" s="4">
        <f>Tabela1[[#This Row],[Custos da os]]-Tabela1[[#This Row],[Custo dos insumos]]</f>
        <v>0</v>
      </c>
      <c r="K59" s="4" t="str">
        <f>IF(ABS(Tabela1[[#This Row],[Dif. Insumo e OS]])&lt;=0.02,"ok ou um centavo","verificar")</f>
        <v>ok ou um centavo</v>
      </c>
    </row>
    <row r="60" spans="1:11" hidden="1" x14ac:dyDescent="0.25">
      <c r="A60" s="3" t="s">
        <v>72</v>
      </c>
      <c r="B60" s="3" t="s">
        <v>73</v>
      </c>
      <c r="C60" s="4">
        <v>656.91</v>
      </c>
      <c r="D60" s="4">
        <v>159.6</v>
      </c>
      <c r="E60" s="4">
        <v>0</v>
      </c>
      <c r="F60" s="4">
        <v>0</v>
      </c>
      <c r="G60" s="4">
        <v>0</v>
      </c>
      <c r="H60" s="4">
        <v>497.31</v>
      </c>
      <c r="I60" s="4">
        <f>SUM(Tabela1[[#This Row],[Mão-de-obra (custo médio)]:[Materiais de troca (custo médio)]])</f>
        <v>656.91</v>
      </c>
      <c r="J60" s="4">
        <f>Tabela1[[#This Row],[Custos da os]]-Tabela1[[#This Row],[Custo dos insumos]]</f>
        <v>0</v>
      </c>
      <c r="K60" s="4" t="str">
        <f>IF(ABS(Tabela1[[#This Row],[Dif. Insumo e OS]])&lt;=0.02,"ok ou um centavo","verificar")</f>
        <v>ok ou um centavo</v>
      </c>
    </row>
    <row r="61" spans="1:11" hidden="1" x14ac:dyDescent="0.25">
      <c r="A61" s="3" t="s">
        <v>72</v>
      </c>
      <c r="B61" s="3" t="s">
        <v>74</v>
      </c>
      <c r="C61" s="4">
        <v>59.37</v>
      </c>
      <c r="D61" s="4">
        <v>0</v>
      </c>
      <c r="E61" s="4">
        <v>0</v>
      </c>
      <c r="F61" s="4">
        <v>0</v>
      </c>
      <c r="G61" s="4">
        <v>0</v>
      </c>
      <c r="H61" s="4">
        <v>59.37</v>
      </c>
      <c r="I61" s="4">
        <f>SUM(Tabela1[[#This Row],[Mão-de-obra (custo médio)]:[Materiais de troca (custo médio)]])</f>
        <v>59.37</v>
      </c>
      <c r="J61" s="4">
        <f>Tabela1[[#This Row],[Custos da os]]-Tabela1[[#This Row],[Custo dos insumos]]</f>
        <v>0</v>
      </c>
      <c r="K61" s="4" t="str">
        <f>IF(ABS(Tabela1[[#This Row],[Dif. Insumo e OS]])&lt;=0.02,"ok ou um centavo","verificar")</f>
        <v>ok ou um centavo</v>
      </c>
    </row>
    <row r="62" spans="1:11" hidden="1" x14ac:dyDescent="0.25">
      <c r="A62" s="3" t="s">
        <v>72</v>
      </c>
      <c r="B62" s="3" t="s">
        <v>75</v>
      </c>
      <c r="C62" s="4">
        <v>61.72</v>
      </c>
      <c r="D62" s="4">
        <v>61.72</v>
      </c>
      <c r="E62" s="4">
        <v>0</v>
      </c>
      <c r="F62" s="4">
        <v>0</v>
      </c>
      <c r="G62" s="4">
        <v>0</v>
      </c>
      <c r="H62" s="4">
        <v>0</v>
      </c>
      <c r="I62" s="4">
        <f>SUM(Tabela1[[#This Row],[Mão-de-obra (custo médio)]:[Materiais de troca (custo médio)]])</f>
        <v>61.72</v>
      </c>
      <c r="J62" s="4">
        <f>Tabela1[[#This Row],[Custos da os]]-Tabela1[[#This Row],[Custo dos insumos]]</f>
        <v>0</v>
      </c>
      <c r="K62" s="4" t="str">
        <f>IF(ABS(Tabela1[[#This Row],[Dif. Insumo e OS]])&lt;=0.02,"ok ou um centavo","verificar")</f>
        <v>ok ou um centavo</v>
      </c>
    </row>
    <row r="63" spans="1:11" hidden="1" x14ac:dyDescent="0.25">
      <c r="A63" s="3" t="s">
        <v>72</v>
      </c>
      <c r="B63" s="3" t="s">
        <v>76</v>
      </c>
      <c r="C63" s="4">
        <v>1036.9100000000001</v>
      </c>
      <c r="D63" s="4">
        <v>0</v>
      </c>
      <c r="E63" s="4">
        <v>0</v>
      </c>
      <c r="F63" s="4">
        <v>0</v>
      </c>
      <c r="G63" s="4">
        <v>0</v>
      </c>
      <c r="H63" s="4">
        <v>1036.9100000000001</v>
      </c>
      <c r="I63" s="4">
        <f>SUM(Tabela1[[#This Row],[Mão-de-obra (custo médio)]:[Materiais de troca (custo médio)]])</f>
        <v>1036.9100000000001</v>
      </c>
      <c r="J63" s="4">
        <f>Tabela1[[#This Row],[Custos da os]]-Tabela1[[#This Row],[Custo dos insumos]]</f>
        <v>0</v>
      </c>
      <c r="K63" s="4" t="str">
        <f>IF(ABS(Tabela1[[#This Row],[Dif. Insumo e OS]])&lt;=0.02,"ok ou um centavo","verificar")</f>
        <v>ok ou um centavo</v>
      </c>
    </row>
    <row r="64" spans="1:11" hidden="1" x14ac:dyDescent="0.25">
      <c r="A64" s="3" t="s">
        <v>72</v>
      </c>
      <c r="B64" s="3" t="s">
        <v>77</v>
      </c>
      <c r="C64" s="4">
        <v>1289.93</v>
      </c>
      <c r="D64" s="4">
        <v>219.44</v>
      </c>
      <c r="E64" s="4">
        <v>0</v>
      </c>
      <c r="F64" s="4">
        <v>0</v>
      </c>
      <c r="G64" s="4">
        <v>0</v>
      </c>
      <c r="H64" s="4">
        <v>1070.49</v>
      </c>
      <c r="I64" s="4">
        <f>SUM(Tabela1[[#This Row],[Mão-de-obra (custo médio)]:[Materiais de troca (custo médio)]])</f>
        <v>1289.93</v>
      </c>
      <c r="J64" s="4">
        <f>Tabela1[[#This Row],[Custos da os]]-Tabela1[[#This Row],[Custo dos insumos]]</f>
        <v>0</v>
      </c>
      <c r="K64" s="4" t="str">
        <f>IF(ABS(Tabela1[[#This Row],[Dif. Insumo e OS]])&lt;=0.02,"ok ou um centavo","verificar")</f>
        <v>ok ou um centavo</v>
      </c>
    </row>
    <row r="65" spans="1:11" hidden="1" x14ac:dyDescent="0.25">
      <c r="A65" s="3" t="s">
        <v>72</v>
      </c>
      <c r="B65" s="3" t="s">
        <v>78</v>
      </c>
      <c r="C65" s="4">
        <v>215.56</v>
      </c>
      <c r="D65" s="4">
        <v>215.56</v>
      </c>
      <c r="E65" s="4">
        <v>0</v>
      </c>
      <c r="F65" s="4">
        <v>0</v>
      </c>
      <c r="G65" s="4">
        <v>0</v>
      </c>
      <c r="H65" s="4">
        <v>0</v>
      </c>
      <c r="I65" s="4">
        <f>SUM(Tabela1[[#This Row],[Mão-de-obra (custo médio)]:[Materiais de troca (custo médio)]])</f>
        <v>215.56</v>
      </c>
      <c r="J65" s="4">
        <f>Tabela1[[#This Row],[Custos da os]]-Tabela1[[#This Row],[Custo dos insumos]]</f>
        <v>0</v>
      </c>
      <c r="K65" s="4" t="str">
        <f>IF(ABS(Tabela1[[#This Row],[Dif. Insumo e OS]])&lt;=0.02,"ok ou um centavo","verificar")</f>
        <v>ok ou um centavo</v>
      </c>
    </row>
    <row r="66" spans="1:11" hidden="1" x14ac:dyDescent="0.25">
      <c r="A66" s="3" t="s">
        <v>72</v>
      </c>
      <c r="B66" s="3" t="s">
        <v>79</v>
      </c>
      <c r="C66" s="4">
        <v>219.44</v>
      </c>
      <c r="D66" s="4">
        <v>219.44</v>
      </c>
      <c r="E66" s="4">
        <v>0</v>
      </c>
      <c r="F66" s="4">
        <v>0</v>
      </c>
      <c r="G66" s="4">
        <v>0</v>
      </c>
      <c r="H66" s="4">
        <v>0</v>
      </c>
      <c r="I66" s="4">
        <f>SUM(Tabela1[[#This Row],[Mão-de-obra (custo médio)]:[Materiais de troca (custo médio)]])</f>
        <v>219.44</v>
      </c>
      <c r="J66" s="4">
        <f>Tabela1[[#This Row],[Custos da os]]-Tabela1[[#This Row],[Custo dos insumos]]</f>
        <v>0</v>
      </c>
      <c r="K66" s="4" t="str">
        <f>IF(ABS(Tabela1[[#This Row],[Dif. Insumo e OS]])&lt;=0.02,"ok ou um centavo","verificar")</f>
        <v>ok ou um centavo</v>
      </c>
    </row>
    <row r="67" spans="1:11" hidden="1" x14ac:dyDescent="0.25">
      <c r="A67" s="3" t="s">
        <v>72</v>
      </c>
      <c r="B67" s="3" t="s">
        <v>80</v>
      </c>
      <c r="C67" s="4">
        <v>137.16</v>
      </c>
      <c r="D67" s="4">
        <v>137.15</v>
      </c>
      <c r="E67" s="4">
        <v>0</v>
      </c>
      <c r="F67" s="4">
        <v>0</v>
      </c>
      <c r="G67" s="4">
        <v>0</v>
      </c>
      <c r="H67" s="4">
        <v>0</v>
      </c>
      <c r="I67" s="4">
        <f>SUM(Tabela1[[#This Row],[Mão-de-obra (custo médio)]:[Materiais de troca (custo médio)]])</f>
        <v>137.15</v>
      </c>
      <c r="J67" s="4">
        <f>Tabela1[[#This Row],[Custos da os]]-Tabela1[[#This Row],[Custo dos insumos]]</f>
        <v>-9.9999999999909051E-3</v>
      </c>
      <c r="K67" s="4" t="str">
        <f>IF(ABS(Tabela1[[#This Row],[Dif. Insumo e OS]])&lt;=0.02,"ok ou um centavo","verificar")</f>
        <v>ok ou um centavo</v>
      </c>
    </row>
    <row r="68" spans="1:11" x14ac:dyDescent="0.25">
      <c r="A68" s="1" t="s">
        <v>727</v>
      </c>
      <c r="B68" s="1" t="s">
        <v>728</v>
      </c>
      <c r="C68" s="2">
        <v>1050.48</v>
      </c>
      <c r="D68" s="2">
        <v>0</v>
      </c>
      <c r="E68" s="2">
        <v>0</v>
      </c>
      <c r="F68" s="2">
        <v>0</v>
      </c>
      <c r="G68" s="2">
        <v>225.92</v>
      </c>
      <c r="H68" s="2">
        <v>663.58</v>
      </c>
      <c r="I68" s="2">
        <f>SUM(Tabela1[[#This Row],[Mão-de-obra (custo médio)]:[Materiais de troca (custo médio)]])</f>
        <v>889.5</v>
      </c>
      <c r="J68" s="2">
        <f>Tabela1[[#This Row],[Custos da os]]-Tabela1[[#This Row],[Custo dos insumos]]</f>
        <v>-160.98000000000002</v>
      </c>
      <c r="K68" s="2" t="str">
        <f>IF(ABS(Tabela1[[#This Row],[Dif. Insumo e OS]])&lt;=0.02,"ok ou um centavo","verificar")</f>
        <v>verificar</v>
      </c>
    </row>
    <row r="69" spans="1:11" hidden="1" x14ac:dyDescent="0.25">
      <c r="A69" s="3" t="s">
        <v>72</v>
      </c>
      <c r="B69" s="3" t="s">
        <v>82</v>
      </c>
      <c r="C69" s="4">
        <v>0.22</v>
      </c>
      <c r="D69" s="4">
        <v>0.22</v>
      </c>
      <c r="E69" s="4">
        <v>0</v>
      </c>
      <c r="F69" s="4">
        <v>0</v>
      </c>
      <c r="G69" s="4">
        <v>0</v>
      </c>
      <c r="H69" s="4">
        <v>0</v>
      </c>
      <c r="I69" s="4">
        <f>SUM(Tabela1[[#This Row],[Mão-de-obra (custo médio)]:[Materiais de troca (custo médio)]])</f>
        <v>0.22</v>
      </c>
      <c r="J69" s="4">
        <f>Tabela1[[#This Row],[Custos da os]]-Tabela1[[#This Row],[Custo dos insumos]]</f>
        <v>0</v>
      </c>
      <c r="K69" s="4" t="str">
        <f>IF(ABS(Tabela1[[#This Row],[Dif. Insumo e OS]])&lt;=0.02,"ok ou um centavo","verificar")</f>
        <v>ok ou um centavo</v>
      </c>
    </row>
    <row r="70" spans="1:11" hidden="1" x14ac:dyDescent="0.25">
      <c r="A70" s="3" t="s">
        <v>72</v>
      </c>
      <c r="B70" s="3" t="s">
        <v>83</v>
      </c>
      <c r="C70" s="4">
        <v>92.33</v>
      </c>
      <c r="D70" s="4">
        <v>27.43</v>
      </c>
      <c r="E70" s="4">
        <v>0</v>
      </c>
      <c r="F70" s="4">
        <v>0</v>
      </c>
      <c r="G70" s="4">
        <v>0</v>
      </c>
      <c r="H70" s="4">
        <v>64.900000000000006</v>
      </c>
      <c r="I70" s="4">
        <f>SUM(Tabela1[[#This Row],[Mão-de-obra (custo médio)]:[Materiais de troca (custo médio)]])</f>
        <v>92.330000000000013</v>
      </c>
      <c r="J70" s="4">
        <f>Tabela1[[#This Row],[Custos da os]]-Tabela1[[#This Row],[Custo dos insumos]]</f>
        <v>0</v>
      </c>
      <c r="K70" s="4" t="str">
        <f>IF(ABS(Tabela1[[#This Row],[Dif. Insumo e OS]])&lt;=0.02,"ok ou um centavo","verificar")</f>
        <v>ok ou um centavo</v>
      </c>
    </row>
    <row r="71" spans="1:11" x14ac:dyDescent="0.25">
      <c r="A71" s="1" t="s">
        <v>236</v>
      </c>
      <c r="B71" s="1" t="s">
        <v>242</v>
      </c>
      <c r="C71" s="2">
        <v>839.41</v>
      </c>
      <c r="D71" s="2">
        <v>108.8</v>
      </c>
      <c r="E71" s="2">
        <v>0</v>
      </c>
      <c r="F71" s="2">
        <v>0</v>
      </c>
      <c r="G71" s="2">
        <v>0</v>
      </c>
      <c r="H71" s="2">
        <v>569.96</v>
      </c>
      <c r="I71" s="2">
        <f>SUM(Tabela1[[#This Row],[Mão-de-obra (custo médio)]:[Materiais de troca (custo médio)]])</f>
        <v>678.76</v>
      </c>
      <c r="J71" s="2">
        <f>Tabela1[[#This Row],[Custos da os]]-Tabela1[[#This Row],[Custo dos insumos]]</f>
        <v>-160.64999999999998</v>
      </c>
      <c r="K71" s="2" t="str">
        <f>IF(ABS(Tabela1[[#This Row],[Dif. Insumo e OS]])&lt;=0.02,"ok ou um centavo","verificar")</f>
        <v>verificar</v>
      </c>
    </row>
    <row r="72" spans="1:11" hidden="1" x14ac:dyDescent="0.25">
      <c r="A72" s="3" t="s">
        <v>72</v>
      </c>
      <c r="B72" s="3" t="s">
        <v>85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f>SUM(Tabela1[[#This Row],[Mão-de-obra (custo médio)]:[Materiais de troca (custo médio)]])</f>
        <v>0</v>
      </c>
      <c r="J72" s="4">
        <f>Tabela1[[#This Row],[Custos da os]]-Tabela1[[#This Row],[Custo dos insumos]]</f>
        <v>0</v>
      </c>
      <c r="K72" s="4" t="str">
        <f>IF(ABS(Tabela1[[#This Row],[Dif. Insumo e OS]])&lt;=0.02,"ok ou um centavo","verificar")</f>
        <v>ok ou um centavo</v>
      </c>
    </row>
    <row r="73" spans="1:11" hidden="1" x14ac:dyDescent="0.25">
      <c r="A73" s="3" t="s">
        <v>72</v>
      </c>
      <c r="B73" s="3" t="s">
        <v>86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f>SUM(Tabela1[[#This Row],[Mão-de-obra (custo médio)]:[Materiais de troca (custo médio)]])</f>
        <v>0</v>
      </c>
      <c r="J73" s="4">
        <f>Tabela1[[#This Row],[Custos da os]]-Tabela1[[#This Row],[Custo dos insumos]]</f>
        <v>0</v>
      </c>
      <c r="K73" s="4" t="str">
        <f>IF(ABS(Tabela1[[#This Row],[Dif. Insumo e OS]])&lt;=0.02,"ok ou um centavo","verificar")</f>
        <v>ok ou um centavo</v>
      </c>
    </row>
    <row r="74" spans="1:11" x14ac:dyDescent="0.25">
      <c r="A74" s="1" t="s">
        <v>54</v>
      </c>
      <c r="B74" s="1" t="s">
        <v>67</v>
      </c>
      <c r="C74" s="2">
        <v>350.57</v>
      </c>
      <c r="D74" s="2">
        <v>0</v>
      </c>
      <c r="E74" s="2">
        <v>0</v>
      </c>
      <c r="F74" s="2">
        <v>0</v>
      </c>
      <c r="G74" s="2">
        <v>234.76</v>
      </c>
      <c r="H74" s="2">
        <v>0</v>
      </c>
      <c r="I74" s="2">
        <f>SUM(Tabela1[[#This Row],[Mão-de-obra (custo médio)]:[Materiais de troca (custo médio)]])</f>
        <v>234.76</v>
      </c>
      <c r="J74" s="2">
        <f>Tabela1[[#This Row],[Custos da os]]-Tabela1[[#This Row],[Custo dos insumos]]</f>
        <v>-115.81</v>
      </c>
      <c r="K74" s="2" t="str">
        <f>IF(ABS(Tabela1[[#This Row],[Dif. Insumo e OS]])&lt;=0.02,"ok ou um centavo","verificar")</f>
        <v>verificar</v>
      </c>
    </row>
    <row r="75" spans="1:11" x14ac:dyDescent="0.25">
      <c r="A75" s="1" t="s">
        <v>655</v>
      </c>
      <c r="B75" s="1" t="s">
        <v>657</v>
      </c>
      <c r="C75" s="2">
        <v>975.93</v>
      </c>
      <c r="D75" s="2">
        <v>0</v>
      </c>
      <c r="E75" s="2">
        <v>0</v>
      </c>
      <c r="F75" s="2">
        <v>0</v>
      </c>
      <c r="G75" s="2">
        <v>135.24</v>
      </c>
      <c r="H75" s="2">
        <v>737.83</v>
      </c>
      <c r="I75" s="2">
        <f>SUM(Tabela1[[#This Row],[Mão-de-obra (custo médio)]:[Materiais de troca (custo médio)]])</f>
        <v>873.07</v>
      </c>
      <c r="J75" s="2">
        <f>Tabela1[[#This Row],[Custos da os]]-Tabela1[[#This Row],[Custo dos insumos]]</f>
        <v>-102.8599999999999</v>
      </c>
      <c r="K75" s="2" t="str">
        <f>IF(ABS(Tabela1[[#This Row],[Dif. Insumo e OS]])&lt;=0.02,"ok ou um centavo","verificar")</f>
        <v>verificar</v>
      </c>
    </row>
    <row r="76" spans="1:11" x14ac:dyDescent="0.25">
      <c r="A76" s="1" t="s">
        <v>15</v>
      </c>
      <c r="B76" s="1" t="s">
        <v>23</v>
      </c>
      <c r="C76" s="2">
        <v>215.94</v>
      </c>
      <c r="D76" s="2">
        <v>0</v>
      </c>
      <c r="E76" s="2">
        <v>0</v>
      </c>
      <c r="F76" s="2">
        <v>0</v>
      </c>
      <c r="G76" s="2">
        <v>72</v>
      </c>
      <c r="H76" s="2">
        <v>56.99</v>
      </c>
      <c r="I76" s="2">
        <f>SUM(Tabela1[[#This Row],[Mão-de-obra (custo médio)]:[Materiais de troca (custo médio)]])</f>
        <v>128.99</v>
      </c>
      <c r="J76" s="2">
        <f>Tabela1[[#This Row],[Custos da os]]-Tabela1[[#This Row],[Custo dos insumos]]</f>
        <v>-86.949999999999989</v>
      </c>
      <c r="K76" s="2" t="str">
        <f>IF(ABS(Tabela1[[#This Row],[Dif. Insumo e OS]])&lt;=0.02,"ok ou um centavo","verificar")</f>
        <v>verificar</v>
      </c>
    </row>
    <row r="77" spans="1:11" hidden="1" x14ac:dyDescent="0.25">
      <c r="A77" s="3" t="s">
        <v>91</v>
      </c>
      <c r="B77" s="3" t="s">
        <v>92</v>
      </c>
      <c r="C77" s="4">
        <v>67.010000000000005</v>
      </c>
      <c r="D77" s="4">
        <v>67.02</v>
      </c>
      <c r="E77" s="4">
        <v>0</v>
      </c>
      <c r="F77" s="4">
        <v>0</v>
      </c>
      <c r="G77" s="4">
        <v>0</v>
      </c>
      <c r="H77" s="4">
        <v>0</v>
      </c>
      <c r="I77" s="4">
        <f>SUM(Tabela1[[#This Row],[Mão-de-obra (custo médio)]:[Materiais de troca (custo médio)]])</f>
        <v>67.02</v>
      </c>
      <c r="J77" s="4">
        <f>Tabela1[[#This Row],[Custos da os]]-Tabela1[[#This Row],[Custo dos insumos]]</f>
        <v>9.9999999999909051E-3</v>
      </c>
      <c r="K77" s="4" t="str">
        <f>IF(ABS(Tabela1[[#This Row],[Dif. Insumo e OS]])&lt;=0.02,"ok ou um centavo","verificar")</f>
        <v>ok ou um centavo</v>
      </c>
    </row>
    <row r="78" spans="1:11" hidden="1" x14ac:dyDescent="0.25">
      <c r="A78" s="3" t="s">
        <v>91</v>
      </c>
      <c r="B78" s="3" t="s">
        <v>93</v>
      </c>
      <c r="C78" s="4">
        <v>757.2</v>
      </c>
      <c r="D78" s="4">
        <v>65.12</v>
      </c>
      <c r="E78" s="4">
        <v>0</v>
      </c>
      <c r="F78" s="4">
        <v>0</v>
      </c>
      <c r="G78" s="4">
        <v>0</v>
      </c>
      <c r="H78" s="4">
        <v>692.08</v>
      </c>
      <c r="I78" s="4">
        <f>SUM(Tabela1[[#This Row],[Mão-de-obra (custo médio)]:[Materiais de troca (custo médio)]])</f>
        <v>757.2</v>
      </c>
      <c r="J78" s="4">
        <f>Tabela1[[#This Row],[Custos da os]]-Tabela1[[#This Row],[Custo dos insumos]]</f>
        <v>0</v>
      </c>
      <c r="K78" s="4" t="str">
        <f>IF(ABS(Tabela1[[#This Row],[Dif. Insumo e OS]])&lt;=0.02,"ok ou um centavo","verificar")</f>
        <v>ok ou um centavo</v>
      </c>
    </row>
    <row r="79" spans="1:11" hidden="1" x14ac:dyDescent="0.25">
      <c r="A79" s="3" t="s">
        <v>91</v>
      </c>
      <c r="B79" s="3" t="s">
        <v>94</v>
      </c>
      <c r="C79" s="4">
        <v>658.76</v>
      </c>
      <c r="D79" s="4">
        <v>0.22</v>
      </c>
      <c r="E79" s="4">
        <v>0</v>
      </c>
      <c r="F79" s="4">
        <v>0</v>
      </c>
      <c r="G79" s="4">
        <v>0</v>
      </c>
      <c r="H79" s="4">
        <v>658.54</v>
      </c>
      <c r="I79" s="4">
        <f>SUM(Tabela1[[#This Row],[Mão-de-obra (custo médio)]:[Materiais de troca (custo médio)]])</f>
        <v>658.76</v>
      </c>
      <c r="J79" s="4">
        <f>Tabela1[[#This Row],[Custos da os]]-Tabela1[[#This Row],[Custo dos insumos]]</f>
        <v>0</v>
      </c>
      <c r="K79" s="4" t="str">
        <f>IF(ABS(Tabela1[[#This Row],[Dif. Insumo e OS]])&lt;=0.02,"ok ou um centavo","verificar")</f>
        <v>ok ou um centavo</v>
      </c>
    </row>
    <row r="80" spans="1:11" hidden="1" x14ac:dyDescent="0.25">
      <c r="A80" s="3" t="s">
        <v>91</v>
      </c>
      <c r="B80" s="3" t="s">
        <v>95</v>
      </c>
      <c r="C80" s="4">
        <v>329.5</v>
      </c>
      <c r="D80" s="4">
        <v>0.22</v>
      </c>
      <c r="E80" s="4">
        <v>0</v>
      </c>
      <c r="F80" s="4">
        <v>0</v>
      </c>
      <c r="G80" s="4">
        <v>0</v>
      </c>
      <c r="H80" s="4">
        <v>329.28</v>
      </c>
      <c r="I80" s="4">
        <f>SUM(Tabela1[[#This Row],[Mão-de-obra (custo médio)]:[Materiais de troca (custo médio)]])</f>
        <v>329.5</v>
      </c>
      <c r="J80" s="4">
        <f>Tabela1[[#This Row],[Custos da os]]-Tabela1[[#This Row],[Custo dos insumos]]</f>
        <v>0</v>
      </c>
      <c r="K80" s="4" t="str">
        <f>IF(ABS(Tabela1[[#This Row],[Dif. Insumo e OS]])&lt;=0.02,"ok ou um centavo","verificar")</f>
        <v>ok ou um centavo</v>
      </c>
    </row>
    <row r="81" spans="1:11" hidden="1" x14ac:dyDescent="0.25">
      <c r="A81" s="3" t="s">
        <v>91</v>
      </c>
      <c r="B81" s="3" t="s">
        <v>96</v>
      </c>
      <c r="C81" s="4">
        <v>326.47000000000003</v>
      </c>
      <c r="D81" s="4">
        <v>79.86</v>
      </c>
      <c r="E81" s="4">
        <v>0</v>
      </c>
      <c r="F81" s="4">
        <v>0</v>
      </c>
      <c r="G81" s="4">
        <v>0</v>
      </c>
      <c r="H81" s="4">
        <v>246.61</v>
      </c>
      <c r="I81" s="4">
        <f>SUM(Tabela1[[#This Row],[Mão-de-obra (custo médio)]:[Materiais de troca (custo médio)]])</f>
        <v>326.47000000000003</v>
      </c>
      <c r="J81" s="4">
        <f>Tabela1[[#This Row],[Custos da os]]-Tabela1[[#This Row],[Custo dos insumos]]</f>
        <v>0</v>
      </c>
      <c r="K81" s="4" t="str">
        <f>IF(ABS(Tabela1[[#This Row],[Dif. Insumo e OS]])&lt;=0.02,"ok ou um centavo","verificar")</f>
        <v>ok ou um centavo</v>
      </c>
    </row>
    <row r="82" spans="1:11" hidden="1" x14ac:dyDescent="0.25">
      <c r="A82" s="3" t="s">
        <v>91</v>
      </c>
      <c r="B82" s="3" t="s">
        <v>97</v>
      </c>
      <c r="C82" s="4">
        <v>10.88</v>
      </c>
      <c r="D82" s="4">
        <v>10.88</v>
      </c>
      <c r="E82" s="4">
        <v>0</v>
      </c>
      <c r="F82" s="4">
        <v>0</v>
      </c>
      <c r="G82" s="4">
        <v>0</v>
      </c>
      <c r="H82" s="4">
        <v>0</v>
      </c>
      <c r="I82" s="4">
        <f>SUM(Tabela1[[#This Row],[Mão-de-obra (custo médio)]:[Materiais de troca (custo médio)]])</f>
        <v>10.88</v>
      </c>
      <c r="J82" s="4">
        <f>Tabela1[[#This Row],[Custos da os]]-Tabela1[[#This Row],[Custo dos insumos]]</f>
        <v>0</v>
      </c>
      <c r="K82" s="4" t="str">
        <f>IF(ABS(Tabela1[[#This Row],[Dif. Insumo e OS]])&lt;=0.02,"ok ou um centavo","verificar")</f>
        <v>ok ou um centavo</v>
      </c>
    </row>
    <row r="83" spans="1:11" hidden="1" x14ac:dyDescent="0.25">
      <c r="A83" s="3" t="s">
        <v>98</v>
      </c>
      <c r="B83" s="3" t="s">
        <v>99</v>
      </c>
      <c r="C83" s="4">
        <v>363</v>
      </c>
      <c r="D83" s="4">
        <v>0</v>
      </c>
      <c r="E83" s="4">
        <v>363</v>
      </c>
      <c r="F83" s="4">
        <v>0</v>
      </c>
      <c r="G83" s="4">
        <v>0</v>
      </c>
      <c r="H83" s="4">
        <v>0</v>
      </c>
      <c r="I83" s="4">
        <f>SUM(Tabela1[[#This Row],[Mão-de-obra (custo médio)]:[Materiais de troca (custo médio)]])</f>
        <v>363</v>
      </c>
      <c r="J83" s="4">
        <f>Tabela1[[#This Row],[Custos da os]]-Tabela1[[#This Row],[Custo dos insumos]]</f>
        <v>0</v>
      </c>
      <c r="K83" s="4" t="str">
        <f>IF(ABS(Tabela1[[#This Row],[Dif. Insumo e OS]])&lt;=0.02,"ok ou um centavo","verificar")</f>
        <v>ok ou um centavo</v>
      </c>
    </row>
    <row r="84" spans="1:11" x14ac:dyDescent="0.25">
      <c r="A84" s="1" t="s">
        <v>412</v>
      </c>
      <c r="B84" s="1" t="s">
        <v>417</v>
      </c>
      <c r="C84" s="2">
        <v>62.29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f>SUM(Tabela1[[#This Row],[Mão-de-obra (custo médio)]:[Materiais de troca (custo médio)]])</f>
        <v>0</v>
      </c>
      <c r="J84" s="2">
        <f>Tabela1[[#This Row],[Custos da os]]-Tabela1[[#This Row],[Custo dos insumos]]</f>
        <v>-62.29</v>
      </c>
      <c r="K84" s="2" t="str">
        <f>IF(ABS(Tabela1[[#This Row],[Dif. Insumo e OS]])&lt;=0.02,"ok ou um centavo","verificar")</f>
        <v>verificar</v>
      </c>
    </row>
    <row r="85" spans="1:11" x14ac:dyDescent="0.25">
      <c r="A85" s="1" t="s">
        <v>281</v>
      </c>
      <c r="B85" s="1" t="s">
        <v>284</v>
      </c>
      <c r="C85" s="2">
        <v>52.48</v>
      </c>
      <c r="D85" s="2">
        <v>0</v>
      </c>
      <c r="E85" s="2">
        <v>0</v>
      </c>
      <c r="F85" s="2">
        <v>0</v>
      </c>
      <c r="G85" s="2">
        <v>0.02</v>
      </c>
      <c r="H85" s="2">
        <v>0.01</v>
      </c>
      <c r="I85" s="2">
        <f>SUM(Tabela1[[#This Row],[Mão-de-obra (custo médio)]:[Materiais de troca (custo médio)]])</f>
        <v>0.03</v>
      </c>
      <c r="J85" s="2">
        <f>Tabela1[[#This Row],[Custos da os]]-Tabela1[[#This Row],[Custo dos insumos]]</f>
        <v>-52.449999999999996</v>
      </c>
      <c r="K85" s="2" t="str">
        <f>IF(ABS(Tabela1[[#This Row],[Dif. Insumo e OS]])&lt;=0.02,"ok ou um centavo","verificar")</f>
        <v>verificar</v>
      </c>
    </row>
    <row r="86" spans="1:11" hidden="1" x14ac:dyDescent="0.25">
      <c r="A86" s="3" t="s">
        <v>98</v>
      </c>
      <c r="B86" s="3" t="s">
        <v>102</v>
      </c>
      <c r="C86" s="4">
        <v>416.55</v>
      </c>
      <c r="D86" s="4">
        <v>0</v>
      </c>
      <c r="E86" s="4">
        <v>416.55</v>
      </c>
      <c r="F86" s="4">
        <v>0</v>
      </c>
      <c r="G86" s="4">
        <v>0</v>
      </c>
      <c r="H86" s="4">
        <v>0</v>
      </c>
      <c r="I86" s="4">
        <f>SUM(Tabela1[[#This Row],[Mão-de-obra (custo médio)]:[Materiais de troca (custo médio)]])</f>
        <v>416.55</v>
      </c>
      <c r="J86" s="4">
        <f>Tabela1[[#This Row],[Custos da os]]-Tabela1[[#This Row],[Custo dos insumos]]</f>
        <v>0</v>
      </c>
      <c r="K86" s="4" t="str">
        <f>IF(ABS(Tabela1[[#This Row],[Dif. Insumo e OS]])&lt;=0.02,"ok ou um centavo","verificar")</f>
        <v>ok ou um centavo</v>
      </c>
    </row>
    <row r="87" spans="1:11" hidden="1" x14ac:dyDescent="0.25">
      <c r="A87" s="3" t="s">
        <v>103</v>
      </c>
      <c r="B87" s="3" t="s">
        <v>104</v>
      </c>
      <c r="C87" s="4">
        <v>107.78</v>
      </c>
      <c r="D87" s="4">
        <v>107.78</v>
      </c>
      <c r="E87" s="4">
        <v>0</v>
      </c>
      <c r="F87" s="4">
        <v>0</v>
      </c>
      <c r="G87" s="4">
        <v>0</v>
      </c>
      <c r="H87" s="4">
        <v>0</v>
      </c>
      <c r="I87" s="4">
        <f>SUM(Tabela1[[#This Row],[Mão-de-obra (custo médio)]:[Materiais de troca (custo médio)]])</f>
        <v>107.78</v>
      </c>
      <c r="J87" s="4">
        <f>Tabela1[[#This Row],[Custos da os]]-Tabela1[[#This Row],[Custo dos insumos]]</f>
        <v>0</v>
      </c>
      <c r="K87" s="4" t="str">
        <f>IF(ABS(Tabela1[[#This Row],[Dif. Insumo e OS]])&lt;=0.02,"ok ou um centavo","verificar")</f>
        <v>ok ou um centavo</v>
      </c>
    </row>
    <row r="88" spans="1:11" hidden="1" x14ac:dyDescent="0.25">
      <c r="A88" s="3" t="s">
        <v>103</v>
      </c>
      <c r="B88" s="3" t="s">
        <v>105</v>
      </c>
      <c r="C88" s="4">
        <v>0.22</v>
      </c>
      <c r="D88" s="4">
        <v>0.22</v>
      </c>
      <c r="E88" s="4">
        <v>0</v>
      </c>
      <c r="F88" s="4">
        <v>0</v>
      </c>
      <c r="G88" s="4">
        <v>0</v>
      </c>
      <c r="H88" s="4">
        <v>0</v>
      </c>
      <c r="I88" s="4">
        <f>SUM(Tabela1[[#This Row],[Mão-de-obra (custo médio)]:[Materiais de troca (custo médio)]])</f>
        <v>0.22</v>
      </c>
      <c r="J88" s="4">
        <f>Tabela1[[#This Row],[Custos da os]]-Tabela1[[#This Row],[Custo dos insumos]]</f>
        <v>0</v>
      </c>
      <c r="K88" s="4" t="str">
        <f>IF(ABS(Tabela1[[#This Row],[Dif. Insumo e OS]])&lt;=0.02,"ok ou um centavo","verificar")</f>
        <v>ok ou um centavo</v>
      </c>
    </row>
    <row r="89" spans="1:11" hidden="1" x14ac:dyDescent="0.25">
      <c r="A89" s="3" t="s">
        <v>103</v>
      </c>
      <c r="B89" s="3" t="s">
        <v>106</v>
      </c>
      <c r="C89" s="4">
        <v>27.54</v>
      </c>
      <c r="D89" s="4">
        <v>27.54</v>
      </c>
      <c r="E89" s="4">
        <v>0</v>
      </c>
      <c r="F89" s="4">
        <v>0</v>
      </c>
      <c r="G89" s="4">
        <v>0</v>
      </c>
      <c r="H89" s="4">
        <v>0</v>
      </c>
      <c r="I89" s="4">
        <f>SUM(Tabela1[[#This Row],[Mão-de-obra (custo médio)]:[Materiais de troca (custo médio)]])</f>
        <v>27.54</v>
      </c>
      <c r="J89" s="4">
        <f>Tabela1[[#This Row],[Custos da os]]-Tabela1[[#This Row],[Custo dos insumos]]</f>
        <v>0</v>
      </c>
      <c r="K89" s="4" t="str">
        <f>IF(ABS(Tabela1[[#This Row],[Dif. Insumo e OS]])&lt;=0.02,"ok ou um centavo","verificar")</f>
        <v>ok ou um centavo</v>
      </c>
    </row>
    <row r="90" spans="1:11" hidden="1" x14ac:dyDescent="0.25">
      <c r="A90" s="3" t="s">
        <v>103</v>
      </c>
      <c r="B90" s="3" t="s">
        <v>107</v>
      </c>
      <c r="C90" s="4">
        <v>26.95</v>
      </c>
      <c r="D90" s="4">
        <v>26.95</v>
      </c>
      <c r="E90" s="4">
        <v>0</v>
      </c>
      <c r="F90" s="4">
        <v>0</v>
      </c>
      <c r="G90" s="4">
        <v>0</v>
      </c>
      <c r="H90" s="4">
        <v>0</v>
      </c>
      <c r="I90" s="4">
        <f>SUM(Tabela1[[#This Row],[Mão-de-obra (custo médio)]:[Materiais de troca (custo médio)]])</f>
        <v>26.95</v>
      </c>
      <c r="J90" s="4">
        <f>Tabela1[[#This Row],[Custos da os]]-Tabela1[[#This Row],[Custo dos insumos]]</f>
        <v>0</v>
      </c>
      <c r="K90" s="4" t="str">
        <f>IF(ABS(Tabela1[[#This Row],[Dif. Insumo e OS]])&lt;=0.02,"ok ou um centavo","verificar")</f>
        <v>ok ou um centavo</v>
      </c>
    </row>
    <row r="91" spans="1:11" x14ac:dyDescent="0.25">
      <c r="A91" s="1" t="s">
        <v>560</v>
      </c>
      <c r="B91" s="1" t="s">
        <v>562</v>
      </c>
      <c r="C91" s="2">
        <v>99.39</v>
      </c>
      <c r="D91" s="2">
        <v>0</v>
      </c>
      <c r="E91" s="2">
        <v>0</v>
      </c>
      <c r="F91" s="2">
        <v>0</v>
      </c>
      <c r="G91" s="2">
        <v>53.52</v>
      </c>
      <c r="H91" s="2">
        <v>0</v>
      </c>
      <c r="I91" s="2">
        <f>SUM(Tabela1[[#This Row],[Mão-de-obra (custo médio)]:[Materiais de troca (custo médio)]])</f>
        <v>53.52</v>
      </c>
      <c r="J91" s="2">
        <f>Tabela1[[#This Row],[Custos da os]]-Tabela1[[#This Row],[Custo dos insumos]]</f>
        <v>-45.87</v>
      </c>
      <c r="K91" s="2" t="str">
        <f>IF(ABS(Tabela1[[#This Row],[Dif. Insumo e OS]])&lt;=0.02,"ok ou um centavo","verificar")</f>
        <v>verificar</v>
      </c>
    </row>
    <row r="92" spans="1:11" x14ac:dyDescent="0.25">
      <c r="A92" s="1" t="s">
        <v>347</v>
      </c>
      <c r="B92" s="1" t="s">
        <v>354</v>
      </c>
      <c r="C92" s="2">
        <v>41.49</v>
      </c>
      <c r="D92" s="2">
        <v>0</v>
      </c>
      <c r="E92" s="2">
        <v>0</v>
      </c>
      <c r="F92" s="2">
        <v>0</v>
      </c>
      <c r="G92" s="2">
        <v>5.72</v>
      </c>
      <c r="H92" s="2">
        <v>0.01</v>
      </c>
      <c r="I92" s="2">
        <f>SUM(Tabela1[[#This Row],[Mão-de-obra (custo médio)]:[Materiais de troca (custo médio)]])</f>
        <v>5.7299999999999995</v>
      </c>
      <c r="J92" s="2">
        <f>Tabela1[[#This Row],[Custos da os]]-Tabela1[[#This Row],[Custo dos insumos]]</f>
        <v>-35.760000000000005</v>
      </c>
      <c r="K92" s="2" t="str">
        <f>IF(ABS(Tabela1[[#This Row],[Dif. Insumo e OS]])&lt;=0.02,"ok ou um centavo","verificar")</f>
        <v>verificar</v>
      </c>
    </row>
    <row r="93" spans="1:11" hidden="1" x14ac:dyDescent="0.25">
      <c r="A93" s="3" t="s">
        <v>103</v>
      </c>
      <c r="B93" s="3" t="s">
        <v>110</v>
      </c>
      <c r="C93" s="4">
        <v>69.87</v>
      </c>
      <c r="D93" s="4">
        <v>0</v>
      </c>
      <c r="E93" s="4">
        <v>0</v>
      </c>
      <c r="F93" s="4">
        <v>0</v>
      </c>
      <c r="G93" s="4">
        <v>0</v>
      </c>
      <c r="H93" s="4">
        <v>69.87</v>
      </c>
      <c r="I93" s="4">
        <f>SUM(Tabela1[[#This Row],[Mão-de-obra (custo médio)]:[Materiais de troca (custo médio)]])</f>
        <v>69.87</v>
      </c>
      <c r="J93" s="4">
        <f>Tabela1[[#This Row],[Custos da os]]-Tabela1[[#This Row],[Custo dos insumos]]</f>
        <v>0</v>
      </c>
      <c r="K93" s="4" t="str">
        <f>IF(ABS(Tabela1[[#This Row],[Dif. Insumo e OS]])&lt;=0.02,"ok ou um centavo","verificar")</f>
        <v>ok ou um centavo</v>
      </c>
    </row>
    <row r="94" spans="1:11" hidden="1" x14ac:dyDescent="0.25">
      <c r="A94" s="3" t="s">
        <v>103</v>
      </c>
      <c r="B94" s="3" t="s">
        <v>111</v>
      </c>
      <c r="C94" s="4">
        <v>863.21</v>
      </c>
      <c r="D94" s="4">
        <v>0</v>
      </c>
      <c r="E94" s="4">
        <v>0</v>
      </c>
      <c r="F94" s="4">
        <v>0</v>
      </c>
      <c r="G94" s="4">
        <v>0</v>
      </c>
      <c r="H94" s="4">
        <v>863.21</v>
      </c>
      <c r="I94" s="4">
        <f>SUM(Tabela1[[#This Row],[Mão-de-obra (custo médio)]:[Materiais de troca (custo médio)]])</f>
        <v>863.21</v>
      </c>
      <c r="J94" s="4">
        <f>Tabela1[[#This Row],[Custos da os]]-Tabela1[[#This Row],[Custo dos insumos]]</f>
        <v>0</v>
      </c>
      <c r="K94" s="4" t="str">
        <f>IF(ABS(Tabela1[[#This Row],[Dif. Insumo e OS]])&lt;=0.02,"ok ou um centavo","verificar")</f>
        <v>ok ou um centavo</v>
      </c>
    </row>
    <row r="95" spans="1:11" x14ac:dyDescent="0.25">
      <c r="A95" s="1" t="s">
        <v>387</v>
      </c>
      <c r="B95" s="1" t="s">
        <v>389</v>
      </c>
      <c r="C95" s="2">
        <v>86.09</v>
      </c>
      <c r="D95" s="2">
        <v>0</v>
      </c>
      <c r="E95" s="2">
        <v>0</v>
      </c>
      <c r="F95" s="2">
        <v>0</v>
      </c>
      <c r="G95" s="2">
        <v>52.35</v>
      </c>
      <c r="H95" s="2">
        <v>0</v>
      </c>
      <c r="I95" s="2">
        <f>SUM(Tabela1[[#This Row],[Mão-de-obra (custo médio)]:[Materiais de troca (custo médio)]])</f>
        <v>52.35</v>
      </c>
      <c r="J95" s="2">
        <f>Tabela1[[#This Row],[Custos da os]]-Tabela1[[#This Row],[Custo dos insumos]]</f>
        <v>-33.74</v>
      </c>
      <c r="K95" s="2" t="str">
        <f>IF(ABS(Tabela1[[#This Row],[Dif. Insumo e OS]])&lt;=0.02,"ok ou um centavo","verificar")</f>
        <v>verificar</v>
      </c>
    </row>
    <row r="96" spans="1:11" hidden="1" x14ac:dyDescent="0.25">
      <c r="A96" s="3" t="s">
        <v>103</v>
      </c>
      <c r="B96" s="3" t="s">
        <v>113</v>
      </c>
      <c r="C96" s="4">
        <v>486.86</v>
      </c>
      <c r="D96" s="4">
        <v>0</v>
      </c>
      <c r="E96" s="4">
        <v>442.86</v>
      </c>
      <c r="F96" s="4">
        <v>44</v>
      </c>
      <c r="G96" s="4">
        <v>0</v>
      </c>
      <c r="H96" s="4">
        <v>0</v>
      </c>
      <c r="I96" s="4">
        <f>SUM(Tabela1[[#This Row],[Mão-de-obra (custo médio)]:[Materiais de troca (custo médio)]])</f>
        <v>486.86</v>
      </c>
      <c r="J96" s="4">
        <f>Tabela1[[#This Row],[Custos da os]]-Tabela1[[#This Row],[Custo dos insumos]]</f>
        <v>0</v>
      </c>
      <c r="K96" s="4" t="str">
        <f>IF(ABS(Tabela1[[#This Row],[Dif. Insumo e OS]])&lt;=0.02,"ok ou um centavo","verificar")</f>
        <v>ok ou um centavo</v>
      </c>
    </row>
    <row r="97" spans="1:11" hidden="1" x14ac:dyDescent="0.25">
      <c r="A97" s="3" t="s">
        <v>103</v>
      </c>
      <c r="B97" s="3" t="s">
        <v>114</v>
      </c>
      <c r="C97" s="4">
        <v>0.11</v>
      </c>
      <c r="D97" s="4">
        <v>0.11</v>
      </c>
      <c r="E97" s="4">
        <v>0</v>
      </c>
      <c r="F97" s="4">
        <v>0</v>
      </c>
      <c r="G97" s="4">
        <v>0</v>
      </c>
      <c r="H97" s="4">
        <v>0</v>
      </c>
      <c r="I97" s="4">
        <f>SUM(Tabela1[[#This Row],[Mão-de-obra (custo médio)]:[Materiais de troca (custo médio)]])</f>
        <v>0.11</v>
      </c>
      <c r="J97" s="4">
        <f>Tabela1[[#This Row],[Custos da os]]-Tabela1[[#This Row],[Custo dos insumos]]</f>
        <v>0</v>
      </c>
      <c r="K97" s="4" t="str">
        <f>IF(ABS(Tabela1[[#This Row],[Dif. Insumo e OS]])&lt;=0.02,"ok ou um centavo","verificar")</f>
        <v>ok ou um centavo</v>
      </c>
    </row>
    <row r="98" spans="1:11" hidden="1" x14ac:dyDescent="0.25">
      <c r="A98" s="3" t="s">
        <v>103</v>
      </c>
      <c r="B98" s="3" t="s">
        <v>115</v>
      </c>
      <c r="C98" s="4">
        <v>23.81</v>
      </c>
      <c r="D98" s="4">
        <v>23.81</v>
      </c>
      <c r="E98" s="4">
        <v>0</v>
      </c>
      <c r="F98" s="4">
        <v>0</v>
      </c>
      <c r="G98" s="4">
        <v>0</v>
      </c>
      <c r="H98" s="4">
        <v>0</v>
      </c>
      <c r="I98" s="4">
        <f>SUM(Tabela1[[#This Row],[Mão-de-obra (custo médio)]:[Materiais de troca (custo médio)]])</f>
        <v>23.81</v>
      </c>
      <c r="J98" s="4">
        <f>Tabela1[[#This Row],[Custos da os]]-Tabela1[[#This Row],[Custo dos insumos]]</f>
        <v>0</v>
      </c>
      <c r="K98" s="4" t="str">
        <f>IF(ABS(Tabela1[[#This Row],[Dif. Insumo e OS]])&lt;=0.02,"ok ou um centavo","verificar")</f>
        <v>ok ou um centavo</v>
      </c>
    </row>
    <row r="99" spans="1:11" hidden="1" x14ac:dyDescent="0.25">
      <c r="A99" s="3" t="s">
        <v>103</v>
      </c>
      <c r="B99" s="3" t="s">
        <v>116</v>
      </c>
      <c r="C99" s="4">
        <v>1249.82</v>
      </c>
      <c r="D99" s="4">
        <v>0.46</v>
      </c>
      <c r="E99" s="4">
        <v>0</v>
      </c>
      <c r="F99" s="4">
        <v>0</v>
      </c>
      <c r="G99" s="4">
        <v>0</v>
      </c>
      <c r="H99" s="4">
        <v>1249.3599999999999</v>
      </c>
      <c r="I99" s="4">
        <f>SUM(Tabela1[[#This Row],[Mão-de-obra (custo médio)]:[Materiais de troca (custo médio)]])</f>
        <v>1249.82</v>
      </c>
      <c r="J99" s="4">
        <f>Tabela1[[#This Row],[Custos da os]]-Tabela1[[#This Row],[Custo dos insumos]]</f>
        <v>0</v>
      </c>
      <c r="K99" s="4" t="str">
        <f>IF(ABS(Tabela1[[#This Row],[Dif. Insumo e OS]])&lt;=0.02,"ok ou um centavo","verificar")</f>
        <v>ok ou um centavo</v>
      </c>
    </row>
    <row r="100" spans="1:11" x14ac:dyDescent="0.25">
      <c r="A100" s="1" t="s">
        <v>281</v>
      </c>
      <c r="B100" s="1" t="s">
        <v>285</v>
      </c>
      <c r="C100" s="2">
        <v>65.77</v>
      </c>
      <c r="D100" s="2">
        <v>0</v>
      </c>
      <c r="E100" s="2">
        <v>0</v>
      </c>
      <c r="F100" s="2">
        <v>0</v>
      </c>
      <c r="G100" s="2">
        <v>34.99</v>
      </c>
      <c r="H100" s="2">
        <v>0</v>
      </c>
      <c r="I100" s="2">
        <f>SUM(Tabela1[[#This Row],[Mão-de-obra (custo médio)]:[Materiais de troca (custo médio)]])</f>
        <v>34.99</v>
      </c>
      <c r="J100" s="2">
        <f>Tabela1[[#This Row],[Custos da os]]-Tabela1[[#This Row],[Custo dos insumos]]</f>
        <v>-30.779999999999994</v>
      </c>
      <c r="K100" s="2" t="str">
        <f>IF(ABS(Tabela1[[#This Row],[Dif. Insumo e OS]])&lt;=0.02,"ok ou um centavo","verificar")</f>
        <v>verificar</v>
      </c>
    </row>
    <row r="101" spans="1:11" x14ac:dyDescent="0.25">
      <c r="A101" s="1" t="s">
        <v>557</v>
      </c>
      <c r="B101" s="1" t="s">
        <v>559</v>
      </c>
      <c r="C101" s="2">
        <v>30.46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f>SUM(Tabela1[[#This Row],[Mão-de-obra (custo médio)]:[Materiais de troca (custo médio)]])</f>
        <v>0</v>
      </c>
      <c r="J101" s="2">
        <f>Tabela1[[#This Row],[Custos da os]]-Tabela1[[#This Row],[Custo dos insumos]]</f>
        <v>-30.46</v>
      </c>
      <c r="K101" s="2" t="str">
        <f>IF(ABS(Tabela1[[#This Row],[Dif. Insumo e OS]])&lt;=0.02,"ok ou um centavo","verificar")</f>
        <v>verificar</v>
      </c>
    </row>
    <row r="102" spans="1:11" x14ac:dyDescent="0.25">
      <c r="A102" s="1" t="s">
        <v>442</v>
      </c>
      <c r="B102" s="1" t="s">
        <v>444</v>
      </c>
      <c r="C102" s="2">
        <v>47.19</v>
      </c>
      <c r="D102" s="2">
        <v>0</v>
      </c>
      <c r="E102" s="2">
        <v>0</v>
      </c>
      <c r="F102" s="2">
        <v>0</v>
      </c>
      <c r="G102" s="2">
        <v>26.2</v>
      </c>
      <c r="H102" s="2">
        <v>0</v>
      </c>
      <c r="I102" s="2">
        <f>SUM(Tabela1[[#This Row],[Mão-de-obra (custo médio)]:[Materiais de troca (custo médio)]])</f>
        <v>26.2</v>
      </c>
      <c r="J102" s="2">
        <f>Tabela1[[#This Row],[Custos da os]]-Tabela1[[#This Row],[Custo dos insumos]]</f>
        <v>-20.99</v>
      </c>
      <c r="K102" s="2" t="str">
        <f>IF(ABS(Tabela1[[#This Row],[Dif. Insumo e OS]])&lt;=0.02,"ok ou um centavo","verificar")</f>
        <v>verificar</v>
      </c>
    </row>
    <row r="103" spans="1:11" x14ac:dyDescent="0.25">
      <c r="A103" s="1" t="s">
        <v>412</v>
      </c>
      <c r="B103" s="1" t="s">
        <v>418</v>
      </c>
      <c r="C103" s="2">
        <v>9.02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f>SUM(Tabela1[[#This Row],[Mão-de-obra (custo médio)]:[Materiais de troca (custo médio)]])</f>
        <v>0</v>
      </c>
      <c r="J103" s="2">
        <f>Tabela1[[#This Row],[Custos da os]]-Tabela1[[#This Row],[Custo dos insumos]]</f>
        <v>-9.02</v>
      </c>
      <c r="K103" s="2" t="str">
        <f>IF(ABS(Tabela1[[#This Row],[Dif. Insumo e OS]])&lt;=0.02,"ok ou um centavo","verificar")</f>
        <v>verificar</v>
      </c>
    </row>
    <row r="104" spans="1:11" x14ac:dyDescent="0.25">
      <c r="A104" s="1" t="s">
        <v>442</v>
      </c>
      <c r="B104" s="1" t="s">
        <v>446</v>
      </c>
      <c r="C104" s="2">
        <v>225.56</v>
      </c>
      <c r="D104" s="2">
        <v>0</v>
      </c>
      <c r="E104" s="2">
        <v>0</v>
      </c>
      <c r="F104" s="2">
        <v>0</v>
      </c>
      <c r="G104" s="2">
        <v>0</v>
      </c>
      <c r="H104" s="2">
        <v>217.82</v>
      </c>
      <c r="I104" s="2">
        <f>SUM(Tabela1[[#This Row],[Mão-de-obra (custo médio)]:[Materiais de troca (custo médio)]])</f>
        <v>217.82</v>
      </c>
      <c r="J104" s="2">
        <f>Tabela1[[#This Row],[Custos da os]]-Tabela1[[#This Row],[Custo dos insumos]]</f>
        <v>-7.7400000000000091</v>
      </c>
      <c r="K104" s="2" t="str">
        <f>IF(ABS(Tabela1[[#This Row],[Dif. Insumo e OS]])&lt;=0.02,"ok ou um centavo","verificar")</f>
        <v>verificar</v>
      </c>
    </row>
    <row r="105" spans="1:11" x14ac:dyDescent="0.25">
      <c r="A105" s="1" t="s">
        <v>8</v>
      </c>
      <c r="B105" s="1" t="s">
        <v>14</v>
      </c>
      <c r="C105" s="2">
        <v>4.12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f>SUM(Tabela1[[#This Row],[Mão-de-obra (custo médio)]:[Materiais de troca (custo médio)]])</f>
        <v>0</v>
      </c>
      <c r="J105" s="2">
        <f>Tabela1[[#This Row],[Custos da os]]-Tabela1[[#This Row],[Custo dos insumos]]</f>
        <v>-4.12</v>
      </c>
      <c r="K105" s="2" t="str">
        <f>IF(ABS(Tabela1[[#This Row],[Dif. Insumo e OS]])&lt;=0.02,"ok ou um centavo","verificar")</f>
        <v>verificar</v>
      </c>
    </row>
    <row r="106" spans="1:11" x14ac:dyDescent="0.25">
      <c r="A106" s="1" t="s">
        <v>277</v>
      </c>
      <c r="B106" s="1" t="s">
        <v>280</v>
      </c>
      <c r="C106" s="2">
        <v>1078.22</v>
      </c>
      <c r="D106" s="2">
        <v>0</v>
      </c>
      <c r="E106" s="2">
        <v>0</v>
      </c>
      <c r="F106" s="2">
        <v>0</v>
      </c>
      <c r="G106" s="2">
        <v>880.46</v>
      </c>
      <c r="H106" s="2">
        <v>194.13</v>
      </c>
      <c r="I106" s="2">
        <f>SUM(Tabela1[[#This Row],[Mão-de-obra (custo médio)]:[Materiais de troca (custo médio)]])</f>
        <v>1074.5900000000001</v>
      </c>
      <c r="J106" s="2">
        <f>Tabela1[[#This Row],[Custos da os]]-Tabela1[[#This Row],[Custo dos insumos]]</f>
        <v>-3.6299999999998818</v>
      </c>
      <c r="K106" s="2" t="str">
        <f>IF(ABS(Tabela1[[#This Row],[Dif. Insumo e OS]])&lt;=0.02,"ok ou um centavo","verificar")</f>
        <v>verificar</v>
      </c>
    </row>
    <row r="107" spans="1:11" hidden="1" x14ac:dyDescent="0.25">
      <c r="A107" s="3" t="s">
        <v>123</v>
      </c>
      <c r="B107" s="3" t="s">
        <v>126</v>
      </c>
      <c r="C107" s="4">
        <v>8.24</v>
      </c>
      <c r="D107" s="4">
        <v>8.24</v>
      </c>
      <c r="E107" s="4">
        <v>0</v>
      </c>
      <c r="F107" s="4">
        <v>0</v>
      </c>
      <c r="G107" s="4">
        <v>0</v>
      </c>
      <c r="H107" s="4">
        <v>0</v>
      </c>
      <c r="I107" s="4">
        <f>SUM(Tabela1[[#This Row],[Mão-de-obra (custo médio)]:[Materiais de troca (custo médio)]])</f>
        <v>8.24</v>
      </c>
      <c r="J107" s="4">
        <f>Tabela1[[#This Row],[Custos da os]]-Tabela1[[#This Row],[Custo dos insumos]]</f>
        <v>0</v>
      </c>
      <c r="K107" s="4" t="str">
        <f>IF(ABS(Tabela1[[#This Row],[Dif. Insumo e OS]])&lt;=0.02,"ok ou um centavo","verificar")</f>
        <v>ok ou um centavo</v>
      </c>
    </row>
    <row r="108" spans="1:11" x14ac:dyDescent="0.25">
      <c r="A108" s="1" t="s">
        <v>659</v>
      </c>
      <c r="B108" s="1" t="s">
        <v>662</v>
      </c>
      <c r="C108" s="2">
        <v>1377.54</v>
      </c>
      <c r="D108" s="2">
        <v>0</v>
      </c>
      <c r="E108" s="2">
        <v>0</v>
      </c>
      <c r="F108" s="2">
        <v>0</v>
      </c>
      <c r="G108" s="2">
        <v>0</v>
      </c>
      <c r="H108" s="2">
        <v>1377.08</v>
      </c>
      <c r="I108" s="2">
        <f>SUM(Tabela1[[#This Row],[Mão-de-obra (custo médio)]:[Materiais de troca (custo médio)]])</f>
        <v>1377.08</v>
      </c>
      <c r="J108" s="2">
        <f>Tabela1[[#This Row],[Custos da os]]-Tabela1[[#This Row],[Custo dos insumos]]</f>
        <v>-0.46000000000003638</v>
      </c>
      <c r="K108" s="2" t="str">
        <f>IF(ABS(Tabela1[[#This Row],[Dif. Insumo e OS]])&lt;=0.02,"ok ou um centavo","verificar")</f>
        <v>verificar</v>
      </c>
    </row>
    <row r="109" spans="1:11" hidden="1" x14ac:dyDescent="0.25">
      <c r="A109" s="3" t="s">
        <v>123</v>
      </c>
      <c r="B109" s="3" t="s">
        <v>128</v>
      </c>
      <c r="C109" s="4">
        <v>363</v>
      </c>
      <c r="D109" s="4">
        <v>0</v>
      </c>
      <c r="E109" s="4">
        <v>363</v>
      </c>
      <c r="F109" s="4">
        <v>0</v>
      </c>
      <c r="G109" s="4">
        <v>0</v>
      </c>
      <c r="H109" s="4">
        <v>0</v>
      </c>
      <c r="I109" s="4">
        <f>SUM(Tabela1[[#This Row],[Mão-de-obra (custo médio)]:[Materiais de troca (custo médio)]])</f>
        <v>363</v>
      </c>
      <c r="J109" s="4">
        <f>Tabela1[[#This Row],[Custos da os]]-Tabela1[[#This Row],[Custo dos insumos]]</f>
        <v>0</v>
      </c>
      <c r="K109" s="4" t="str">
        <f>IF(ABS(Tabela1[[#This Row],[Dif. Insumo e OS]])&lt;=0.02,"ok ou um centavo","verificar")</f>
        <v>ok ou um centavo</v>
      </c>
    </row>
    <row r="110" spans="1:11" x14ac:dyDescent="0.25">
      <c r="A110" s="1" t="s">
        <v>663</v>
      </c>
      <c r="B110" s="1" t="s">
        <v>664</v>
      </c>
      <c r="C110" s="2">
        <v>373.8</v>
      </c>
      <c r="D110" s="2">
        <v>0.21</v>
      </c>
      <c r="E110" s="2">
        <v>0</v>
      </c>
      <c r="F110" s="2">
        <v>0</v>
      </c>
      <c r="G110" s="2">
        <v>0</v>
      </c>
      <c r="H110" s="2">
        <v>373.8</v>
      </c>
      <c r="I110" s="2">
        <f>SUM(Tabela1[[#This Row],[Mão-de-obra (custo médio)]:[Materiais de troca (custo médio)]])</f>
        <v>374.01</v>
      </c>
      <c r="J110" s="2">
        <f>Tabela1[[#This Row],[Custos da os]]-Tabela1[[#This Row],[Custo dos insumos]]</f>
        <v>0.20999999999997954</v>
      </c>
      <c r="K110" s="2" t="str">
        <f>IF(ABS(Tabela1[[#This Row],[Dif. Insumo e OS]])&lt;=0.02,"ok ou um centavo","verificar")</f>
        <v>verificar</v>
      </c>
    </row>
    <row r="111" spans="1:11" hidden="1" x14ac:dyDescent="0.25">
      <c r="A111" s="3" t="s">
        <v>129</v>
      </c>
      <c r="B111" s="3" t="s">
        <v>131</v>
      </c>
      <c r="C111" s="4">
        <v>377.69</v>
      </c>
      <c r="D111" s="4">
        <v>14.69</v>
      </c>
      <c r="E111" s="4">
        <v>0</v>
      </c>
      <c r="F111" s="4">
        <v>0</v>
      </c>
      <c r="G111" s="4">
        <v>363</v>
      </c>
      <c r="H111" s="4">
        <v>0</v>
      </c>
      <c r="I111" s="4">
        <f>SUM(Tabela1[[#This Row],[Mão-de-obra (custo médio)]:[Materiais de troca (custo médio)]])</f>
        <v>377.69</v>
      </c>
      <c r="J111" s="4">
        <f>Tabela1[[#This Row],[Custos da os]]-Tabela1[[#This Row],[Custo dos insumos]]</f>
        <v>0</v>
      </c>
      <c r="K111" s="4" t="str">
        <f>IF(ABS(Tabela1[[#This Row],[Dif. Insumo e OS]])&lt;=0.02,"ok ou um centavo","verificar")</f>
        <v>ok ou um centavo</v>
      </c>
    </row>
    <row r="112" spans="1:11" hidden="1" x14ac:dyDescent="0.25">
      <c r="A112" s="3" t="s">
        <v>129</v>
      </c>
      <c r="B112" s="3" t="s">
        <v>132</v>
      </c>
      <c r="C112" s="4">
        <v>310.61</v>
      </c>
      <c r="D112" s="4">
        <v>0</v>
      </c>
      <c r="E112" s="4">
        <v>304.45999999999998</v>
      </c>
      <c r="F112" s="4">
        <v>6.15</v>
      </c>
      <c r="G112" s="4">
        <v>0</v>
      </c>
      <c r="H112" s="4">
        <v>0</v>
      </c>
      <c r="I112" s="4">
        <f>SUM(Tabela1[[#This Row],[Mão-de-obra (custo médio)]:[Materiais de troca (custo médio)]])</f>
        <v>310.60999999999996</v>
      </c>
      <c r="J112" s="4">
        <f>Tabela1[[#This Row],[Custos da os]]-Tabela1[[#This Row],[Custo dos insumos]]</f>
        <v>0</v>
      </c>
      <c r="K112" s="4" t="str">
        <f>IF(ABS(Tabela1[[#This Row],[Dif. Insumo e OS]])&lt;=0.02,"ok ou um centavo","verificar")</f>
        <v>ok ou um centavo</v>
      </c>
    </row>
    <row r="113" spans="1:11" hidden="1" x14ac:dyDescent="0.25">
      <c r="A113" s="3" t="s">
        <v>133</v>
      </c>
      <c r="B113" s="3" t="s">
        <v>134</v>
      </c>
      <c r="C113" s="4">
        <v>72.599999999999994</v>
      </c>
      <c r="D113" s="4">
        <v>0</v>
      </c>
      <c r="E113" s="4">
        <v>72.599999999999994</v>
      </c>
      <c r="F113" s="4">
        <v>0</v>
      </c>
      <c r="G113" s="4">
        <v>0</v>
      </c>
      <c r="H113" s="4">
        <v>0</v>
      </c>
      <c r="I113" s="4">
        <f>SUM(Tabela1[[#This Row],[Mão-de-obra (custo médio)]:[Materiais de troca (custo médio)]])</f>
        <v>72.599999999999994</v>
      </c>
      <c r="J113" s="4">
        <f>Tabela1[[#This Row],[Custos da os]]-Tabela1[[#This Row],[Custo dos insumos]]</f>
        <v>0</v>
      </c>
      <c r="K113" s="4" t="str">
        <f>IF(ABS(Tabela1[[#This Row],[Dif. Insumo e OS]])&lt;=0.02,"ok ou um centavo","verificar")</f>
        <v>ok ou um centavo</v>
      </c>
    </row>
    <row r="114" spans="1:11" hidden="1" x14ac:dyDescent="0.25">
      <c r="A114" s="3" t="s">
        <v>133</v>
      </c>
      <c r="B114" s="3" t="s">
        <v>135</v>
      </c>
      <c r="C114" s="4">
        <v>67.650000000000006</v>
      </c>
      <c r="D114" s="4">
        <v>36.03</v>
      </c>
      <c r="E114" s="4">
        <v>0</v>
      </c>
      <c r="F114" s="4">
        <v>0</v>
      </c>
      <c r="G114" s="4">
        <v>0</v>
      </c>
      <c r="H114" s="4">
        <v>31.62</v>
      </c>
      <c r="I114" s="4">
        <f>SUM(Tabela1[[#This Row],[Mão-de-obra (custo médio)]:[Materiais de troca (custo médio)]])</f>
        <v>67.650000000000006</v>
      </c>
      <c r="J114" s="4">
        <f>Tabela1[[#This Row],[Custos da os]]-Tabela1[[#This Row],[Custo dos insumos]]</f>
        <v>0</v>
      </c>
      <c r="K114" s="4" t="str">
        <f>IF(ABS(Tabela1[[#This Row],[Dif. Insumo e OS]])&lt;=0.02,"ok ou um centavo","verificar")</f>
        <v>ok ou um centavo</v>
      </c>
    </row>
    <row r="115" spans="1:11" x14ac:dyDescent="0.25">
      <c r="A115" s="1" t="s">
        <v>118</v>
      </c>
      <c r="B115" s="1" t="s">
        <v>122</v>
      </c>
      <c r="C115" s="2">
        <v>284.58999999999997</v>
      </c>
      <c r="D115" s="2">
        <v>0.91</v>
      </c>
      <c r="E115" s="2">
        <v>0</v>
      </c>
      <c r="F115" s="2">
        <v>0</v>
      </c>
      <c r="G115" s="2">
        <v>0</v>
      </c>
      <c r="H115" s="2">
        <v>284.58999999999997</v>
      </c>
      <c r="I115" s="2">
        <f>SUM(Tabela1[[#This Row],[Mão-de-obra (custo médio)]:[Materiais de troca (custo médio)]])</f>
        <v>285.5</v>
      </c>
      <c r="J115" s="2">
        <f>Tabela1[[#This Row],[Custos da os]]-Tabela1[[#This Row],[Custo dos insumos]]</f>
        <v>0.91000000000002501</v>
      </c>
      <c r="K115" s="2" t="str">
        <f>IF(ABS(Tabela1[[#This Row],[Dif. Insumo e OS]])&lt;=0.02,"ok ou um centavo","verificar")</f>
        <v>verificar</v>
      </c>
    </row>
    <row r="116" spans="1:11" hidden="1" x14ac:dyDescent="0.25">
      <c r="A116" s="3" t="s">
        <v>133</v>
      </c>
      <c r="B116" s="3" t="s">
        <v>137</v>
      </c>
      <c r="C116" s="4">
        <v>69.87</v>
      </c>
      <c r="D116" s="4">
        <v>0</v>
      </c>
      <c r="E116" s="4">
        <v>0</v>
      </c>
      <c r="F116" s="4">
        <v>0</v>
      </c>
      <c r="G116" s="4">
        <v>0</v>
      </c>
      <c r="H116" s="4">
        <v>69.87</v>
      </c>
      <c r="I116" s="4">
        <f>SUM(Tabela1[[#This Row],[Mão-de-obra (custo médio)]:[Materiais de troca (custo médio)]])</f>
        <v>69.87</v>
      </c>
      <c r="J116" s="4">
        <f>Tabela1[[#This Row],[Custos da os]]-Tabela1[[#This Row],[Custo dos insumos]]</f>
        <v>0</v>
      </c>
      <c r="K116" s="4" t="str">
        <f>IF(ABS(Tabela1[[#This Row],[Dif. Insumo e OS]])&lt;=0.02,"ok ou um centavo","verificar")</f>
        <v>ok ou um centavo</v>
      </c>
    </row>
    <row r="117" spans="1:11" hidden="1" x14ac:dyDescent="0.25">
      <c r="A117" s="3" t="s">
        <v>133</v>
      </c>
      <c r="B117" s="3" t="s">
        <v>138</v>
      </c>
      <c r="C117" s="4">
        <v>4.07</v>
      </c>
      <c r="D117" s="4">
        <v>4.07</v>
      </c>
      <c r="E117" s="4">
        <v>0</v>
      </c>
      <c r="F117" s="4">
        <v>0</v>
      </c>
      <c r="G117" s="4">
        <v>0</v>
      </c>
      <c r="H117" s="4">
        <v>0</v>
      </c>
      <c r="I117" s="4">
        <f>SUM(Tabela1[[#This Row],[Mão-de-obra (custo médio)]:[Materiais de troca (custo médio)]])</f>
        <v>4.07</v>
      </c>
      <c r="J117" s="4">
        <f>Tabela1[[#This Row],[Custos da os]]-Tabela1[[#This Row],[Custo dos insumos]]</f>
        <v>0</v>
      </c>
      <c r="K117" s="4" t="str">
        <f>IF(ABS(Tabela1[[#This Row],[Dif. Insumo e OS]])&lt;=0.02,"ok ou um centavo","verificar")</f>
        <v>ok ou um centavo</v>
      </c>
    </row>
    <row r="118" spans="1:11" hidden="1" x14ac:dyDescent="0.25">
      <c r="A118" s="3" t="s">
        <v>133</v>
      </c>
      <c r="B118" s="3" t="s">
        <v>139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f>SUM(Tabela1[[#This Row],[Mão-de-obra (custo médio)]:[Materiais de troca (custo médio)]])</f>
        <v>0</v>
      </c>
      <c r="J118" s="4">
        <f>Tabela1[[#This Row],[Custos da os]]-Tabela1[[#This Row],[Custo dos insumos]]</f>
        <v>0</v>
      </c>
      <c r="K118" s="4" t="str">
        <f>IF(ABS(Tabela1[[#This Row],[Dif. Insumo e OS]])&lt;=0.02,"ok ou um centavo","verificar")</f>
        <v>ok ou um centavo</v>
      </c>
    </row>
    <row r="119" spans="1:11" hidden="1" x14ac:dyDescent="0.25">
      <c r="A119" s="3" t="s">
        <v>140</v>
      </c>
      <c r="B119" s="3" t="s">
        <v>141</v>
      </c>
      <c r="C119" s="4">
        <v>47.51</v>
      </c>
      <c r="D119" s="4">
        <v>2.74</v>
      </c>
      <c r="E119" s="4">
        <v>0</v>
      </c>
      <c r="F119" s="4">
        <v>0</v>
      </c>
      <c r="G119" s="4">
        <v>0</v>
      </c>
      <c r="H119" s="4">
        <v>44.77</v>
      </c>
      <c r="I119" s="4">
        <f>SUM(Tabela1[[#This Row],[Mão-de-obra (custo médio)]:[Materiais de troca (custo médio)]])</f>
        <v>47.510000000000005</v>
      </c>
      <c r="J119" s="4">
        <f>Tabela1[[#This Row],[Custos da os]]-Tabela1[[#This Row],[Custo dos insumos]]</f>
        <v>0</v>
      </c>
      <c r="K119" s="4" t="str">
        <f>IF(ABS(Tabela1[[#This Row],[Dif. Insumo e OS]])&lt;=0.02,"ok ou um centavo","verificar")</f>
        <v>ok ou um centavo</v>
      </c>
    </row>
    <row r="120" spans="1:11" x14ac:dyDescent="0.25">
      <c r="A120" s="1" t="s">
        <v>28</v>
      </c>
      <c r="B120" s="1" t="s">
        <v>30</v>
      </c>
      <c r="C120" s="2">
        <v>1345.84</v>
      </c>
      <c r="D120" s="2">
        <v>279.36</v>
      </c>
      <c r="E120" s="2">
        <v>0</v>
      </c>
      <c r="F120" s="2">
        <v>0</v>
      </c>
      <c r="G120" s="2">
        <v>92.87</v>
      </c>
      <c r="H120" s="2">
        <v>979.57</v>
      </c>
      <c r="I120" s="2">
        <f>SUM(Tabela1[[#This Row],[Mão-de-obra (custo médio)]:[Materiais de troca (custo médio)]])</f>
        <v>1351.8000000000002</v>
      </c>
      <c r="J120" s="2">
        <f>Tabela1[[#This Row],[Custos da os]]-Tabela1[[#This Row],[Custo dos insumos]]</f>
        <v>5.9600000000002638</v>
      </c>
      <c r="K120" s="2" t="str">
        <f>IF(ABS(Tabela1[[#This Row],[Dif. Insumo e OS]])&lt;=0.02,"ok ou um centavo","verificar")</f>
        <v>verificar</v>
      </c>
    </row>
    <row r="121" spans="1:11" hidden="1" x14ac:dyDescent="0.25">
      <c r="A121" s="3" t="s">
        <v>140</v>
      </c>
      <c r="B121" s="3" t="s">
        <v>143</v>
      </c>
      <c r="C121" s="4">
        <v>58.74</v>
      </c>
      <c r="D121" s="4">
        <v>34.58</v>
      </c>
      <c r="E121" s="4">
        <v>0</v>
      </c>
      <c r="F121" s="4">
        <v>0</v>
      </c>
      <c r="G121" s="4">
        <v>0</v>
      </c>
      <c r="H121" s="4">
        <v>24.16</v>
      </c>
      <c r="I121" s="4">
        <f>SUM(Tabela1[[#This Row],[Mão-de-obra (custo médio)]:[Materiais de troca (custo médio)]])</f>
        <v>58.739999999999995</v>
      </c>
      <c r="J121" s="4">
        <f>Tabela1[[#This Row],[Custos da os]]-Tabela1[[#This Row],[Custo dos insumos]]</f>
        <v>0</v>
      </c>
      <c r="K121" s="4" t="str">
        <f>IF(ABS(Tabela1[[#This Row],[Dif. Insumo e OS]])&lt;=0.02,"ok ou um centavo","verificar")</f>
        <v>ok ou um centavo</v>
      </c>
    </row>
    <row r="122" spans="1:11" hidden="1" x14ac:dyDescent="0.25">
      <c r="A122" s="3" t="s">
        <v>140</v>
      </c>
      <c r="B122" s="3" t="s">
        <v>144</v>
      </c>
      <c r="C122" s="4">
        <v>2583.4499999999998</v>
      </c>
      <c r="D122" s="4">
        <v>0</v>
      </c>
      <c r="E122" s="4">
        <v>0</v>
      </c>
      <c r="F122" s="4">
        <v>0</v>
      </c>
      <c r="G122" s="4">
        <v>0</v>
      </c>
      <c r="H122" s="4">
        <v>2583.4499999999998</v>
      </c>
      <c r="I122" s="4">
        <f>SUM(Tabela1[[#This Row],[Mão-de-obra (custo médio)]:[Materiais de troca (custo médio)]])</f>
        <v>2583.4499999999998</v>
      </c>
      <c r="J122" s="4">
        <f>Tabela1[[#This Row],[Custos da os]]-Tabela1[[#This Row],[Custo dos insumos]]</f>
        <v>0</v>
      </c>
      <c r="K122" s="4" t="str">
        <f>IF(ABS(Tabela1[[#This Row],[Dif. Insumo e OS]])&lt;=0.02,"ok ou um centavo","verificar")</f>
        <v>ok ou um centavo</v>
      </c>
    </row>
    <row r="123" spans="1:11" hidden="1" x14ac:dyDescent="0.25">
      <c r="A123" s="3" t="s">
        <v>145</v>
      </c>
      <c r="B123" s="3" t="s">
        <v>146</v>
      </c>
      <c r="C123" s="4">
        <v>164.96</v>
      </c>
      <c r="D123" s="4">
        <v>0</v>
      </c>
      <c r="E123" s="4">
        <v>0</v>
      </c>
      <c r="F123" s="4">
        <v>0</v>
      </c>
      <c r="G123" s="4">
        <v>0</v>
      </c>
      <c r="H123" s="4">
        <v>164.96</v>
      </c>
      <c r="I123" s="4">
        <f>SUM(Tabela1[[#This Row],[Mão-de-obra (custo médio)]:[Materiais de troca (custo médio)]])</f>
        <v>164.96</v>
      </c>
      <c r="J123" s="4">
        <f>Tabela1[[#This Row],[Custos da os]]-Tabela1[[#This Row],[Custo dos insumos]]</f>
        <v>0</v>
      </c>
      <c r="K123" s="4" t="str">
        <f>IF(ABS(Tabela1[[#This Row],[Dif. Insumo e OS]])&lt;=0.02,"ok ou um centavo","verificar")</f>
        <v>ok ou um centavo</v>
      </c>
    </row>
    <row r="124" spans="1:11" hidden="1" x14ac:dyDescent="0.25">
      <c r="A124" s="3" t="s">
        <v>145</v>
      </c>
      <c r="B124" s="3" t="s">
        <v>147</v>
      </c>
      <c r="C124" s="4">
        <v>103.49</v>
      </c>
      <c r="D124" s="4">
        <v>103.49</v>
      </c>
      <c r="E124" s="4">
        <v>0</v>
      </c>
      <c r="F124" s="4">
        <v>0</v>
      </c>
      <c r="G124" s="4">
        <v>0</v>
      </c>
      <c r="H124" s="4">
        <v>0</v>
      </c>
      <c r="I124" s="4">
        <f>SUM(Tabela1[[#This Row],[Mão-de-obra (custo médio)]:[Materiais de troca (custo médio)]])</f>
        <v>103.49</v>
      </c>
      <c r="J124" s="4">
        <f>Tabela1[[#This Row],[Custos da os]]-Tabela1[[#This Row],[Custo dos insumos]]</f>
        <v>0</v>
      </c>
      <c r="K124" s="4" t="str">
        <f>IF(ABS(Tabela1[[#This Row],[Dif. Insumo e OS]])&lt;=0.02,"ok ou um centavo","verificar")</f>
        <v>ok ou um centavo</v>
      </c>
    </row>
    <row r="125" spans="1:11" hidden="1" x14ac:dyDescent="0.25">
      <c r="A125" s="3" t="s">
        <v>145</v>
      </c>
      <c r="B125" s="3" t="s">
        <v>148</v>
      </c>
      <c r="C125" s="4">
        <v>257.86</v>
      </c>
      <c r="D125" s="4">
        <v>79.760000000000005</v>
      </c>
      <c r="E125" s="4">
        <v>0</v>
      </c>
      <c r="F125" s="4">
        <v>0</v>
      </c>
      <c r="G125" s="4">
        <v>178.1</v>
      </c>
      <c r="H125" s="4">
        <v>0</v>
      </c>
      <c r="I125" s="4">
        <f>SUM(Tabela1[[#This Row],[Mão-de-obra (custo médio)]:[Materiais de troca (custo médio)]])</f>
        <v>257.86</v>
      </c>
      <c r="J125" s="4">
        <f>Tabela1[[#This Row],[Custos da os]]-Tabela1[[#This Row],[Custo dos insumos]]</f>
        <v>0</v>
      </c>
      <c r="K125" s="4" t="str">
        <f>IF(ABS(Tabela1[[#This Row],[Dif. Insumo e OS]])&lt;=0.02,"ok ou um centavo","verificar")</f>
        <v>ok ou um centavo</v>
      </c>
    </row>
    <row r="126" spans="1:11" hidden="1" x14ac:dyDescent="0.25">
      <c r="A126" s="3" t="s">
        <v>145</v>
      </c>
      <c r="B126" s="3" t="s">
        <v>149</v>
      </c>
      <c r="C126" s="4">
        <v>561.36</v>
      </c>
      <c r="D126" s="4">
        <v>0.11</v>
      </c>
      <c r="E126" s="4">
        <v>0</v>
      </c>
      <c r="F126" s="4">
        <v>0</v>
      </c>
      <c r="G126" s="4">
        <v>0</v>
      </c>
      <c r="H126" s="4">
        <v>561.25</v>
      </c>
      <c r="I126" s="4">
        <f>SUM(Tabela1[[#This Row],[Mão-de-obra (custo médio)]:[Materiais de troca (custo médio)]])</f>
        <v>561.36</v>
      </c>
      <c r="J126" s="4">
        <f>Tabela1[[#This Row],[Custos da os]]-Tabela1[[#This Row],[Custo dos insumos]]</f>
        <v>0</v>
      </c>
      <c r="K126" s="4" t="str">
        <f>IF(ABS(Tabela1[[#This Row],[Dif. Insumo e OS]])&lt;=0.02,"ok ou um centavo","verificar")</f>
        <v>ok ou um centavo</v>
      </c>
    </row>
    <row r="127" spans="1:11" hidden="1" x14ac:dyDescent="0.25">
      <c r="A127" s="3" t="s">
        <v>145</v>
      </c>
      <c r="B127" s="3" t="s">
        <v>150</v>
      </c>
      <c r="C127" s="4">
        <v>1.4</v>
      </c>
      <c r="D127" s="4">
        <v>1.4</v>
      </c>
      <c r="E127" s="4">
        <v>0</v>
      </c>
      <c r="F127" s="4">
        <v>0</v>
      </c>
      <c r="G127" s="4">
        <v>0</v>
      </c>
      <c r="H127" s="4">
        <v>0</v>
      </c>
      <c r="I127" s="4">
        <f>SUM(Tabela1[[#This Row],[Mão-de-obra (custo médio)]:[Materiais de troca (custo médio)]])</f>
        <v>1.4</v>
      </c>
      <c r="J127" s="4">
        <f>Tabela1[[#This Row],[Custos da os]]-Tabela1[[#This Row],[Custo dos insumos]]</f>
        <v>0</v>
      </c>
      <c r="K127" s="4" t="str">
        <f>IF(ABS(Tabela1[[#This Row],[Dif. Insumo e OS]])&lt;=0.02,"ok ou um centavo","verificar")</f>
        <v>ok ou um centavo</v>
      </c>
    </row>
    <row r="128" spans="1:11" x14ac:dyDescent="0.25">
      <c r="A128" s="1" t="s">
        <v>214</v>
      </c>
      <c r="B128" s="1" t="s">
        <v>223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6.93</v>
      </c>
      <c r="I128" s="2">
        <f>SUM(Tabela1[[#This Row],[Mão-de-obra (custo médio)]:[Materiais de troca (custo médio)]])</f>
        <v>6.93</v>
      </c>
      <c r="J128" s="2">
        <f>Tabela1[[#This Row],[Custos da os]]-Tabela1[[#This Row],[Custo dos insumos]]</f>
        <v>6.93</v>
      </c>
      <c r="K128" s="2" t="str">
        <f>IF(ABS(Tabela1[[#This Row],[Dif. Insumo e OS]])&lt;=0.02,"ok ou um centavo","verificar")</f>
        <v>verificar</v>
      </c>
    </row>
    <row r="129" spans="1:11" hidden="1" x14ac:dyDescent="0.25">
      <c r="A129" s="3" t="s">
        <v>145</v>
      </c>
      <c r="B129" s="3" t="s">
        <v>152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f>SUM(Tabela1[[#This Row],[Mão-de-obra (custo médio)]:[Materiais de troca (custo médio)]])</f>
        <v>0</v>
      </c>
      <c r="J129" s="4">
        <f>Tabela1[[#This Row],[Custos da os]]-Tabela1[[#This Row],[Custo dos insumos]]</f>
        <v>0</v>
      </c>
      <c r="K129" s="4" t="str">
        <f>IF(ABS(Tabela1[[#This Row],[Dif. Insumo e OS]])&lt;=0.02,"ok ou um centavo","verificar")</f>
        <v>ok ou um centavo</v>
      </c>
    </row>
    <row r="130" spans="1:11" hidden="1" x14ac:dyDescent="0.25">
      <c r="A130" s="3" t="s">
        <v>153</v>
      </c>
      <c r="B130" s="3" t="s">
        <v>154</v>
      </c>
      <c r="C130" s="4">
        <v>36.619999999999997</v>
      </c>
      <c r="D130" s="4">
        <v>36.619999999999997</v>
      </c>
      <c r="E130" s="4">
        <v>0</v>
      </c>
      <c r="F130" s="4">
        <v>0</v>
      </c>
      <c r="G130" s="4">
        <v>0</v>
      </c>
      <c r="H130" s="4">
        <v>0</v>
      </c>
      <c r="I130" s="4">
        <f>SUM(Tabela1[[#This Row],[Mão-de-obra (custo médio)]:[Materiais de troca (custo médio)]])</f>
        <v>36.619999999999997</v>
      </c>
      <c r="J130" s="4">
        <f>Tabela1[[#This Row],[Custos da os]]-Tabela1[[#This Row],[Custo dos insumos]]</f>
        <v>0</v>
      </c>
      <c r="K130" s="4" t="str">
        <f>IF(ABS(Tabela1[[#This Row],[Dif. Insumo e OS]])&lt;=0.02,"ok ou um centavo","verificar")</f>
        <v>ok ou um centavo</v>
      </c>
    </row>
    <row r="131" spans="1:11" hidden="1" x14ac:dyDescent="0.25">
      <c r="A131" s="3" t="s">
        <v>153</v>
      </c>
      <c r="B131" s="3" t="s">
        <v>155</v>
      </c>
      <c r="C131" s="4">
        <v>69.88</v>
      </c>
      <c r="D131" s="4">
        <v>0</v>
      </c>
      <c r="E131" s="4">
        <v>0</v>
      </c>
      <c r="F131" s="4">
        <v>0</v>
      </c>
      <c r="G131" s="4">
        <v>0</v>
      </c>
      <c r="H131" s="4">
        <v>69.88</v>
      </c>
      <c r="I131" s="4">
        <f>SUM(Tabela1[[#This Row],[Mão-de-obra (custo médio)]:[Materiais de troca (custo médio)]])</f>
        <v>69.88</v>
      </c>
      <c r="J131" s="4">
        <f>Tabela1[[#This Row],[Custos da os]]-Tabela1[[#This Row],[Custo dos insumos]]</f>
        <v>0</v>
      </c>
      <c r="K131" s="4" t="str">
        <f>IF(ABS(Tabela1[[#This Row],[Dif. Insumo e OS]])&lt;=0.02,"ok ou um centavo","verificar")</f>
        <v>ok ou um centavo</v>
      </c>
    </row>
    <row r="132" spans="1:11" hidden="1" x14ac:dyDescent="0.25">
      <c r="A132" s="3" t="s">
        <v>153</v>
      </c>
      <c r="B132" s="3" t="s">
        <v>156</v>
      </c>
      <c r="C132" s="4">
        <v>100.81</v>
      </c>
      <c r="D132" s="4">
        <v>100.81</v>
      </c>
      <c r="E132" s="4">
        <v>0</v>
      </c>
      <c r="F132" s="4">
        <v>0</v>
      </c>
      <c r="G132" s="4">
        <v>0</v>
      </c>
      <c r="H132" s="4">
        <v>0</v>
      </c>
      <c r="I132" s="4">
        <f>SUM(Tabela1[[#This Row],[Mão-de-obra (custo médio)]:[Materiais de troca (custo médio)]])</f>
        <v>100.81</v>
      </c>
      <c r="J132" s="4">
        <f>Tabela1[[#This Row],[Custos da os]]-Tabela1[[#This Row],[Custo dos insumos]]</f>
        <v>0</v>
      </c>
      <c r="K132" s="4" t="str">
        <f>IF(ABS(Tabela1[[#This Row],[Dif. Insumo e OS]])&lt;=0.02,"ok ou um centavo","verificar")</f>
        <v>ok ou um centavo</v>
      </c>
    </row>
    <row r="133" spans="1:11" hidden="1" x14ac:dyDescent="0.25">
      <c r="A133" s="3" t="s">
        <v>153</v>
      </c>
      <c r="B133" s="3" t="s">
        <v>157</v>
      </c>
      <c r="C133" s="4">
        <v>475.68</v>
      </c>
      <c r="D133" s="4">
        <v>38.049999999999997</v>
      </c>
      <c r="E133" s="4">
        <v>0</v>
      </c>
      <c r="F133" s="4">
        <v>0</v>
      </c>
      <c r="G133" s="4">
        <v>437.63</v>
      </c>
      <c r="H133" s="4">
        <v>0</v>
      </c>
      <c r="I133" s="4">
        <f>SUM(Tabela1[[#This Row],[Mão-de-obra (custo médio)]:[Materiais de troca (custo médio)]])</f>
        <v>475.68</v>
      </c>
      <c r="J133" s="4">
        <f>Tabela1[[#This Row],[Custos da os]]-Tabela1[[#This Row],[Custo dos insumos]]</f>
        <v>0</v>
      </c>
      <c r="K133" s="4" t="str">
        <f>IF(ABS(Tabela1[[#This Row],[Dif. Insumo e OS]])&lt;=0.02,"ok ou um centavo","verificar")</f>
        <v>ok ou um centavo</v>
      </c>
    </row>
    <row r="134" spans="1:11" hidden="1" x14ac:dyDescent="0.25">
      <c r="A134" s="3" t="s">
        <v>153</v>
      </c>
      <c r="B134" s="3" t="s">
        <v>158</v>
      </c>
      <c r="C134" s="4">
        <v>145.99</v>
      </c>
      <c r="D134" s="4">
        <v>143.29</v>
      </c>
      <c r="E134" s="4">
        <v>0</v>
      </c>
      <c r="F134" s="4">
        <v>0</v>
      </c>
      <c r="G134" s="4">
        <v>2.7</v>
      </c>
      <c r="H134" s="4">
        <v>0</v>
      </c>
      <c r="I134" s="4">
        <f>SUM(Tabela1[[#This Row],[Mão-de-obra (custo médio)]:[Materiais de troca (custo médio)]])</f>
        <v>145.98999999999998</v>
      </c>
      <c r="J134" s="4">
        <f>Tabela1[[#This Row],[Custos da os]]-Tabela1[[#This Row],[Custo dos insumos]]</f>
        <v>0</v>
      </c>
      <c r="K134" s="4" t="str">
        <f>IF(ABS(Tabela1[[#This Row],[Dif. Insumo e OS]])&lt;=0.02,"ok ou um centavo","verificar")</f>
        <v>ok ou um centavo</v>
      </c>
    </row>
    <row r="135" spans="1:11" hidden="1" x14ac:dyDescent="0.25">
      <c r="A135" s="3" t="s">
        <v>159</v>
      </c>
      <c r="B135" s="3" t="s">
        <v>160</v>
      </c>
      <c r="C135" s="4">
        <v>107.78</v>
      </c>
      <c r="D135" s="4">
        <v>107.78</v>
      </c>
      <c r="E135" s="4">
        <v>0</v>
      </c>
      <c r="F135" s="4">
        <v>0</v>
      </c>
      <c r="G135" s="4">
        <v>0</v>
      </c>
      <c r="H135" s="4">
        <v>0</v>
      </c>
      <c r="I135" s="4">
        <f>SUM(Tabela1[[#This Row],[Mão-de-obra (custo médio)]:[Materiais de troca (custo médio)]])</f>
        <v>107.78</v>
      </c>
      <c r="J135" s="4">
        <f>Tabela1[[#This Row],[Custos da os]]-Tabela1[[#This Row],[Custo dos insumos]]</f>
        <v>0</v>
      </c>
      <c r="K135" s="4" t="str">
        <f>IF(ABS(Tabela1[[#This Row],[Dif. Insumo e OS]])&lt;=0.02,"ok ou um centavo","verificar")</f>
        <v>ok ou um centavo</v>
      </c>
    </row>
    <row r="136" spans="1:11" hidden="1" x14ac:dyDescent="0.25">
      <c r="A136" s="3" t="s">
        <v>159</v>
      </c>
      <c r="B136" s="3" t="s">
        <v>161</v>
      </c>
      <c r="C136" s="4">
        <v>18.77</v>
      </c>
      <c r="D136" s="4">
        <v>15.63</v>
      </c>
      <c r="E136" s="4">
        <v>0</v>
      </c>
      <c r="F136" s="4">
        <v>0</v>
      </c>
      <c r="G136" s="4">
        <v>3.14</v>
      </c>
      <c r="H136" s="4">
        <v>0</v>
      </c>
      <c r="I136" s="4">
        <f>SUM(Tabela1[[#This Row],[Mão-de-obra (custo médio)]:[Materiais de troca (custo médio)]])</f>
        <v>18.77</v>
      </c>
      <c r="J136" s="4">
        <f>Tabela1[[#This Row],[Custos da os]]-Tabela1[[#This Row],[Custo dos insumos]]</f>
        <v>0</v>
      </c>
      <c r="K136" s="4" t="str">
        <f>IF(ABS(Tabela1[[#This Row],[Dif. Insumo e OS]])&lt;=0.02,"ok ou um centavo","verificar")</f>
        <v>ok ou um centavo</v>
      </c>
    </row>
    <row r="137" spans="1:11" hidden="1" x14ac:dyDescent="0.25">
      <c r="A137" s="3" t="s">
        <v>162</v>
      </c>
      <c r="B137" s="3" t="s">
        <v>163</v>
      </c>
      <c r="C137" s="4">
        <v>138.05000000000001</v>
      </c>
      <c r="D137" s="4">
        <v>30.82</v>
      </c>
      <c r="E137" s="4">
        <v>0</v>
      </c>
      <c r="F137" s="4">
        <v>0</v>
      </c>
      <c r="G137" s="4">
        <v>107.23</v>
      </c>
      <c r="H137" s="4">
        <v>0</v>
      </c>
      <c r="I137" s="4">
        <f>SUM(Tabela1[[#This Row],[Mão-de-obra (custo médio)]:[Materiais de troca (custo médio)]])</f>
        <v>138.05000000000001</v>
      </c>
      <c r="J137" s="4">
        <f>Tabela1[[#This Row],[Custos da os]]-Tabela1[[#This Row],[Custo dos insumos]]</f>
        <v>0</v>
      </c>
      <c r="K137" s="4" t="str">
        <f>IF(ABS(Tabela1[[#This Row],[Dif. Insumo e OS]])&lt;=0.02,"ok ou um centavo","verificar")</f>
        <v>ok ou um centavo</v>
      </c>
    </row>
    <row r="138" spans="1:11" hidden="1" x14ac:dyDescent="0.25">
      <c r="A138" s="3" t="s">
        <v>164</v>
      </c>
      <c r="B138" s="3" t="s">
        <v>165</v>
      </c>
      <c r="C138" s="4">
        <v>1416.11</v>
      </c>
      <c r="D138" s="4">
        <v>20.38</v>
      </c>
      <c r="E138" s="4">
        <v>0</v>
      </c>
      <c r="F138" s="4">
        <v>0</v>
      </c>
      <c r="G138" s="4">
        <v>0</v>
      </c>
      <c r="H138" s="4">
        <v>1395.73</v>
      </c>
      <c r="I138" s="4">
        <f>SUM(Tabela1[[#This Row],[Mão-de-obra (custo médio)]:[Materiais de troca (custo médio)]])</f>
        <v>1416.1100000000001</v>
      </c>
      <c r="J138" s="4">
        <f>Tabela1[[#This Row],[Custos da os]]-Tabela1[[#This Row],[Custo dos insumos]]</f>
        <v>0</v>
      </c>
      <c r="K138" s="4" t="str">
        <f>IF(ABS(Tabela1[[#This Row],[Dif. Insumo e OS]])&lt;=0.02,"ok ou um centavo","verificar")</f>
        <v>ok ou um centavo</v>
      </c>
    </row>
    <row r="139" spans="1:11" hidden="1" x14ac:dyDescent="0.25">
      <c r="A139" s="3" t="s">
        <v>164</v>
      </c>
      <c r="B139" s="3" t="s">
        <v>166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f>SUM(Tabela1[[#This Row],[Mão-de-obra (custo médio)]:[Materiais de troca (custo médio)]])</f>
        <v>0</v>
      </c>
      <c r="J139" s="4">
        <f>Tabela1[[#This Row],[Custos da os]]-Tabela1[[#This Row],[Custo dos insumos]]</f>
        <v>0</v>
      </c>
      <c r="K139" s="4" t="str">
        <f>IF(ABS(Tabela1[[#This Row],[Dif. Insumo e OS]])&lt;=0.02,"ok ou um centavo","verificar")</f>
        <v>ok ou um centavo</v>
      </c>
    </row>
    <row r="140" spans="1:11" hidden="1" x14ac:dyDescent="0.25">
      <c r="A140" s="3" t="s">
        <v>164</v>
      </c>
      <c r="B140" s="3" t="s">
        <v>167</v>
      </c>
      <c r="C140" s="4">
        <v>45.26</v>
      </c>
      <c r="D140" s="4">
        <v>3.47</v>
      </c>
      <c r="E140" s="4">
        <v>0</v>
      </c>
      <c r="F140" s="4">
        <v>0</v>
      </c>
      <c r="G140" s="4">
        <v>41.79</v>
      </c>
      <c r="H140" s="4">
        <v>0</v>
      </c>
      <c r="I140" s="4">
        <f>SUM(Tabela1[[#This Row],[Mão-de-obra (custo médio)]:[Materiais de troca (custo médio)]])</f>
        <v>45.26</v>
      </c>
      <c r="J140" s="4">
        <f>Tabela1[[#This Row],[Custos da os]]-Tabela1[[#This Row],[Custo dos insumos]]</f>
        <v>0</v>
      </c>
      <c r="K140" s="4" t="str">
        <f>IF(ABS(Tabela1[[#This Row],[Dif. Insumo e OS]])&lt;=0.02,"ok ou um centavo","verificar")</f>
        <v>ok ou um centavo</v>
      </c>
    </row>
    <row r="141" spans="1:11" hidden="1" x14ac:dyDescent="0.25">
      <c r="A141" s="3" t="s">
        <v>168</v>
      </c>
      <c r="B141" s="3" t="s">
        <v>169</v>
      </c>
      <c r="C141" s="4">
        <v>0.22</v>
      </c>
      <c r="D141" s="4">
        <v>0.22</v>
      </c>
      <c r="E141" s="4">
        <v>0</v>
      </c>
      <c r="F141" s="4">
        <v>0</v>
      </c>
      <c r="G141" s="4">
        <v>0</v>
      </c>
      <c r="H141" s="4">
        <v>0</v>
      </c>
      <c r="I141" s="4">
        <f>SUM(Tabela1[[#This Row],[Mão-de-obra (custo médio)]:[Materiais de troca (custo médio)]])</f>
        <v>0.22</v>
      </c>
      <c r="J141" s="4">
        <f>Tabela1[[#This Row],[Custos da os]]-Tabela1[[#This Row],[Custo dos insumos]]</f>
        <v>0</v>
      </c>
      <c r="K141" s="4" t="str">
        <f>IF(ABS(Tabela1[[#This Row],[Dif. Insumo e OS]])&lt;=0.02,"ok ou um centavo","verificar")</f>
        <v>ok ou um centavo</v>
      </c>
    </row>
    <row r="142" spans="1:11" hidden="1" x14ac:dyDescent="0.25">
      <c r="A142" s="3" t="s">
        <v>168</v>
      </c>
      <c r="B142" s="3" t="s">
        <v>170</v>
      </c>
      <c r="C142" s="4">
        <v>6.06</v>
      </c>
      <c r="D142" s="4">
        <v>0.22</v>
      </c>
      <c r="E142" s="4">
        <v>0</v>
      </c>
      <c r="F142" s="4">
        <v>0</v>
      </c>
      <c r="G142" s="4">
        <v>0</v>
      </c>
      <c r="H142" s="4">
        <v>5.84</v>
      </c>
      <c r="I142" s="4">
        <f>SUM(Tabela1[[#This Row],[Mão-de-obra (custo médio)]:[Materiais de troca (custo médio)]])</f>
        <v>6.06</v>
      </c>
      <c r="J142" s="4">
        <f>Tabela1[[#This Row],[Custos da os]]-Tabela1[[#This Row],[Custo dos insumos]]</f>
        <v>0</v>
      </c>
      <c r="K142" s="4" t="str">
        <f>IF(ABS(Tabela1[[#This Row],[Dif. Insumo e OS]])&lt;=0.02,"ok ou um centavo","verificar")</f>
        <v>ok ou um centavo</v>
      </c>
    </row>
    <row r="143" spans="1:11" hidden="1" x14ac:dyDescent="0.25">
      <c r="A143" s="3" t="s">
        <v>168</v>
      </c>
      <c r="B143" s="3" t="s">
        <v>171</v>
      </c>
      <c r="C143" s="4">
        <v>0.12</v>
      </c>
      <c r="D143" s="4">
        <v>0.12</v>
      </c>
      <c r="E143" s="4">
        <v>0</v>
      </c>
      <c r="F143" s="4">
        <v>0</v>
      </c>
      <c r="G143" s="4">
        <v>0</v>
      </c>
      <c r="H143" s="4">
        <v>0</v>
      </c>
      <c r="I143" s="4">
        <f>SUM(Tabela1[[#This Row],[Mão-de-obra (custo médio)]:[Materiais de troca (custo médio)]])</f>
        <v>0.12</v>
      </c>
      <c r="J143" s="4">
        <f>Tabela1[[#This Row],[Custos da os]]-Tabela1[[#This Row],[Custo dos insumos]]</f>
        <v>0</v>
      </c>
      <c r="K143" s="4" t="str">
        <f>IF(ABS(Tabela1[[#This Row],[Dif. Insumo e OS]])&lt;=0.02,"ok ou um centavo","verificar")</f>
        <v>ok ou um centavo</v>
      </c>
    </row>
    <row r="144" spans="1:11" hidden="1" x14ac:dyDescent="0.25">
      <c r="A144" s="3" t="s">
        <v>168</v>
      </c>
      <c r="B144" s="3" t="s">
        <v>172</v>
      </c>
      <c r="C144" s="4">
        <v>32.69</v>
      </c>
      <c r="D144" s="4">
        <v>4.12</v>
      </c>
      <c r="E144" s="4">
        <v>0</v>
      </c>
      <c r="F144" s="4">
        <v>0</v>
      </c>
      <c r="G144" s="4">
        <v>0</v>
      </c>
      <c r="H144" s="4">
        <v>28.57</v>
      </c>
      <c r="I144" s="4">
        <f>SUM(Tabela1[[#This Row],[Mão-de-obra (custo médio)]:[Materiais de troca (custo médio)]])</f>
        <v>32.69</v>
      </c>
      <c r="J144" s="4">
        <f>Tabela1[[#This Row],[Custos da os]]-Tabela1[[#This Row],[Custo dos insumos]]</f>
        <v>0</v>
      </c>
      <c r="K144" s="4" t="str">
        <f>IF(ABS(Tabela1[[#This Row],[Dif. Insumo e OS]])&lt;=0.02,"ok ou um centavo","verificar")</f>
        <v>ok ou um centavo</v>
      </c>
    </row>
    <row r="145" spans="1:11" x14ac:dyDescent="0.25">
      <c r="A145" s="1" t="s">
        <v>520</v>
      </c>
      <c r="B145" s="1" t="s">
        <v>521</v>
      </c>
      <c r="C145" s="2">
        <v>3.1</v>
      </c>
      <c r="D145" s="2">
        <v>15.87</v>
      </c>
      <c r="E145" s="2">
        <v>0</v>
      </c>
      <c r="F145" s="2">
        <v>0</v>
      </c>
      <c r="G145" s="2">
        <v>0</v>
      </c>
      <c r="H145" s="2">
        <v>0</v>
      </c>
      <c r="I145" s="2">
        <f>SUM(Tabela1[[#This Row],[Mão-de-obra (custo médio)]:[Materiais de troca (custo médio)]])</f>
        <v>15.87</v>
      </c>
      <c r="J145" s="2">
        <f>Tabela1[[#This Row],[Custos da os]]-Tabela1[[#This Row],[Custo dos insumos]]</f>
        <v>12.77</v>
      </c>
      <c r="K145" s="2" t="str">
        <f>IF(ABS(Tabela1[[#This Row],[Dif. Insumo e OS]])&lt;=0.02,"ok ou um centavo","verificar")</f>
        <v>verificar</v>
      </c>
    </row>
    <row r="146" spans="1:11" hidden="1" x14ac:dyDescent="0.25">
      <c r="A146" s="3" t="s">
        <v>174</v>
      </c>
      <c r="B146" s="3" t="s">
        <v>175</v>
      </c>
      <c r="C146" s="4">
        <v>37.51</v>
      </c>
      <c r="D146" s="4">
        <v>8.19</v>
      </c>
      <c r="E146" s="4">
        <v>0</v>
      </c>
      <c r="F146" s="4">
        <v>0</v>
      </c>
      <c r="G146" s="4">
        <v>29.32</v>
      </c>
      <c r="H146" s="4">
        <v>0</v>
      </c>
      <c r="I146" s="4">
        <f>SUM(Tabela1[[#This Row],[Mão-de-obra (custo médio)]:[Materiais de troca (custo médio)]])</f>
        <v>37.51</v>
      </c>
      <c r="J146" s="4">
        <f>Tabela1[[#This Row],[Custos da os]]-Tabela1[[#This Row],[Custo dos insumos]]</f>
        <v>0</v>
      </c>
      <c r="K146" s="4" t="str">
        <f>IF(ABS(Tabela1[[#This Row],[Dif. Insumo e OS]])&lt;=0.02,"ok ou um centavo","verificar")</f>
        <v>ok ou um centavo</v>
      </c>
    </row>
    <row r="147" spans="1:11" hidden="1" x14ac:dyDescent="0.25">
      <c r="A147" s="3" t="s">
        <v>174</v>
      </c>
      <c r="B147" s="3" t="s">
        <v>176</v>
      </c>
      <c r="C147" s="4">
        <v>1240.4100000000001</v>
      </c>
      <c r="D147" s="4">
        <v>16.350000000000001</v>
      </c>
      <c r="E147" s="4">
        <v>0</v>
      </c>
      <c r="F147" s="4">
        <v>0</v>
      </c>
      <c r="G147" s="4">
        <v>1224.06</v>
      </c>
      <c r="H147" s="4">
        <v>0</v>
      </c>
      <c r="I147" s="4">
        <f>SUM(Tabela1[[#This Row],[Mão-de-obra (custo médio)]:[Materiais de troca (custo médio)]])</f>
        <v>1240.4099999999999</v>
      </c>
      <c r="J147" s="4">
        <f>Tabela1[[#This Row],[Custos da os]]-Tabela1[[#This Row],[Custo dos insumos]]</f>
        <v>0</v>
      </c>
      <c r="K147" s="4" t="str">
        <f>IF(ABS(Tabela1[[#This Row],[Dif. Insumo e OS]])&lt;=0.02,"ok ou um centavo","verificar")</f>
        <v>ok ou um centavo</v>
      </c>
    </row>
    <row r="148" spans="1:11" hidden="1" x14ac:dyDescent="0.25">
      <c r="A148" s="3" t="s">
        <v>177</v>
      </c>
      <c r="B148" s="3" t="s">
        <v>178</v>
      </c>
      <c r="C148" s="4">
        <v>325.08</v>
      </c>
      <c r="D148" s="4">
        <v>0.28999999999999998</v>
      </c>
      <c r="E148" s="4">
        <v>0</v>
      </c>
      <c r="F148" s="4">
        <v>0</v>
      </c>
      <c r="G148" s="4">
        <v>0</v>
      </c>
      <c r="H148" s="4">
        <v>324.79000000000002</v>
      </c>
      <c r="I148" s="4">
        <f>SUM(Tabela1[[#This Row],[Mão-de-obra (custo médio)]:[Materiais de troca (custo médio)]])</f>
        <v>325.08000000000004</v>
      </c>
      <c r="J148" s="4">
        <f>Tabela1[[#This Row],[Custos da os]]-Tabela1[[#This Row],[Custo dos insumos]]</f>
        <v>0</v>
      </c>
      <c r="K148" s="4" t="str">
        <f>IF(ABS(Tabela1[[#This Row],[Dif. Insumo e OS]])&lt;=0.02,"ok ou um centavo","verificar")</f>
        <v>ok ou um centavo</v>
      </c>
    </row>
    <row r="149" spans="1:11" hidden="1" x14ac:dyDescent="0.25">
      <c r="A149" s="3" t="s">
        <v>177</v>
      </c>
      <c r="B149" s="3" t="s">
        <v>179</v>
      </c>
      <c r="C149" s="4">
        <v>188.1</v>
      </c>
      <c r="D149" s="4">
        <v>188.1</v>
      </c>
      <c r="E149" s="4">
        <v>0</v>
      </c>
      <c r="F149" s="4">
        <v>0</v>
      </c>
      <c r="G149" s="4">
        <v>0</v>
      </c>
      <c r="H149" s="4">
        <v>0</v>
      </c>
      <c r="I149" s="4">
        <f>SUM(Tabela1[[#This Row],[Mão-de-obra (custo médio)]:[Materiais de troca (custo médio)]])</f>
        <v>188.1</v>
      </c>
      <c r="J149" s="4">
        <f>Tabela1[[#This Row],[Custos da os]]-Tabela1[[#This Row],[Custo dos insumos]]</f>
        <v>0</v>
      </c>
      <c r="K149" s="4" t="str">
        <f>IF(ABS(Tabela1[[#This Row],[Dif. Insumo e OS]])&lt;=0.02,"ok ou um centavo","verificar")</f>
        <v>ok ou um centavo</v>
      </c>
    </row>
    <row r="150" spans="1:11" hidden="1" x14ac:dyDescent="0.25">
      <c r="A150" s="3" t="s">
        <v>177</v>
      </c>
      <c r="B150" s="3" t="s">
        <v>180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f>SUM(Tabela1[[#This Row],[Mão-de-obra (custo médio)]:[Materiais de troca (custo médio)]])</f>
        <v>0</v>
      </c>
      <c r="J150" s="4">
        <f>Tabela1[[#This Row],[Custos da os]]-Tabela1[[#This Row],[Custo dos insumos]]</f>
        <v>0</v>
      </c>
      <c r="K150" s="4" t="str">
        <f>IF(ABS(Tabela1[[#This Row],[Dif. Insumo e OS]])&lt;=0.02,"ok ou um centavo","verificar")</f>
        <v>ok ou um centavo</v>
      </c>
    </row>
    <row r="151" spans="1:11" hidden="1" x14ac:dyDescent="0.25">
      <c r="A151" s="3" t="s">
        <v>177</v>
      </c>
      <c r="B151" s="3" t="s">
        <v>181</v>
      </c>
      <c r="C151" s="4">
        <v>47.57</v>
      </c>
      <c r="D151" s="4">
        <v>0</v>
      </c>
      <c r="E151" s="4">
        <v>0</v>
      </c>
      <c r="F151" s="4">
        <v>0</v>
      </c>
      <c r="G151" s="4">
        <v>0</v>
      </c>
      <c r="H151" s="4">
        <v>47.57</v>
      </c>
      <c r="I151" s="4">
        <f>SUM(Tabela1[[#This Row],[Mão-de-obra (custo médio)]:[Materiais de troca (custo médio)]])</f>
        <v>47.57</v>
      </c>
      <c r="J151" s="4">
        <f>Tabela1[[#This Row],[Custos da os]]-Tabela1[[#This Row],[Custo dos insumos]]</f>
        <v>0</v>
      </c>
      <c r="K151" s="4" t="str">
        <f>IF(ABS(Tabela1[[#This Row],[Dif. Insumo e OS]])&lt;=0.02,"ok ou um centavo","verificar")</f>
        <v>ok ou um centavo</v>
      </c>
    </row>
    <row r="152" spans="1:11" hidden="1" x14ac:dyDescent="0.25">
      <c r="A152" s="3" t="s">
        <v>177</v>
      </c>
      <c r="B152" s="3" t="s">
        <v>182</v>
      </c>
      <c r="C152" s="4">
        <v>215.56</v>
      </c>
      <c r="D152" s="4">
        <v>215.56</v>
      </c>
      <c r="E152" s="4">
        <v>0</v>
      </c>
      <c r="F152" s="4">
        <v>0</v>
      </c>
      <c r="G152" s="4">
        <v>0</v>
      </c>
      <c r="H152" s="4">
        <v>0</v>
      </c>
      <c r="I152" s="4">
        <f>SUM(Tabela1[[#This Row],[Mão-de-obra (custo médio)]:[Materiais de troca (custo médio)]])</f>
        <v>215.56</v>
      </c>
      <c r="J152" s="4">
        <f>Tabela1[[#This Row],[Custos da os]]-Tabela1[[#This Row],[Custo dos insumos]]</f>
        <v>0</v>
      </c>
      <c r="K152" s="4" t="str">
        <f>IF(ABS(Tabela1[[#This Row],[Dif. Insumo e OS]])&lt;=0.02,"ok ou um centavo","verificar")</f>
        <v>ok ou um centavo</v>
      </c>
    </row>
    <row r="153" spans="1:11" hidden="1" x14ac:dyDescent="0.25">
      <c r="A153" s="3" t="s">
        <v>177</v>
      </c>
      <c r="B153" s="3" t="s">
        <v>183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f>SUM(Tabela1[[#This Row],[Mão-de-obra (custo médio)]:[Materiais de troca (custo médio)]])</f>
        <v>0</v>
      </c>
      <c r="J153" s="4">
        <f>Tabela1[[#This Row],[Custos da os]]-Tabela1[[#This Row],[Custo dos insumos]]</f>
        <v>0</v>
      </c>
      <c r="K153" s="4" t="str">
        <f>IF(ABS(Tabela1[[#This Row],[Dif. Insumo e OS]])&lt;=0.02,"ok ou um centavo","verificar")</f>
        <v>ok ou um centavo</v>
      </c>
    </row>
    <row r="154" spans="1:11" hidden="1" x14ac:dyDescent="0.25">
      <c r="A154" s="3" t="s">
        <v>177</v>
      </c>
      <c r="B154" s="3" t="s">
        <v>184</v>
      </c>
      <c r="C154" s="4">
        <v>333.11</v>
      </c>
      <c r="D154" s="4">
        <v>0.22</v>
      </c>
      <c r="E154" s="4">
        <v>0</v>
      </c>
      <c r="F154" s="4">
        <v>0</v>
      </c>
      <c r="G154" s="4">
        <v>0</v>
      </c>
      <c r="H154" s="4">
        <v>332.89</v>
      </c>
      <c r="I154" s="4">
        <f>SUM(Tabela1[[#This Row],[Mão-de-obra (custo médio)]:[Materiais de troca (custo médio)]])</f>
        <v>333.11</v>
      </c>
      <c r="J154" s="4">
        <f>Tabela1[[#This Row],[Custos da os]]-Tabela1[[#This Row],[Custo dos insumos]]</f>
        <v>0</v>
      </c>
      <c r="K154" s="4" t="str">
        <f>IF(ABS(Tabela1[[#This Row],[Dif. Insumo e OS]])&lt;=0.02,"ok ou um centavo","verificar")</f>
        <v>ok ou um centavo</v>
      </c>
    </row>
    <row r="155" spans="1:11" hidden="1" x14ac:dyDescent="0.25">
      <c r="A155" s="3" t="s">
        <v>177</v>
      </c>
      <c r="B155" s="3" t="s">
        <v>185</v>
      </c>
      <c r="C155" s="4">
        <v>106.22</v>
      </c>
      <c r="D155" s="4">
        <v>26.6</v>
      </c>
      <c r="E155" s="4">
        <v>0</v>
      </c>
      <c r="F155" s="4">
        <v>0</v>
      </c>
      <c r="G155" s="4">
        <v>0</v>
      </c>
      <c r="H155" s="4">
        <v>79.61</v>
      </c>
      <c r="I155" s="4">
        <f>SUM(Tabela1[[#This Row],[Mão-de-obra (custo médio)]:[Materiais de troca (custo médio)]])</f>
        <v>106.21000000000001</v>
      </c>
      <c r="J155" s="4">
        <f>Tabela1[[#This Row],[Custos da os]]-Tabela1[[#This Row],[Custo dos insumos]]</f>
        <v>-9.9999999999909051E-3</v>
      </c>
      <c r="K155" s="4" t="str">
        <f>IF(ABS(Tabela1[[#This Row],[Dif. Insumo e OS]])&lt;=0.02,"ok ou um centavo","verificar")</f>
        <v>ok ou um centavo</v>
      </c>
    </row>
    <row r="156" spans="1:11" hidden="1" x14ac:dyDescent="0.25">
      <c r="A156" s="3" t="s">
        <v>177</v>
      </c>
      <c r="B156" s="3" t="s">
        <v>186</v>
      </c>
      <c r="C156" s="4">
        <v>1664.3</v>
      </c>
      <c r="D156" s="4">
        <v>0</v>
      </c>
      <c r="E156" s="4">
        <v>0</v>
      </c>
      <c r="F156" s="4">
        <v>0</v>
      </c>
      <c r="G156" s="4">
        <v>0</v>
      </c>
      <c r="H156" s="4">
        <v>1664.3</v>
      </c>
      <c r="I156" s="4">
        <f>SUM(Tabela1[[#This Row],[Mão-de-obra (custo médio)]:[Materiais de troca (custo médio)]])</f>
        <v>1664.3</v>
      </c>
      <c r="J156" s="4">
        <f>Tabela1[[#This Row],[Custos da os]]-Tabela1[[#This Row],[Custo dos insumos]]</f>
        <v>0</v>
      </c>
      <c r="K156" s="4" t="str">
        <f>IF(ABS(Tabela1[[#This Row],[Dif. Insumo e OS]])&lt;=0.02,"ok ou um centavo","verificar")</f>
        <v>ok ou um centavo</v>
      </c>
    </row>
    <row r="157" spans="1:11" hidden="1" x14ac:dyDescent="0.25">
      <c r="A157" s="3" t="s">
        <v>177</v>
      </c>
      <c r="B157" s="3" t="s">
        <v>187</v>
      </c>
      <c r="C157" s="4">
        <v>29.52</v>
      </c>
      <c r="D157" s="4">
        <v>29.52</v>
      </c>
      <c r="E157" s="4">
        <v>0</v>
      </c>
      <c r="F157" s="4">
        <v>0</v>
      </c>
      <c r="G157" s="4">
        <v>0</v>
      </c>
      <c r="H157" s="4">
        <v>0</v>
      </c>
      <c r="I157" s="4">
        <f>SUM(Tabela1[[#This Row],[Mão-de-obra (custo médio)]:[Materiais de troca (custo médio)]])</f>
        <v>29.52</v>
      </c>
      <c r="J157" s="4">
        <f>Tabela1[[#This Row],[Custos da os]]-Tabela1[[#This Row],[Custo dos insumos]]</f>
        <v>0</v>
      </c>
      <c r="K157" s="4" t="str">
        <f>IF(ABS(Tabela1[[#This Row],[Dif. Insumo e OS]])&lt;=0.02,"ok ou um centavo","verificar")</f>
        <v>ok ou um centavo</v>
      </c>
    </row>
    <row r="158" spans="1:11" hidden="1" x14ac:dyDescent="0.25">
      <c r="A158" s="3" t="s">
        <v>177</v>
      </c>
      <c r="B158" s="3" t="s">
        <v>188</v>
      </c>
      <c r="C158" s="4">
        <v>84.32</v>
      </c>
      <c r="D158" s="4">
        <v>84.32</v>
      </c>
      <c r="E158" s="4">
        <v>0</v>
      </c>
      <c r="F158" s="4">
        <v>0</v>
      </c>
      <c r="G158" s="4">
        <v>0</v>
      </c>
      <c r="H158" s="4">
        <v>0</v>
      </c>
      <c r="I158" s="4">
        <f>SUM(Tabela1[[#This Row],[Mão-de-obra (custo médio)]:[Materiais de troca (custo médio)]])</f>
        <v>84.32</v>
      </c>
      <c r="J158" s="4">
        <f>Tabela1[[#This Row],[Custos da os]]-Tabela1[[#This Row],[Custo dos insumos]]</f>
        <v>0</v>
      </c>
      <c r="K158" s="4" t="str">
        <f>IF(ABS(Tabela1[[#This Row],[Dif. Insumo e OS]])&lt;=0.02,"ok ou um centavo","verificar")</f>
        <v>ok ou um centavo</v>
      </c>
    </row>
    <row r="159" spans="1:11" hidden="1" x14ac:dyDescent="0.25">
      <c r="A159" s="3" t="s">
        <v>189</v>
      </c>
      <c r="B159" s="3" t="s">
        <v>190</v>
      </c>
      <c r="C159" s="4">
        <v>591.88</v>
      </c>
      <c r="D159" s="4">
        <v>157.03</v>
      </c>
      <c r="E159" s="4">
        <v>0</v>
      </c>
      <c r="F159" s="4">
        <v>0</v>
      </c>
      <c r="G159" s="4">
        <v>0</v>
      </c>
      <c r="H159" s="4">
        <v>434.84</v>
      </c>
      <c r="I159" s="4">
        <f>SUM(Tabela1[[#This Row],[Mão-de-obra (custo médio)]:[Materiais de troca (custo médio)]])</f>
        <v>591.87</v>
      </c>
      <c r="J159" s="4">
        <f>Tabela1[[#This Row],[Custos da os]]-Tabela1[[#This Row],[Custo dos insumos]]</f>
        <v>-9.9999999999909051E-3</v>
      </c>
      <c r="K159" s="4" t="str">
        <f>IF(ABS(Tabela1[[#This Row],[Dif. Insumo e OS]])&lt;=0.02,"ok ou um centavo","verificar")</f>
        <v>ok ou um centavo</v>
      </c>
    </row>
    <row r="160" spans="1:11" hidden="1" x14ac:dyDescent="0.25">
      <c r="A160" s="3" t="s">
        <v>189</v>
      </c>
      <c r="B160" s="3" t="s">
        <v>191</v>
      </c>
      <c r="C160" s="4">
        <v>26.95</v>
      </c>
      <c r="D160" s="4">
        <v>26.95</v>
      </c>
      <c r="E160" s="4">
        <v>0</v>
      </c>
      <c r="F160" s="4">
        <v>0</v>
      </c>
      <c r="G160" s="4">
        <v>0</v>
      </c>
      <c r="H160" s="4">
        <v>0</v>
      </c>
      <c r="I160" s="4">
        <f>SUM(Tabela1[[#This Row],[Mão-de-obra (custo médio)]:[Materiais de troca (custo médio)]])</f>
        <v>26.95</v>
      </c>
      <c r="J160" s="4">
        <f>Tabela1[[#This Row],[Custos da os]]-Tabela1[[#This Row],[Custo dos insumos]]</f>
        <v>0</v>
      </c>
      <c r="K160" s="4" t="str">
        <f>IF(ABS(Tabela1[[#This Row],[Dif. Insumo e OS]])&lt;=0.02,"ok ou um centavo","verificar")</f>
        <v>ok ou um centavo</v>
      </c>
    </row>
    <row r="161" spans="1:11" hidden="1" x14ac:dyDescent="0.25">
      <c r="A161" s="3" t="s">
        <v>189</v>
      </c>
      <c r="B161" s="3" t="s">
        <v>192</v>
      </c>
      <c r="C161" s="4">
        <v>80.83</v>
      </c>
      <c r="D161" s="4">
        <v>80.83</v>
      </c>
      <c r="E161" s="4">
        <v>0</v>
      </c>
      <c r="F161" s="4">
        <v>0</v>
      </c>
      <c r="G161" s="4">
        <v>0</v>
      </c>
      <c r="H161" s="4">
        <v>0</v>
      </c>
      <c r="I161" s="4">
        <f>SUM(Tabela1[[#This Row],[Mão-de-obra (custo médio)]:[Materiais de troca (custo médio)]])</f>
        <v>80.83</v>
      </c>
      <c r="J161" s="4">
        <f>Tabela1[[#This Row],[Custos da os]]-Tabela1[[#This Row],[Custo dos insumos]]</f>
        <v>0</v>
      </c>
      <c r="K161" s="4" t="str">
        <f>IF(ABS(Tabela1[[#This Row],[Dif. Insumo e OS]])&lt;=0.02,"ok ou um centavo","verificar")</f>
        <v>ok ou um centavo</v>
      </c>
    </row>
    <row r="162" spans="1:11" hidden="1" x14ac:dyDescent="0.25">
      <c r="A162" s="3" t="s">
        <v>189</v>
      </c>
      <c r="B162" s="3" t="s">
        <v>193</v>
      </c>
      <c r="C162" s="4">
        <v>1595.92</v>
      </c>
      <c r="D162" s="4">
        <v>1151.26</v>
      </c>
      <c r="E162" s="4">
        <v>0</v>
      </c>
      <c r="F162" s="4">
        <v>0</v>
      </c>
      <c r="G162" s="4">
        <v>0</v>
      </c>
      <c r="H162" s="4">
        <v>444.66</v>
      </c>
      <c r="I162" s="4">
        <f>SUM(Tabela1[[#This Row],[Mão-de-obra (custo médio)]:[Materiais de troca (custo médio)]])</f>
        <v>1595.92</v>
      </c>
      <c r="J162" s="4">
        <f>Tabela1[[#This Row],[Custos da os]]-Tabela1[[#This Row],[Custo dos insumos]]</f>
        <v>0</v>
      </c>
      <c r="K162" s="4" t="str">
        <f>IF(ABS(Tabela1[[#This Row],[Dif. Insumo e OS]])&lt;=0.02,"ok ou um centavo","verificar")</f>
        <v>ok ou um centavo</v>
      </c>
    </row>
    <row r="163" spans="1:11" hidden="1" x14ac:dyDescent="0.25">
      <c r="A163" s="3" t="s">
        <v>189</v>
      </c>
      <c r="B163" s="3" t="s">
        <v>194</v>
      </c>
      <c r="C163" s="4">
        <v>161.56</v>
      </c>
      <c r="D163" s="4">
        <v>161.57</v>
      </c>
      <c r="E163" s="4">
        <v>0</v>
      </c>
      <c r="F163" s="4">
        <v>0</v>
      </c>
      <c r="G163" s="4">
        <v>0</v>
      </c>
      <c r="H163" s="4">
        <v>0</v>
      </c>
      <c r="I163" s="4">
        <f>SUM(Tabela1[[#This Row],[Mão-de-obra (custo médio)]:[Materiais de troca (custo médio)]])</f>
        <v>161.57</v>
      </c>
      <c r="J163" s="4">
        <f>Tabela1[[#This Row],[Custos da os]]-Tabela1[[#This Row],[Custo dos insumos]]</f>
        <v>9.9999999999909051E-3</v>
      </c>
      <c r="K163" s="4" t="str">
        <f>IF(ABS(Tabela1[[#This Row],[Dif. Insumo e OS]])&lt;=0.02,"ok ou um centavo","verificar")</f>
        <v>ok ou um centavo</v>
      </c>
    </row>
    <row r="164" spans="1:11" hidden="1" x14ac:dyDescent="0.25">
      <c r="A164" s="3" t="s">
        <v>189</v>
      </c>
      <c r="B164" s="3" t="s">
        <v>195</v>
      </c>
      <c r="C164" s="4">
        <v>1.73</v>
      </c>
      <c r="D164" s="4">
        <v>0</v>
      </c>
      <c r="E164" s="4">
        <v>0</v>
      </c>
      <c r="F164" s="4">
        <v>0</v>
      </c>
      <c r="G164" s="4">
        <v>0</v>
      </c>
      <c r="H164" s="4">
        <v>1.73</v>
      </c>
      <c r="I164" s="4">
        <f>SUM(Tabela1[[#This Row],[Mão-de-obra (custo médio)]:[Materiais de troca (custo médio)]])</f>
        <v>1.73</v>
      </c>
      <c r="J164" s="4">
        <f>Tabela1[[#This Row],[Custos da os]]-Tabela1[[#This Row],[Custo dos insumos]]</f>
        <v>0</v>
      </c>
      <c r="K164" s="4" t="str">
        <f>IF(ABS(Tabela1[[#This Row],[Dif. Insumo e OS]])&lt;=0.02,"ok ou um centavo","verificar")</f>
        <v>ok ou um centavo</v>
      </c>
    </row>
    <row r="165" spans="1:11" hidden="1" x14ac:dyDescent="0.25">
      <c r="A165" s="3" t="s">
        <v>189</v>
      </c>
      <c r="B165" s="3" t="s">
        <v>196</v>
      </c>
      <c r="C165" s="4">
        <v>239.41</v>
      </c>
      <c r="D165" s="4">
        <v>239.4</v>
      </c>
      <c r="E165" s="4">
        <v>0</v>
      </c>
      <c r="F165" s="4">
        <v>0</v>
      </c>
      <c r="G165" s="4">
        <v>0</v>
      </c>
      <c r="H165" s="4">
        <v>0</v>
      </c>
      <c r="I165" s="4">
        <f>SUM(Tabela1[[#This Row],[Mão-de-obra (custo médio)]:[Materiais de troca (custo médio)]])</f>
        <v>239.4</v>
      </c>
      <c r="J165" s="4">
        <f>Tabela1[[#This Row],[Custos da os]]-Tabela1[[#This Row],[Custo dos insumos]]</f>
        <v>-9.9999999999909051E-3</v>
      </c>
      <c r="K165" s="4" t="str">
        <f>IF(ABS(Tabela1[[#This Row],[Dif. Insumo e OS]])&lt;=0.02,"ok ou um centavo","verificar")</f>
        <v>ok ou um centavo</v>
      </c>
    </row>
    <row r="166" spans="1:11" hidden="1" x14ac:dyDescent="0.25">
      <c r="A166" s="3" t="s">
        <v>189</v>
      </c>
      <c r="B166" s="3" t="s">
        <v>197</v>
      </c>
      <c r="C166" s="4">
        <v>815.01</v>
      </c>
      <c r="D166" s="4">
        <v>168.64</v>
      </c>
      <c r="E166" s="4">
        <v>0</v>
      </c>
      <c r="F166" s="4">
        <v>0</v>
      </c>
      <c r="G166" s="4">
        <v>0</v>
      </c>
      <c r="H166" s="4">
        <v>646.37</v>
      </c>
      <c r="I166" s="4">
        <f>SUM(Tabela1[[#This Row],[Mão-de-obra (custo médio)]:[Materiais de troca (custo médio)]])</f>
        <v>815.01</v>
      </c>
      <c r="J166" s="4">
        <f>Tabela1[[#This Row],[Custos da os]]-Tabela1[[#This Row],[Custo dos insumos]]</f>
        <v>0</v>
      </c>
      <c r="K166" s="4" t="str">
        <f>IF(ABS(Tabela1[[#This Row],[Dif. Insumo e OS]])&lt;=0.02,"ok ou um centavo","verificar")</f>
        <v>ok ou um centavo</v>
      </c>
    </row>
    <row r="167" spans="1:11" hidden="1" x14ac:dyDescent="0.25">
      <c r="A167" s="3" t="s">
        <v>189</v>
      </c>
      <c r="B167" s="3" t="s">
        <v>198</v>
      </c>
      <c r="C167" s="4">
        <v>65.78</v>
      </c>
      <c r="D167" s="4">
        <v>65.78</v>
      </c>
      <c r="E167" s="4">
        <v>0</v>
      </c>
      <c r="F167" s="4">
        <v>0</v>
      </c>
      <c r="G167" s="4">
        <v>0</v>
      </c>
      <c r="H167" s="4">
        <v>0</v>
      </c>
      <c r="I167" s="4">
        <f>SUM(Tabela1[[#This Row],[Mão-de-obra (custo médio)]:[Materiais de troca (custo médio)]])</f>
        <v>65.78</v>
      </c>
      <c r="J167" s="4">
        <f>Tabela1[[#This Row],[Custos da os]]-Tabela1[[#This Row],[Custo dos insumos]]</f>
        <v>0</v>
      </c>
      <c r="K167" s="4" t="str">
        <f>IF(ABS(Tabela1[[#This Row],[Dif. Insumo e OS]])&lt;=0.02,"ok ou um centavo","verificar")</f>
        <v>ok ou um centavo</v>
      </c>
    </row>
    <row r="168" spans="1:11" hidden="1" x14ac:dyDescent="0.25">
      <c r="A168" s="3" t="s">
        <v>189</v>
      </c>
      <c r="B168" s="3" t="s">
        <v>199</v>
      </c>
      <c r="C168" s="4">
        <v>52.39</v>
      </c>
      <c r="D168" s="4">
        <v>52.39</v>
      </c>
      <c r="E168" s="4">
        <v>0</v>
      </c>
      <c r="F168" s="4">
        <v>0</v>
      </c>
      <c r="G168" s="4">
        <v>0</v>
      </c>
      <c r="H168" s="4">
        <v>0</v>
      </c>
      <c r="I168" s="4">
        <f>SUM(Tabela1[[#This Row],[Mão-de-obra (custo médio)]:[Materiais de troca (custo médio)]])</f>
        <v>52.39</v>
      </c>
      <c r="J168" s="4">
        <f>Tabela1[[#This Row],[Custos da os]]-Tabela1[[#This Row],[Custo dos insumos]]</f>
        <v>0</v>
      </c>
      <c r="K168" s="4" t="str">
        <f>IF(ABS(Tabela1[[#This Row],[Dif. Insumo e OS]])&lt;=0.02,"ok ou um centavo","verificar")</f>
        <v>ok ou um centavo</v>
      </c>
    </row>
    <row r="169" spans="1:11" hidden="1" x14ac:dyDescent="0.25">
      <c r="A169" s="3" t="s">
        <v>189</v>
      </c>
      <c r="B169" s="3" t="s">
        <v>200</v>
      </c>
      <c r="C169" s="4">
        <v>80.83</v>
      </c>
      <c r="D169" s="4">
        <v>80.83</v>
      </c>
      <c r="E169" s="4">
        <v>0</v>
      </c>
      <c r="F169" s="4">
        <v>0</v>
      </c>
      <c r="G169" s="4">
        <v>0</v>
      </c>
      <c r="H169" s="4">
        <v>0</v>
      </c>
      <c r="I169" s="4">
        <f>SUM(Tabela1[[#This Row],[Mão-de-obra (custo médio)]:[Materiais de troca (custo médio)]])</f>
        <v>80.83</v>
      </c>
      <c r="J169" s="4">
        <f>Tabela1[[#This Row],[Custos da os]]-Tabela1[[#This Row],[Custo dos insumos]]</f>
        <v>0</v>
      </c>
      <c r="K169" s="4" t="str">
        <f>IF(ABS(Tabela1[[#This Row],[Dif. Insumo e OS]])&lt;=0.02,"ok ou um centavo","verificar")</f>
        <v>ok ou um centavo</v>
      </c>
    </row>
    <row r="170" spans="1:11" hidden="1" x14ac:dyDescent="0.25">
      <c r="A170" s="3" t="s">
        <v>189</v>
      </c>
      <c r="B170" s="3" t="s">
        <v>201</v>
      </c>
      <c r="C170" s="4">
        <v>27.43</v>
      </c>
      <c r="D170" s="4">
        <v>27.43</v>
      </c>
      <c r="E170" s="4">
        <v>0</v>
      </c>
      <c r="F170" s="4">
        <v>0</v>
      </c>
      <c r="G170" s="4">
        <v>0</v>
      </c>
      <c r="H170" s="4">
        <v>0</v>
      </c>
      <c r="I170" s="4">
        <f>SUM(Tabela1[[#This Row],[Mão-de-obra (custo médio)]:[Materiais de troca (custo médio)]])</f>
        <v>27.43</v>
      </c>
      <c r="J170" s="4">
        <f>Tabela1[[#This Row],[Custos da os]]-Tabela1[[#This Row],[Custo dos insumos]]</f>
        <v>0</v>
      </c>
      <c r="K170" s="4" t="str">
        <f>IF(ABS(Tabela1[[#This Row],[Dif. Insumo e OS]])&lt;=0.02,"ok ou um centavo","verificar")</f>
        <v>ok ou um centavo</v>
      </c>
    </row>
    <row r="171" spans="1:11" hidden="1" x14ac:dyDescent="0.25">
      <c r="A171" s="3" t="s">
        <v>189</v>
      </c>
      <c r="B171" s="3" t="s">
        <v>202</v>
      </c>
      <c r="C171" s="4">
        <v>146.19</v>
      </c>
      <c r="D171" s="4">
        <v>146.18</v>
      </c>
      <c r="E171" s="4">
        <v>0</v>
      </c>
      <c r="F171" s="4">
        <v>0</v>
      </c>
      <c r="G171" s="4">
        <v>0</v>
      </c>
      <c r="H171" s="4">
        <v>0</v>
      </c>
      <c r="I171" s="4">
        <f>SUM(Tabela1[[#This Row],[Mão-de-obra (custo médio)]:[Materiais de troca (custo médio)]])</f>
        <v>146.18</v>
      </c>
      <c r="J171" s="4">
        <f>Tabela1[[#This Row],[Custos da os]]-Tabela1[[#This Row],[Custo dos insumos]]</f>
        <v>-9.9999999999909051E-3</v>
      </c>
      <c r="K171" s="4" t="str">
        <f>IF(ABS(Tabela1[[#This Row],[Dif. Insumo e OS]])&lt;=0.02,"ok ou um centavo","verificar")</f>
        <v>ok ou um centavo</v>
      </c>
    </row>
    <row r="172" spans="1:11" hidden="1" x14ac:dyDescent="0.25">
      <c r="A172" s="3" t="s">
        <v>189</v>
      </c>
      <c r="B172" s="3" t="s">
        <v>203</v>
      </c>
      <c r="C172" s="4">
        <v>6136.19</v>
      </c>
      <c r="D172" s="4">
        <v>331.76</v>
      </c>
      <c r="E172" s="4">
        <v>0</v>
      </c>
      <c r="F172" s="4">
        <v>0</v>
      </c>
      <c r="G172" s="4">
        <v>107.59</v>
      </c>
      <c r="H172" s="4">
        <v>5696.83</v>
      </c>
      <c r="I172" s="4">
        <f>SUM(Tabela1[[#This Row],[Mão-de-obra (custo médio)]:[Materiais de troca (custo médio)]])</f>
        <v>6136.18</v>
      </c>
      <c r="J172" s="4">
        <f>Tabela1[[#This Row],[Custos da os]]-Tabela1[[#This Row],[Custo dos insumos]]</f>
        <v>-9.999999999308784E-3</v>
      </c>
      <c r="K172" s="4" t="str">
        <f>IF(ABS(Tabela1[[#This Row],[Dif. Insumo e OS]])&lt;=0.02,"ok ou um centavo","verificar")</f>
        <v>ok ou um centavo</v>
      </c>
    </row>
    <row r="173" spans="1:11" x14ac:dyDescent="0.25">
      <c r="A173" s="1" t="s">
        <v>277</v>
      </c>
      <c r="B173" s="1" t="s">
        <v>278</v>
      </c>
      <c r="C173" s="2">
        <v>3060.66</v>
      </c>
      <c r="D173" s="2">
        <v>0</v>
      </c>
      <c r="E173" s="2">
        <v>0</v>
      </c>
      <c r="F173" s="2">
        <v>0</v>
      </c>
      <c r="G173" s="2">
        <v>2121.7399999999998</v>
      </c>
      <c r="H173" s="2">
        <v>955.26</v>
      </c>
      <c r="I173" s="2">
        <f>SUM(Tabela1[[#This Row],[Mão-de-obra (custo médio)]:[Materiais de troca (custo médio)]])</f>
        <v>3077</v>
      </c>
      <c r="J173" s="2">
        <f>Tabela1[[#This Row],[Custos da os]]-Tabela1[[#This Row],[Custo dos insumos]]</f>
        <v>16.340000000000146</v>
      </c>
      <c r="K173" s="2" t="str">
        <f>IF(ABS(Tabela1[[#This Row],[Dif. Insumo e OS]])&lt;=0.02,"ok ou um centavo","verificar")</f>
        <v>verificar</v>
      </c>
    </row>
    <row r="174" spans="1:11" x14ac:dyDescent="0.25">
      <c r="A174" s="1" t="s">
        <v>437</v>
      </c>
      <c r="B174" s="1" t="s">
        <v>439</v>
      </c>
      <c r="C174" s="2">
        <v>1414.67</v>
      </c>
      <c r="D174" s="2">
        <v>52.9</v>
      </c>
      <c r="E174" s="2">
        <v>0</v>
      </c>
      <c r="F174" s="2">
        <v>0</v>
      </c>
      <c r="G174" s="2">
        <v>0</v>
      </c>
      <c r="H174" s="2">
        <v>1379.4</v>
      </c>
      <c r="I174" s="2">
        <f>SUM(Tabela1[[#This Row],[Mão-de-obra (custo médio)]:[Materiais de troca (custo médio)]])</f>
        <v>1432.3000000000002</v>
      </c>
      <c r="J174" s="2">
        <f>Tabela1[[#This Row],[Custos da os]]-Tabela1[[#This Row],[Custo dos insumos]]</f>
        <v>17.630000000000109</v>
      </c>
      <c r="K174" s="2" t="str">
        <f>IF(ABS(Tabela1[[#This Row],[Dif. Insumo e OS]])&lt;=0.02,"ok ou um centavo","verificar")</f>
        <v>verificar</v>
      </c>
    </row>
    <row r="175" spans="1:11" x14ac:dyDescent="0.25">
      <c r="A175" s="1" t="s">
        <v>507</v>
      </c>
      <c r="B175" s="1" t="s">
        <v>508</v>
      </c>
      <c r="C175" s="2">
        <v>335.6</v>
      </c>
      <c r="D175" s="2">
        <v>28.18</v>
      </c>
      <c r="E175" s="2">
        <v>0</v>
      </c>
      <c r="F175" s="2">
        <v>0</v>
      </c>
      <c r="G175" s="2">
        <v>332.5</v>
      </c>
      <c r="H175" s="2">
        <v>0</v>
      </c>
      <c r="I175" s="2">
        <f>SUM(Tabela1[[#This Row],[Mão-de-obra (custo médio)]:[Materiais de troca (custo médio)]])</f>
        <v>360.68</v>
      </c>
      <c r="J175" s="2">
        <f>Tabela1[[#This Row],[Custos da os]]-Tabela1[[#This Row],[Custo dos insumos]]</f>
        <v>25.079999999999984</v>
      </c>
      <c r="K175" s="2" t="str">
        <f>IF(ABS(Tabela1[[#This Row],[Dif. Insumo e OS]])&lt;=0.02,"ok ou um centavo","verificar")</f>
        <v>verificar</v>
      </c>
    </row>
    <row r="176" spans="1:11" hidden="1" x14ac:dyDescent="0.25">
      <c r="A176" s="3" t="s">
        <v>204</v>
      </c>
      <c r="B176" s="3" t="s">
        <v>208</v>
      </c>
      <c r="C176" s="4">
        <v>363</v>
      </c>
      <c r="D176" s="4">
        <v>0</v>
      </c>
      <c r="E176" s="4">
        <v>363</v>
      </c>
      <c r="F176" s="4">
        <v>0</v>
      </c>
      <c r="G176" s="4">
        <v>0</v>
      </c>
      <c r="H176" s="4">
        <v>0</v>
      </c>
      <c r="I176" s="4">
        <f>SUM(Tabela1[[#This Row],[Mão-de-obra (custo médio)]:[Materiais de troca (custo médio)]])</f>
        <v>363</v>
      </c>
      <c r="J176" s="4">
        <f>Tabela1[[#This Row],[Custos da os]]-Tabela1[[#This Row],[Custo dos insumos]]</f>
        <v>0</v>
      </c>
      <c r="K176" s="4" t="str">
        <f>IF(ABS(Tabela1[[#This Row],[Dif. Insumo e OS]])&lt;=0.02,"ok ou um centavo","verificar")</f>
        <v>ok ou um centavo</v>
      </c>
    </row>
    <row r="177" spans="1:11" hidden="1" x14ac:dyDescent="0.25">
      <c r="A177" s="3" t="s">
        <v>209</v>
      </c>
      <c r="B177" s="3" t="s">
        <v>210</v>
      </c>
      <c r="C177" s="4">
        <v>192.56</v>
      </c>
      <c r="D177" s="4">
        <v>192.56</v>
      </c>
      <c r="E177" s="4">
        <v>0</v>
      </c>
      <c r="F177" s="4">
        <v>0</v>
      </c>
      <c r="G177" s="4">
        <v>0</v>
      </c>
      <c r="H177" s="4">
        <v>0</v>
      </c>
      <c r="I177" s="4">
        <f>SUM(Tabela1[[#This Row],[Mão-de-obra (custo médio)]:[Materiais de troca (custo médio)]])</f>
        <v>192.56</v>
      </c>
      <c r="J177" s="4">
        <f>Tabela1[[#This Row],[Custos da os]]-Tabela1[[#This Row],[Custo dos insumos]]</f>
        <v>0</v>
      </c>
      <c r="K177" s="4" t="str">
        <f>IF(ABS(Tabela1[[#This Row],[Dif. Insumo e OS]])&lt;=0.02,"ok ou um centavo","verificar")</f>
        <v>ok ou um centavo</v>
      </c>
    </row>
    <row r="178" spans="1:11" hidden="1" x14ac:dyDescent="0.25">
      <c r="A178" s="3" t="s">
        <v>209</v>
      </c>
      <c r="B178" s="3" t="s">
        <v>211</v>
      </c>
      <c r="C178" s="4">
        <v>79.8</v>
      </c>
      <c r="D178" s="4">
        <v>79.8</v>
      </c>
      <c r="E178" s="4">
        <v>0</v>
      </c>
      <c r="F178" s="4">
        <v>0</v>
      </c>
      <c r="G178" s="4">
        <v>0</v>
      </c>
      <c r="H178" s="4">
        <v>0</v>
      </c>
      <c r="I178" s="4">
        <f>SUM(Tabela1[[#This Row],[Mão-de-obra (custo médio)]:[Materiais de troca (custo médio)]])</f>
        <v>79.8</v>
      </c>
      <c r="J178" s="4">
        <f>Tabela1[[#This Row],[Custos da os]]-Tabela1[[#This Row],[Custo dos insumos]]</f>
        <v>0</v>
      </c>
      <c r="K178" s="4" t="str">
        <f>IF(ABS(Tabela1[[#This Row],[Dif. Insumo e OS]])&lt;=0.02,"ok ou um centavo","verificar")</f>
        <v>ok ou um centavo</v>
      </c>
    </row>
    <row r="179" spans="1:11" hidden="1" x14ac:dyDescent="0.25">
      <c r="A179" s="3" t="s">
        <v>209</v>
      </c>
      <c r="B179" s="3" t="s">
        <v>212</v>
      </c>
      <c r="C179" s="4">
        <v>0.22</v>
      </c>
      <c r="D179" s="4">
        <v>0.22</v>
      </c>
      <c r="E179" s="4">
        <v>0</v>
      </c>
      <c r="F179" s="4">
        <v>0</v>
      </c>
      <c r="G179" s="4">
        <v>0</v>
      </c>
      <c r="H179" s="4">
        <v>0</v>
      </c>
      <c r="I179" s="4">
        <f>SUM(Tabela1[[#This Row],[Mão-de-obra (custo médio)]:[Materiais de troca (custo médio)]])</f>
        <v>0.22</v>
      </c>
      <c r="J179" s="4">
        <f>Tabela1[[#This Row],[Custos da os]]-Tabela1[[#This Row],[Custo dos insumos]]</f>
        <v>0</v>
      </c>
      <c r="K179" s="4" t="str">
        <f>IF(ABS(Tabela1[[#This Row],[Dif. Insumo e OS]])&lt;=0.02,"ok ou um centavo","verificar")</f>
        <v>ok ou um centavo</v>
      </c>
    </row>
    <row r="180" spans="1:11" hidden="1" x14ac:dyDescent="0.25">
      <c r="A180" s="3" t="s">
        <v>209</v>
      </c>
      <c r="B180" s="3" t="s">
        <v>213</v>
      </c>
      <c r="C180" s="4">
        <v>0.22</v>
      </c>
      <c r="D180" s="4">
        <v>0.22</v>
      </c>
      <c r="E180" s="4">
        <v>0</v>
      </c>
      <c r="F180" s="4">
        <v>0</v>
      </c>
      <c r="G180" s="4">
        <v>0</v>
      </c>
      <c r="H180" s="4">
        <v>0</v>
      </c>
      <c r="I180" s="4">
        <f>SUM(Tabela1[[#This Row],[Mão-de-obra (custo médio)]:[Materiais de troca (custo médio)]])</f>
        <v>0.22</v>
      </c>
      <c r="J180" s="4">
        <f>Tabela1[[#This Row],[Custos da os]]-Tabela1[[#This Row],[Custo dos insumos]]</f>
        <v>0</v>
      </c>
      <c r="K180" s="4" t="str">
        <f>IF(ABS(Tabela1[[#This Row],[Dif. Insumo e OS]])&lt;=0.02,"ok ou um centavo","verificar")</f>
        <v>ok ou um centavo</v>
      </c>
    </row>
    <row r="181" spans="1:11" hidden="1" x14ac:dyDescent="0.25">
      <c r="A181" s="3" t="s">
        <v>214</v>
      </c>
      <c r="B181" s="3" t="s">
        <v>215</v>
      </c>
      <c r="C181" s="4">
        <v>169.01</v>
      </c>
      <c r="D181" s="4">
        <v>0</v>
      </c>
      <c r="E181" s="4">
        <v>0</v>
      </c>
      <c r="F181" s="4">
        <v>0</v>
      </c>
      <c r="G181" s="4">
        <v>0</v>
      </c>
      <c r="H181" s="4">
        <v>169.01</v>
      </c>
      <c r="I181" s="4">
        <f>SUM(Tabela1[[#This Row],[Mão-de-obra (custo médio)]:[Materiais de troca (custo médio)]])</f>
        <v>169.01</v>
      </c>
      <c r="J181" s="4">
        <f>Tabela1[[#This Row],[Custos da os]]-Tabela1[[#This Row],[Custo dos insumos]]</f>
        <v>0</v>
      </c>
      <c r="K181" s="4" t="str">
        <f>IF(ABS(Tabela1[[#This Row],[Dif. Insumo e OS]])&lt;=0.02,"ok ou um centavo","verificar")</f>
        <v>ok ou um centavo</v>
      </c>
    </row>
    <row r="182" spans="1:11" hidden="1" x14ac:dyDescent="0.25">
      <c r="A182" s="3" t="s">
        <v>214</v>
      </c>
      <c r="B182" s="3" t="s">
        <v>216</v>
      </c>
      <c r="C182" s="4">
        <v>80.52</v>
      </c>
      <c r="D182" s="4">
        <v>80.53</v>
      </c>
      <c r="E182" s="4">
        <v>0</v>
      </c>
      <c r="F182" s="4">
        <v>0</v>
      </c>
      <c r="G182" s="4">
        <v>0</v>
      </c>
      <c r="H182" s="4">
        <v>0</v>
      </c>
      <c r="I182" s="4">
        <f>SUM(Tabela1[[#This Row],[Mão-de-obra (custo médio)]:[Materiais de troca (custo médio)]])</f>
        <v>80.53</v>
      </c>
      <c r="J182" s="4">
        <f>Tabela1[[#This Row],[Custos da os]]-Tabela1[[#This Row],[Custo dos insumos]]</f>
        <v>1.0000000000005116E-2</v>
      </c>
      <c r="K182" s="4" t="str">
        <f>IF(ABS(Tabela1[[#This Row],[Dif. Insumo e OS]])&lt;=0.02,"ok ou um centavo","verificar")</f>
        <v>ok ou um centavo</v>
      </c>
    </row>
    <row r="183" spans="1:11" hidden="1" x14ac:dyDescent="0.25">
      <c r="A183" s="3" t="s">
        <v>214</v>
      </c>
      <c r="B183" s="3" t="s">
        <v>217</v>
      </c>
      <c r="C183" s="4">
        <v>60.11</v>
      </c>
      <c r="D183" s="4">
        <v>60.11</v>
      </c>
      <c r="E183" s="4">
        <v>0</v>
      </c>
      <c r="F183" s="4">
        <v>0</v>
      </c>
      <c r="G183" s="4">
        <v>0</v>
      </c>
      <c r="H183" s="4">
        <v>0</v>
      </c>
      <c r="I183" s="4">
        <f>SUM(Tabela1[[#This Row],[Mão-de-obra (custo médio)]:[Materiais de troca (custo médio)]])</f>
        <v>60.11</v>
      </c>
      <c r="J183" s="4">
        <f>Tabela1[[#This Row],[Custos da os]]-Tabela1[[#This Row],[Custo dos insumos]]</f>
        <v>0</v>
      </c>
      <c r="K183" s="4" t="str">
        <f>IF(ABS(Tabela1[[#This Row],[Dif. Insumo e OS]])&lt;=0.02,"ok ou um centavo","verificar")</f>
        <v>ok ou um centavo</v>
      </c>
    </row>
    <row r="184" spans="1:11" hidden="1" x14ac:dyDescent="0.25">
      <c r="A184" s="3" t="s">
        <v>214</v>
      </c>
      <c r="B184" s="3" t="s">
        <v>218</v>
      </c>
      <c r="C184" s="4">
        <v>58.82</v>
      </c>
      <c r="D184" s="4">
        <v>58.82</v>
      </c>
      <c r="E184" s="4">
        <v>0</v>
      </c>
      <c r="F184" s="4">
        <v>0</v>
      </c>
      <c r="G184" s="4">
        <v>0</v>
      </c>
      <c r="H184" s="4">
        <v>0</v>
      </c>
      <c r="I184" s="4">
        <f>SUM(Tabela1[[#This Row],[Mão-de-obra (custo médio)]:[Materiais de troca (custo médio)]])</f>
        <v>58.82</v>
      </c>
      <c r="J184" s="4">
        <f>Tabela1[[#This Row],[Custos da os]]-Tabela1[[#This Row],[Custo dos insumos]]</f>
        <v>0</v>
      </c>
      <c r="K184" s="4" t="str">
        <f>IF(ABS(Tabela1[[#This Row],[Dif. Insumo e OS]])&lt;=0.02,"ok ou um centavo","verificar")</f>
        <v>ok ou um centavo</v>
      </c>
    </row>
    <row r="185" spans="1:11" hidden="1" x14ac:dyDescent="0.25">
      <c r="A185" s="3" t="s">
        <v>214</v>
      </c>
      <c r="B185" s="3" t="s">
        <v>219</v>
      </c>
      <c r="C185" s="4">
        <v>338.95</v>
      </c>
      <c r="D185" s="4">
        <v>0.22</v>
      </c>
      <c r="E185" s="4">
        <v>0</v>
      </c>
      <c r="F185" s="4">
        <v>0</v>
      </c>
      <c r="G185" s="4">
        <v>0</v>
      </c>
      <c r="H185" s="4">
        <v>338.73</v>
      </c>
      <c r="I185" s="4">
        <f>SUM(Tabela1[[#This Row],[Mão-de-obra (custo médio)]:[Materiais de troca (custo médio)]])</f>
        <v>338.95000000000005</v>
      </c>
      <c r="J185" s="4">
        <f>Tabela1[[#This Row],[Custos da os]]-Tabela1[[#This Row],[Custo dos insumos]]</f>
        <v>0</v>
      </c>
      <c r="K185" s="4" t="str">
        <f>IF(ABS(Tabela1[[#This Row],[Dif. Insumo e OS]])&lt;=0.02,"ok ou um centavo","verificar")</f>
        <v>ok ou um centavo</v>
      </c>
    </row>
    <row r="186" spans="1:11" hidden="1" x14ac:dyDescent="0.25">
      <c r="A186" s="3" t="s">
        <v>214</v>
      </c>
      <c r="B186" s="3" t="s">
        <v>220</v>
      </c>
      <c r="C186" s="4">
        <v>33.94</v>
      </c>
      <c r="D186" s="4">
        <v>33.92</v>
      </c>
      <c r="E186" s="4">
        <v>0</v>
      </c>
      <c r="F186" s="4">
        <v>0</v>
      </c>
      <c r="G186" s="4">
        <v>0</v>
      </c>
      <c r="H186" s="4">
        <v>0.01</v>
      </c>
      <c r="I186" s="4">
        <f>SUM(Tabela1[[#This Row],[Mão-de-obra (custo médio)]:[Materiais de troca (custo médio)]])</f>
        <v>33.93</v>
      </c>
      <c r="J186" s="4">
        <f>Tabela1[[#This Row],[Custos da os]]-Tabela1[[#This Row],[Custo dos insumos]]</f>
        <v>-9.9999999999980105E-3</v>
      </c>
      <c r="K186" s="4" t="str">
        <f>IF(ABS(Tabela1[[#This Row],[Dif. Insumo e OS]])&lt;=0.02,"ok ou um centavo","verificar")</f>
        <v>ok ou um centavo</v>
      </c>
    </row>
    <row r="187" spans="1:11" hidden="1" x14ac:dyDescent="0.25">
      <c r="A187" s="3" t="s">
        <v>214</v>
      </c>
      <c r="B187" s="3" t="s">
        <v>221</v>
      </c>
      <c r="C187" s="4">
        <v>170.67</v>
      </c>
      <c r="D187" s="4">
        <v>170.67</v>
      </c>
      <c r="E187" s="4">
        <v>0</v>
      </c>
      <c r="F187" s="4">
        <v>0</v>
      </c>
      <c r="G187" s="4">
        <v>0</v>
      </c>
      <c r="H187" s="4">
        <v>0</v>
      </c>
      <c r="I187" s="4">
        <f>SUM(Tabela1[[#This Row],[Mão-de-obra (custo médio)]:[Materiais de troca (custo médio)]])</f>
        <v>170.67</v>
      </c>
      <c r="J187" s="4">
        <f>Tabela1[[#This Row],[Custos da os]]-Tabela1[[#This Row],[Custo dos insumos]]</f>
        <v>0</v>
      </c>
      <c r="K187" s="4" t="str">
        <f>IF(ABS(Tabela1[[#This Row],[Dif. Insumo e OS]])&lt;=0.02,"ok ou um centavo","verificar")</f>
        <v>ok ou um centavo</v>
      </c>
    </row>
    <row r="188" spans="1:11" hidden="1" x14ac:dyDescent="0.25">
      <c r="A188" s="3" t="s">
        <v>214</v>
      </c>
      <c r="B188" s="3" t="s">
        <v>222</v>
      </c>
      <c r="C188" s="4">
        <v>233.52</v>
      </c>
      <c r="D188" s="4">
        <v>107.26</v>
      </c>
      <c r="E188" s="4">
        <v>0</v>
      </c>
      <c r="F188" s="4">
        <v>112.53</v>
      </c>
      <c r="G188" s="4">
        <v>0</v>
      </c>
      <c r="H188" s="4">
        <v>13.73</v>
      </c>
      <c r="I188" s="4">
        <f>SUM(Tabela1[[#This Row],[Mão-de-obra (custo médio)]:[Materiais de troca (custo médio)]])</f>
        <v>233.52</v>
      </c>
      <c r="J188" s="4">
        <f>Tabela1[[#This Row],[Custos da os]]-Tabela1[[#This Row],[Custo dos insumos]]</f>
        <v>0</v>
      </c>
      <c r="K188" s="4" t="str">
        <f>IF(ABS(Tabela1[[#This Row],[Dif. Insumo e OS]])&lt;=0.02,"ok ou um centavo","verificar")</f>
        <v>ok ou um centavo</v>
      </c>
    </row>
    <row r="189" spans="1:11" x14ac:dyDescent="0.25">
      <c r="A189" s="1" t="s">
        <v>564</v>
      </c>
      <c r="B189" s="1" t="s">
        <v>566</v>
      </c>
      <c r="C189" s="2">
        <v>183.19</v>
      </c>
      <c r="D189" s="2">
        <v>29.4</v>
      </c>
      <c r="E189" s="2">
        <v>0</v>
      </c>
      <c r="F189" s="2">
        <v>0</v>
      </c>
      <c r="G189" s="2">
        <v>183.19</v>
      </c>
      <c r="H189" s="2">
        <v>0</v>
      </c>
      <c r="I189" s="2">
        <f>SUM(Tabela1[[#This Row],[Mão-de-obra (custo médio)]:[Materiais de troca (custo médio)]])</f>
        <v>212.59</v>
      </c>
      <c r="J189" s="2">
        <f>Tabela1[[#This Row],[Custos da os]]-Tabela1[[#This Row],[Custo dos insumos]]</f>
        <v>29.400000000000006</v>
      </c>
      <c r="K189" s="2" t="str">
        <f>IF(ABS(Tabela1[[#This Row],[Dif. Insumo e OS]])&lt;=0.02,"ok ou um centavo","verificar")</f>
        <v>verificar</v>
      </c>
    </row>
    <row r="190" spans="1:11" hidden="1" x14ac:dyDescent="0.25">
      <c r="A190" s="3" t="s">
        <v>214</v>
      </c>
      <c r="B190" s="3" t="s">
        <v>224</v>
      </c>
      <c r="C190" s="4">
        <v>1362.43</v>
      </c>
      <c r="D190" s="4">
        <v>320.38</v>
      </c>
      <c r="E190" s="4">
        <v>0</v>
      </c>
      <c r="F190" s="4">
        <v>510.18</v>
      </c>
      <c r="G190" s="4">
        <v>131.87</v>
      </c>
      <c r="H190" s="4">
        <v>400</v>
      </c>
      <c r="I190" s="4">
        <f>SUM(Tabela1[[#This Row],[Mão-de-obra (custo médio)]:[Materiais de troca (custo médio)]])</f>
        <v>1362.4299999999998</v>
      </c>
      <c r="J190" s="4">
        <f>Tabela1[[#This Row],[Custos da os]]-Tabela1[[#This Row],[Custo dos insumos]]</f>
        <v>0</v>
      </c>
      <c r="K190" s="4" t="str">
        <f>IF(ABS(Tabela1[[#This Row],[Dif. Insumo e OS]])&lt;=0.02,"ok ou um centavo","verificar")</f>
        <v>ok ou um centavo</v>
      </c>
    </row>
    <row r="191" spans="1:11" hidden="1" x14ac:dyDescent="0.25">
      <c r="A191" s="3" t="s">
        <v>214</v>
      </c>
      <c r="B191" s="3" t="s">
        <v>225</v>
      </c>
      <c r="C191" s="4">
        <v>65.28</v>
      </c>
      <c r="D191" s="4">
        <v>65.28</v>
      </c>
      <c r="E191" s="4">
        <v>0</v>
      </c>
      <c r="F191" s="4">
        <v>0</v>
      </c>
      <c r="G191" s="4">
        <v>0</v>
      </c>
      <c r="H191" s="4">
        <v>0</v>
      </c>
      <c r="I191" s="4">
        <f>SUM(Tabela1[[#This Row],[Mão-de-obra (custo médio)]:[Materiais de troca (custo médio)]])</f>
        <v>65.28</v>
      </c>
      <c r="J191" s="4">
        <f>Tabela1[[#This Row],[Custos da os]]-Tabela1[[#This Row],[Custo dos insumos]]</f>
        <v>0</v>
      </c>
      <c r="K191" s="4" t="str">
        <f>IF(ABS(Tabela1[[#This Row],[Dif. Insumo e OS]])&lt;=0.02,"ok ou um centavo","verificar")</f>
        <v>ok ou um centavo</v>
      </c>
    </row>
    <row r="192" spans="1:11" hidden="1" x14ac:dyDescent="0.25">
      <c r="A192" s="3" t="s">
        <v>226</v>
      </c>
      <c r="B192" s="3" t="s">
        <v>227</v>
      </c>
      <c r="C192" s="4">
        <v>52.8</v>
      </c>
      <c r="D192" s="4">
        <v>52.81</v>
      </c>
      <c r="E192" s="4">
        <v>0</v>
      </c>
      <c r="F192" s="4">
        <v>0</v>
      </c>
      <c r="G192" s="4">
        <v>0</v>
      </c>
      <c r="H192" s="4">
        <v>0</v>
      </c>
      <c r="I192" s="4">
        <f>SUM(Tabela1[[#This Row],[Mão-de-obra (custo médio)]:[Materiais de troca (custo médio)]])</f>
        <v>52.81</v>
      </c>
      <c r="J192" s="4">
        <f>Tabela1[[#This Row],[Custos da os]]-Tabela1[[#This Row],[Custo dos insumos]]</f>
        <v>1.0000000000005116E-2</v>
      </c>
      <c r="K192" s="4" t="str">
        <f>IF(ABS(Tabela1[[#This Row],[Dif. Insumo e OS]])&lt;=0.02,"ok ou um centavo","verificar")</f>
        <v>ok ou um centavo</v>
      </c>
    </row>
    <row r="193" spans="1:11" hidden="1" x14ac:dyDescent="0.25">
      <c r="A193" s="3" t="s">
        <v>226</v>
      </c>
      <c r="B193" s="3" t="s">
        <v>228</v>
      </c>
      <c r="C193" s="4">
        <v>220.87</v>
      </c>
      <c r="D193" s="4">
        <v>137.15</v>
      </c>
      <c r="E193" s="4">
        <v>0</v>
      </c>
      <c r="F193" s="4">
        <v>0</v>
      </c>
      <c r="G193" s="4">
        <v>0</v>
      </c>
      <c r="H193" s="4">
        <v>83.71</v>
      </c>
      <c r="I193" s="4">
        <f>SUM(Tabela1[[#This Row],[Mão-de-obra (custo médio)]:[Materiais de troca (custo médio)]])</f>
        <v>220.86</v>
      </c>
      <c r="J193" s="4">
        <f>Tabela1[[#This Row],[Custos da os]]-Tabela1[[#This Row],[Custo dos insumos]]</f>
        <v>-9.9999999999909051E-3</v>
      </c>
      <c r="K193" s="4" t="str">
        <f>IF(ABS(Tabela1[[#This Row],[Dif. Insumo e OS]])&lt;=0.02,"ok ou um centavo","verificar")</f>
        <v>ok ou um centavo</v>
      </c>
    </row>
    <row r="194" spans="1:11" hidden="1" x14ac:dyDescent="0.25">
      <c r="A194" s="3" t="s">
        <v>226</v>
      </c>
      <c r="B194" s="3" t="s">
        <v>229</v>
      </c>
      <c r="C194" s="4">
        <v>297.24</v>
      </c>
      <c r="D194" s="4">
        <v>33.32</v>
      </c>
      <c r="E194" s="4">
        <v>0</v>
      </c>
      <c r="F194" s="4">
        <v>0</v>
      </c>
      <c r="G194" s="4">
        <v>0</v>
      </c>
      <c r="H194" s="4">
        <v>263.92</v>
      </c>
      <c r="I194" s="4">
        <f>SUM(Tabela1[[#This Row],[Mão-de-obra (custo médio)]:[Materiais de troca (custo médio)]])</f>
        <v>297.24</v>
      </c>
      <c r="J194" s="4">
        <f>Tabela1[[#This Row],[Custos da os]]-Tabela1[[#This Row],[Custo dos insumos]]</f>
        <v>0</v>
      </c>
      <c r="K194" s="4" t="str">
        <f>IF(ABS(Tabela1[[#This Row],[Dif. Insumo e OS]])&lt;=0.02,"ok ou um centavo","verificar")</f>
        <v>ok ou um centavo</v>
      </c>
    </row>
    <row r="195" spans="1:11" hidden="1" x14ac:dyDescent="0.25">
      <c r="A195" s="3" t="s">
        <v>226</v>
      </c>
      <c r="B195" s="3" t="s">
        <v>230</v>
      </c>
      <c r="C195" s="4">
        <v>776.27</v>
      </c>
      <c r="D195" s="4">
        <v>0</v>
      </c>
      <c r="E195" s="4">
        <v>0</v>
      </c>
      <c r="F195" s="4">
        <v>0</v>
      </c>
      <c r="G195" s="4">
        <v>0</v>
      </c>
      <c r="H195" s="4">
        <v>776.27</v>
      </c>
      <c r="I195" s="4">
        <f>SUM(Tabela1[[#This Row],[Mão-de-obra (custo médio)]:[Materiais de troca (custo médio)]])</f>
        <v>776.27</v>
      </c>
      <c r="J195" s="4">
        <f>Tabela1[[#This Row],[Custos da os]]-Tabela1[[#This Row],[Custo dos insumos]]</f>
        <v>0</v>
      </c>
      <c r="K195" s="4" t="str">
        <f>IF(ABS(Tabela1[[#This Row],[Dif. Insumo e OS]])&lt;=0.02,"ok ou um centavo","verificar")</f>
        <v>ok ou um centavo</v>
      </c>
    </row>
    <row r="196" spans="1:11" hidden="1" x14ac:dyDescent="0.25">
      <c r="A196" s="3" t="s">
        <v>226</v>
      </c>
      <c r="B196" s="3" t="s">
        <v>231</v>
      </c>
      <c r="C196" s="4">
        <v>210.66</v>
      </c>
      <c r="D196" s="4">
        <v>210.66</v>
      </c>
      <c r="E196" s="4">
        <v>0</v>
      </c>
      <c r="F196" s="4">
        <v>0</v>
      </c>
      <c r="G196" s="4">
        <v>0</v>
      </c>
      <c r="H196" s="4">
        <v>0</v>
      </c>
      <c r="I196" s="4">
        <f>SUM(Tabela1[[#This Row],[Mão-de-obra (custo médio)]:[Materiais de troca (custo médio)]])</f>
        <v>210.66</v>
      </c>
      <c r="J196" s="4">
        <f>Tabela1[[#This Row],[Custos da os]]-Tabela1[[#This Row],[Custo dos insumos]]</f>
        <v>0</v>
      </c>
      <c r="K196" s="4" t="str">
        <f>IF(ABS(Tabela1[[#This Row],[Dif. Insumo e OS]])&lt;=0.02,"ok ou um centavo","verificar")</f>
        <v>ok ou um centavo</v>
      </c>
    </row>
    <row r="197" spans="1:11" hidden="1" x14ac:dyDescent="0.25">
      <c r="A197" s="3" t="s">
        <v>226</v>
      </c>
      <c r="B197" s="3" t="s">
        <v>232</v>
      </c>
      <c r="C197" s="4">
        <v>687.92</v>
      </c>
      <c r="D197" s="4">
        <v>687.91</v>
      </c>
      <c r="E197" s="4">
        <v>0</v>
      </c>
      <c r="F197" s="4">
        <v>0</v>
      </c>
      <c r="G197" s="4">
        <v>0</v>
      </c>
      <c r="H197" s="4">
        <v>0</v>
      </c>
      <c r="I197" s="4">
        <f>SUM(Tabela1[[#This Row],[Mão-de-obra (custo médio)]:[Materiais de troca (custo médio)]])</f>
        <v>687.91</v>
      </c>
      <c r="J197" s="4">
        <f>Tabela1[[#This Row],[Custos da os]]-Tabela1[[#This Row],[Custo dos insumos]]</f>
        <v>-9.9999999999909051E-3</v>
      </c>
      <c r="K197" s="4" t="str">
        <f>IF(ABS(Tabela1[[#This Row],[Dif. Insumo e OS]])&lt;=0.02,"ok ou um centavo","verificar")</f>
        <v>ok ou um centavo</v>
      </c>
    </row>
    <row r="198" spans="1:11" x14ac:dyDescent="0.25">
      <c r="A198" s="1" t="s">
        <v>497</v>
      </c>
      <c r="B198" s="1" t="s">
        <v>501</v>
      </c>
      <c r="C198" s="2">
        <v>0</v>
      </c>
      <c r="D198" s="2">
        <v>0.46</v>
      </c>
      <c r="E198" s="2">
        <v>0</v>
      </c>
      <c r="F198" s="2">
        <v>0</v>
      </c>
      <c r="G198" s="2">
        <v>0</v>
      </c>
      <c r="H198" s="2">
        <v>47.93</v>
      </c>
      <c r="I198" s="2">
        <f>SUM(Tabela1[[#This Row],[Mão-de-obra (custo médio)]:[Materiais de troca (custo médio)]])</f>
        <v>48.39</v>
      </c>
      <c r="J198" s="2">
        <f>Tabela1[[#This Row],[Custos da os]]-Tabela1[[#This Row],[Custo dos insumos]]</f>
        <v>48.39</v>
      </c>
      <c r="K198" s="2" t="str">
        <f>IF(ABS(Tabela1[[#This Row],[Dif. Insumo e OS]])&lt;=0.02,"ok ou um centavo","verificar")</f>
        <v>verificar</v>
      </c>
    </row>
    <row r="199" spans="1:11" x14ac:dyDescent="0.25">
      <c r="A199" s="1" t="s">
        <v>34</v>
      </c>
      <c r="B199" s="1" t="s">
        <v>35</v>
      </c>
      <c r="C199" s="2">
        <v>0</v>
      </c>
      <c r="D199" s="2">
        <v>53.29</v>
      </c>
      <c r="E199" s="2">
        <v>0</v>
      </c>
      <c r="F199" s="2">
        <v>0</v>
      </c>
      <c r="G199" s="2">
        <v>0</v>
      </c>
      <c r="H199" s="2">
        <v>0</v>
      </c>
      <c r="I199" s="2">
        <f>SUM(Tabela1[[#This Row],[Mão-de-obra (custo médio)]:[Materiais de troca (custo médio)]])</f>
        <v>53.29</v>
      </c>
      <c r="J199" s="2">
        <f>Tabela1[[#This Row],[Custos da os]]-Tabela1[[#This Row],[Custo dos insumos]]</f>
        <v>53.29</v>
      </c>
      <c r="K199" s="2" t="str">
        <f>IF(ABS(Tabela1[[#This Row],[Dif. Insumo e OS]])&lt;=0.02,"ok ou um centavo","verificar")</f>
        <v>verificar</v>
      </c>
    </row>
    <row r="200" spans="1:11" hidden="1" x14ac:dyDescent="0.25">
      <c r="A200" s="3" t="s">
        <v>236</v>
      </c>
      <c r="B200" s="3" t="s">
        <v>237</v>
      </c>
      <c r="C200" s="4">
        <v>53.2</v>
      </c>
      <c r="D200" s="4">
        <v>53.2</v>
      </c>
      <c r="E200" s="4">
        <v>0</v>
      </c>
      <c r="F200" s="4">
        <v>0</v>
      </c>
      <c r="G200" s="4">
        <v>0</v>
      </c>
      <c r="H200" s="4">
        <v>0</v>
      </c>
      <c r="I200" s="4">
        <f>SUM(Tabela1[[#This Row],[Mão-de-obra (custo médio)]:[Materiais de troca (custo médio)]])</f>
        <v>53.2</v>
      </c>
      <c r="J200" s="4">
        <f>Tabela1[[#This Row],[Custos da os]]-Tabela1[[#This Row],[Custo dos insumos]]</f>
        <v>0</v>
      </c>
      <c r="K200" s="4" t="str">
        <f>IF(ABS(Tabela1[[#This Row],[Dif. Insumo e OS]])&lt;=0.02,"ok ou um centavo","verificar")</f>
        <v>ok ou um centavo</v>
      </c>
    </row>
    <row r="201" spans="1:11" hidden="1" x14ac:dyDescent="0.25">
      <c r="A201" s="3" t="s">
        <v>236</v>
      </c>
      <c r="B201" s="3" t="s">
        <v>238</v>
      </c>
      <c r="C201" s="4">
        <v>150.75</v>
      </c>
      <c r="D201" s="4">
        <v>106.4</v>
      </c>
      <c r="E201" s="4">
        <v>0</v>
      </c>
      <c r="F201" s="4">
        <v>0</v>
      </c>
      <c r="G201" s="4">
        <v>0</v>
      </c>
      <c r="H201" s="4">
        <v>44.35</v>
      </c>
      <c r="I201" s="4">
        <f>SUM(Tabela1[[#This Row],[Mão-de-obra (custo médio)]:[Materiais de troca (custo médio)]])</f>
        <v>150.75</v>
      </c>
      <c r="J201" s="4">
        <f>Tabela1[[#This Row],[Custos da os]]-Tabela1[[#This Row],[Custo dos insumos]]</f>
        <v>0</v>
      </c>
      <c r="K201" s="4" t="str">
        <f>IF(ABS(Tabela1[[#This Row],[Dif. Insumo e OS]])&lt;=0.02,"ok ou um centavo","verificar")</f>
        <v>ok ou um centavo</v>
      </c>
    </row>
    <row r="202" spans="1:11" hidden="1" x14ac:dyDescent="0.25">
      <c r="A202" s="3" t="s">
        <v>236</v>
      </c>
      <c r="B202" s="3" t="s">
        <v>239</v>
      </c>
      <c r="C202" s="4">
        <v>21.09</v>
      </c>
      <c r="D202" s="4">
        <v>21.08</v>
      </c>
      <c r="E202" s="4">
        <v>0</v>
      </c>
      <c r="F202" s="4">
        <v>0</v>
      </c>
      <c r="G202" s="4">
        <v>0</v>
      </c>
      <c r="H202" s="4">
        <v>0</v>
      </c>
      <c r="I202" s="4">
        <f>SUM(Tabela1[[#This Row],[Mão-de-obra (custo médio)]:[Materiais de troca (custo médio)]])</f>
        <v>21.08</v>
      </c>
      <c r="J202" s="4">
        <f>Tabela1[[#This Row],[Custos da os]]-Tabela1[[#This Row],[Custo dos insumos]]</f>
        <v>-1.0000000000001563E-2</v>
      </c>
      <c r="K202" s="4" t="str">
        <f>IF(ABS(Tabela1[[#This Row],[Dif. Insumo e OS]])&lt;=0.02,"ok ou um centavo","verificar")</f>
        <v>ok ou um centavo</v>
      </c>
    </row>
    <row r="203" spans="1:11" hidden="1" x14ac:dyDescent="0.25">
      <c r="A203" s="3" t="s">
        <v>236</v>
      </c>
      <c r="B203" s="3" t="s">
        <v>240</v>
      </c>
      <c r="C203" s="4">
        <v>53.89</v>
      </c>
      <c r="D203" s="4">
        <v>53.89</v>
      </c>
      <c r="E203" s="4">
        <v>0</v>
      </c>
      <c r="F203" s="4">
        <v>0</v>
      </c>
      <c r="G203" s="4">
        <v>0</v>
      </c>
      <c r="H203" s="4">
        <v>0</v>
      </c>
      <c r="I203" s="4">
        <f>SUM(Tabela1[[#This Row],[Mão-de-obra (custo médio)]:[Materiais de troca (custo médio)]])</f>
        <v>53.89</v>
      </c>
      <c r="J203" s="4">
        <f>Tabela1[[#This Row],[Custos da os]]-Tabela1[[#This Row],[Custo dos insumos]]</f>
        <v>0</v>
      </c>
      <c r="K203" s="4" t="str">
        <f>IF(ABS(Tabela1[[#This Row],[Dif. Insumo e OS]])&lt;=0.02,"ok ou um centavo","verificar")</f>
        <v>ok ou um centavo</v>
      </c>
    </row>
    <row r="204" spans="1:11" hidden="1" x14ac:dyDescent="0.25">
      <c r="A204" s="3" t="s">
        <v>236</v>
      </c>
      <c r="B204" s="3" t="s">
        <v>241</v>
      </c>
      <c r="C204" s="4">
        <v>81.52</v>
      </c>
      <c r="D204" s="4">
        <v>63.24</v>
      </c>
      <c r="E204" s="4">
        <v>0</v>
      </c>
      <c r="F204" s="4">
        <v>0</v>
      </c>
      <c r="G204" s="4">
        <v>0</v>
      </c>
      <c r="H204" s="4">
        <v>18.27</v>
      </c>
      <c r="I204" s="4">
        <f>SUM(Tabela1[[#This Row],[Mão-de-obra (custo médio)]:[Materiais de troca (custo médio)]])</f>
        <v>81.510000000000005</v>
      </c>
      <c r="J204" s="4">
        <f>Tabela1[[#This Row],[Custos da os]]-Tabela1[[#This Row],[Custo dos insumos]]</f>
        <v>-9.9999999999909051E-3</v>
      </c>
      <c r="K204" s="4" t="str">
        <f>IF(ABS(Tabela1[[#This Row],[Dif. Insumo e OS]])&lt;=0.02,"ok ou um centavo","verificar")</f>
        <v>ok ou um centavo</v>
      </c>
    </row>
    <row r="205" spans="1:11" x14ac:dyDescent="0.25">
      <c r="A205" s="1" t="s">
        <v>502</v>
      </c>
      <c r="B205" s="1" t="s">
        <v>503</v>
      </c>
      <c r="C205" s="2">
        <v>712.26</v>
      </c>
      <c r="D205" s="2">
        <v>472.09</v>
      </c>
      <c r="E205" s="2">
        <v>0</v>
      </c>
      <c r="F205" s="2">
        <v>0</v>
      </c>
      <c r="G205" s="2">
        <v>293.48</v>
      </c>
      <c r="H205" s="2">
        <v>0</v>
      </c>
      <c r="I205" s="2">
        <f>SUM(Tabela1[[#This Row],[Mão-de-obra (custo médio)]:[Materiais de troca (custo médio)]])</f>
        <v>765.56999999999994</v>
      </c>
      <c r="J205" s="2">
        <f>Tabela1[[#This Row],[Custos da os]]-Tabela1[[#This Row],[Custo dos insumos]]</f>
        <v>53.309999999999945</v>
      </c>
      <c r="K205" s="2" t="str">
        <f>IF(ABS(Tabela1[[#This Row],[Dif. Insumo e OS]])&lt;=0.02,"ok ou um centavo","verificar")</f>
        <v>verificar</v>
      </c>
    </row>
    <row r="206" spans="1:11" hidden="1" x14ac:dyDescent="0.25">
      <c r="A206" s="3" t="s">
        <v>236</v>
      </c>
      <c r="B206" s="3" t="s">
        <v>243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f>SUM(Tabela1[[#This Row],[Mão-de-obra (custo médio)]:[Materiais de troca (custo médio)]])</f>
        <v>0</v>
      </c>
      <c r="J206" s="4">
        <f>Tabela1[[#This Row],[Custos da os]]-Tabela1[[#This Row],[Custo dos insumos]]</f>
        <v>0</v>
      </c>
      <c r="K206" s="4" t="str">
        <f>IF(ABS(Tabela1[[#This Row],[Dif. Insumo e OS]])&lt;=0.02,"ok ou um centavo","verificar")</f>
        <v>ok ou um centavo</v>
      </c>
    </row>
    <row r="207" spans="1:11" hidden="1" x14ac:dyDescent="0.25">
      <c r="A207" s="3" t="s">
        <v>236</v>
      </c>
      <c r="B207" s="3" t="s">
        <v>244</v>
      </c>
      <c r="C207" s="4">
        <v>1003.21</v>
      </c>
      <c r="D207" s="4">
        <v>613.29</v>
      </c>
      <c r="E207" s="4">
        <v>0</v>
      </c>
      <c r="F207" s="4">
        <v>0</v>
      </c>
      <c r="G207" s="4">
        <v>0</v>
      </c>
      <c r="H207" s="4">
        <v>389.91</v>
      </c>
      <c r="I207" s="4">
        <f>SUM(Tabela1[[#This Row],[Mão-de-obra (custo médio)]:[Materiais de troca (custo médio)]])</f>
        <v>1003.2</v>
      </c>
      <c r="J207" s="4">
        <f>Tabela1[[#This Row],[Custos da os]]-Tabela1[[#This Row],[Custo dos insumos]]</f>
        <v>-9.9999999999909051E-3</v>
      </c>
      <c r="K207" s="4" t="str">
        <f>IF(ABS(Tabela1[[#This Row],[Dif. Insumo e OS]])&lt;=0.02,"ok ou um centavo","verificar")</f>
        <v>ok ou um centavo</v>
      </c>
    </row>
    <row r="208" spans="1:11" hidden="1" x14ac:dyDescent="0.25">
      <c r="A208" s="3" t="s">
        <v>236</v>
      </c>
      <c r="B208" s="3" t="s">
        <v>245</v>
      </c>
      <c r="C208" s="4">
        <v>133.01</v>
      </c>
      <c r="D208" s="4">
        <v>133</v>
      </c>
      <c r="E208" s="4">
        <v>0</v>
      </c>
      <c r="F208" s="4">
        <v>0</v>
      </c>
      <c r="G208" s="4">
        <v>0</v>
      </c>
      <c r="H208" s="4">
        <v>0</v>
      </c>
      <c r="I208" s="4">
        <f>SUM(Tabela1[[#This Row],[Mão-de-obra (custo médio)]:[Materiais de troca (custo médio)]])</f>
        <v>133</v>
      </c>
      <c r="J208" s="4">
        <f>Tabela1[[#This Row],[Custos da os]]-Tabela1[[#This Row],[Custo dos insumos]]</f>
        <v>-9.9999999999909051E-3</v>
      </c>
      <c r="K208" s="4" t="str">
        <f>IF(ABS(Tabela1[[#This Row],[Dif. Insumo e OS]])&lt;=0.02,"ok ou um centavo","verificar")</f>
        <v>ok ou um centavo</v>
      </c>
    </row>
    <row r="209" spans="1:11" hidden="1" x14ac:dyDescent="0.25">
      <c r="A209" s="3" t="s">
        <v>236</v>
      </c>
      <c r="B209" s="3" t="s">
        <v>246</v>
      </c>
      <c r="C209" s="4">
        <v>22.03</v>
      </c>
      <c r="D209" s="4">
        <v>22.03</v>
      </c>
      <c r="E209" s="4">
        <v>0</v>
      </c>
      <c r="F209" s="4">
        <v>0</v>
      </c>
      <c r="G209" s="4">
        <v>0</v>
      </c>
      <c r="H209" s="4">
        <v>0</v>
      </c>
      <c r="I209" s="4">
        <f>SUM(Tabela1[[#This Row],[Mão-de-obra (custo médio)]:[Materiais de troca (custo médio)]])</f>
        <v>22.03</v>
      </c>
      <c r="J209" s="4">
        <f>Tabela1[[#This Row],[Custos da os]]-Tabela1[[#This Row],[Custo dos insumos]]</f>
        <v>0</v>
      </c>
      <c r="K209" s="4" t="str">
        <f>IF(ABS(Tabela1[[#This Row],[Dif. Insumo e OS]])&lt;=0.02,"ok ou um centavo","verificar")</f>
        <v>ok ou um centavo</v>
      </c>
    </row>
    <row r="210" spans="1:11" hidden="1" x14ac:dyDescent="0.25">
      <c r="A210" s="3" t="s">
        <v>236</v>
      </c>
      <c r="B210" s="3" t="s">
        <v>247</v>
      </c>
      <c r="C210" s="4">
        <v>84.32</v>
      </c>
      <c r="D210" s="4">
        <v>84.32</v>
      </c>
      <c r="E210" s="4">
        <v>0</v>
      </c>
      <c r="F210" s="4">
        <v>0</v>
      </c>
      <c r="G210" s="4">
        <v>0</v>
      </c>
      <c r="H210" s="4">
        <v>0</v>
      </c>
      <c r="I210" s="4">
        <f>SUM(Tabela1[[#This Row],[Mão-de-obra (custo médio)]:[Materiais de troca (custo médio)]])</f>
        <v>84.32</v>
      </c>
      <c r="J210" s="4">
        <f>Tabela1[[#This Row],[Custos da os]]-Tabela1[[#This Row],[Custo dos insumos]]</f>
        <v>0</v>
      </c>
      <c r="K210" s="4" t="str">
        <f>IF(ABS(Tabela1[[#This Row],[Dif. Insumo e OS]])&lt;=0.02,"ok ou um centavo","verificar")</f>
        <v>ok ou um centavo</v>
      </c>
    </row>
    <row r="211" spans="1:11" hidden="1" x14ac:dyDescent="0.25">
      <c r="A211" s="3" t="s">
        <v>236</v>
      </c>
      <c r="B211" s="3" t="s">
        <v>248</v>
      </c>
      <c r="C211" s="4">
        <v>53.2</v>
      </c>
      <c r="D211" s="4">
        <v>53.2</v>
      </c>
      <c r="E211" s="4">
        <v>0</v>
      </c>
      <c r="F211" s="4">
        <v>0</v>
      </c>
      <c r="G211" s="4">
        <v>0</v>
      </c>
      <c r="H211" s="4">
        <v>0</v>
      </c>
      <c r="I211" s="4">
        <f>SUM(Tabela1[[#This Row],[Mão-de-obra (custo médio)]:[Materiais de troca (custo médio)]])</f>
        <v>53.2</v>
      </c>
      <c r="J211" s="4">
        <f>Tabela1[[#This Row],[Custos da os]]-Tabela1[[#This Row],[Custo dos insumos]]</f>
        <v>0</v>
      </c>
      <c r="K211" s="4" t="str">
        <f>IF(ABS(Tabela1[[#This Row],[Dif. Insumo e OS]])&lt;=0.02,"ok ou um centavo","verificar")</f>
        <v>ok ou um centavo</v>
      </c>
    </row>
    <row r="212" spans="1:11" hidden="1" x14ac:dyDescent="0.25">
      <c r="A212" s="3" t="s">
        <v>236</v>
      </c>
      <c r="B212" s="3" t="s">
        <v>249</v>
      </c>
      <c r="C212" s="4">
        <v>239.41</v>
      </c>
      <c r="D212" s="4">
        <v>239.4</v>
      </c>
      <c r="E212" s="4">
        <v>0</v>
      </c>
      <c r="F212" s="4">
        <v>0</v>
      </c>
      <c r="G212" s="4">
        <v>0</v>
      </c>
      <c r="H212" s="4">
        <v>0</v>
      </c>
      <c r="I212" s="4">
        <f>SUM(Tabela1[[#This Row],[Mão-de-obra (custo médio)]:[Materiais de troca (custo médio)]])</f>
        <v>239.4</v>
      </c>
      <c r="J212" s="4">
        <f>Tabela1[[#This Row],[Custos da os]]-Tabela1[[#This Row],[Custo dos insumos]]</f>
        <v>-9.9999999999909051E-3</v>
      </c>
      <c r="K212" s="4" t="str">
        <f>IF(ABS(Tabela1[[#This Row],[Dif. Insumo e OS]])&lt;=0.02,"ok ou um centavo","verificar")</f>
        <v>ok ou um centavo</v>
      </c>
    </row>
    <row r="213" spans="1:11" hidden="1" x14ac:dyDescent="0.25">
      <c r="A213" s="3" t="s">
        <v>236</v>
      </c>
      <c r="B213" s="3" t="s">
        <v>250</v>
      </c>
      <c r="C213" s="4">
        <v>82.3</v>
      </c>
      <c r="D213" s="4">
        <v>82.29</v>
      </c>
      <c r="E213" s="4">
        <v>0</v>
      </c>
      <c r="F213" s="4">
        <v>0</v>
      </c>
      <c r="G213" s="4">
        <v>0</v>
      </c>
      <c r="H213" s="4">
        <v>0</v>
      </c>
      <c r="I213" s="4">
        <f>SUM(Tabela1[[#This Row],[Mão-de-obra (custo médio)]:[Materiais de troca (custo médio)]])</f>
        <v>82.29</v>
      </c>
      <c r="J213" s="4">
        <f>Tabela1[[#This Row],[Custos da os]]-Tabela1[[#This Row],[Custo dos insumos]]</f>
        <v>-9.9999999999909051E-3</v>
      </c>
      <c r="K213" s="4" t="str">
        <f>IF(ABS(Tabela1[[#This Row],[Dif. Insumo e OS]])&lt;=0.02,"ok ou um centavo","verificar")</f>
        <v>ok ou um centavo</v>
      </c>
    </row>
    <row r="214" spans="1:11" hidden="1" x14ac:dyDescent="0.25">
      <c r="A214" s="3" t="s">
        <v>236</v>
      </c>
      <c r="B214" s="3" t="s">
        <v>251</v>
      </c>
      <c r="C214" s="4">
        <v>26.95</v>
      </c>
      <c r="D214" s="4">
        <v>26.95</v>
      </c>
      <c r="E214" s="4">
        <v>0</v>
      </c>
      <c r="F214" s="4">
        <v>0</v>
      </c>
      <c r="G214" s="4">
        <v>0</v>
      </c>
      <c r="H214" s="4">
        <v>0</v>
      </c>
      <c r="I214" s="4">
        <f>SUM(Tabela1[[#This Row],[Mão-de-obra (custo médio)]:[Materiais de troca (custo médio)]])</f>
        <v>26.95</v>
      </c>
      <c r="J214" s="4">
        <f>Tabela1[[#This Row],[Custos da os]]-Tabela1[[#This Row],[Custo dos insumos]]</f>
        <v>0</v>
      </c>
      <c r="K214" s="4" t="str">
        <f>IF(ABS(Tabela1[[#This Row],[Dif. Insumo e OS]])&lt;=0.02,"ok ou um centavo","verificar")</f>
        <v>ok ou um centavo</v>
      </c>
    </row>
    <row r="215" spans="1:11" hidden="1" x14ac:dyDescent="0.25">
      <c r="A215" s="3" t="s">
        <v>236</v>
      </c>
      <c r="B215" s="3" t="s">
        <v>252</v>
      </c>
      <c r="C215" s="4">
        <v>246.61</v>
      </c>
      <c r="D215" s="4">
        <v>0</v>
      </c>
      <c r="E215" s="4">
        <v>0</v>
      </c>
      <c r="F215" s="4">
        <v>0</v>
      </c>
      <c r="G215" s="4">
        <v>0</v>
      </c>
      <c r="H215" s="4">
        <v>246.61</v>
      </c>
      <c r="I215" s="4">
        <f>SUM(Tabela1[[#This Row],[Mão-de-obra (custo médio)]:[Materiais de troca (custo médio)]])</f>
        <v>246.61</v>
      </c>
      <c r="J215" s="4">
        <f>Tabela1[[#This Row],[Custos da os]]-Tabela1[[#This Row],[Custo dos insumos]]</f>
        <v>0</v>
      </c>
      <c r="K215" s="4" t="str">
        <f>IF(ABS(Tabela1[[#This Row],[Dif. Insumo e OS]])&lt;=0.02,"ok ou um centavo","verificar")</f>
        <v>ok ou um centavo</v>
      </c>
    </row>
    <row r="216" spans="1:11" hidden="1" x14ac:dyDescent="0.25">
      <c r="A216" s="3" t="s">
        <v>236</v>
      </c>
      <c r="B216" s="3" t="s">
        <v>253</v>
      </c>
      <c r="C216" s="4">
        <v>0.01</v>
      </c>
      <c r="D216" s="4">
        <v>0</v>
      </c>
      <c r="E216" s="4">
        <v>0</v>
      </c>
      <c r="F216" s="4">
        <v>0</v>
      </c>
      <c r="G216" s="4">
        <v>0</v>
      </c>
      <c r="H216" s="4">
        <v>0.01</v>
      </c>
      <c r="I216" s="4">
        <f>SUM(Tabela1[[#This Row],[Mão-de-obra (custo médio)]:[Materiais de troca (custo médio)]])</f>
        <v>0.01</v>
      </c>
      <c r="J216" s="4">
        <f>Tabela1[[#This Row],[Custos da os]]-Tabela1[[#This Row],[Custo dos insumos]]</f>
        <v>0</v>
      </c>
      <c r="K216" s="4" t="str">
        <f>IF(ABS(Tabela1[[#This Row],[Dif. Insumo e OS]])&lt;=0.02,"ok ou um centavo","verificar")</f>
        <v>ok ou um centavo</v>
      </c>
    </row>
    <row r="217" spans="1:11" hidden="1" x14ac:dyDescent="0.25">
      <c r="A217" s="3" t="s">
        <v>236</v>
      </c>
      <c r="B217" s="3" t="s">
        <v>254</v>
      </c>
      <c r="C217" s="4">
        <v>161.66999999999999</v>
      </c>
      <c r="D217" s="4">
        <v>161.66999999999999</v>
      </c>
      <c r="E217" s="4">
        <v>0</v>
      </c>
      <c r="F217" s="4">
        <v>0</v>
      </c>
      <c r="G217" s="4">
        <v>0</v>
      </c>
      <c r="H217" s="4">
        <v>0</v>
      </c>
      <c r="I217" s="4">
        <f>SUM(Tabela1[[#This Row],[Mão-de-obra (custo médio)]:[Materiais de troca (custo médio)]])</f>
        <v>161.66999999999999</v>
      </c>
      <c r="J217" s="4">
        <f>Tabela1[[#This Row],[Custos da os]]-Tabela1[[#This Row],[Custo dos insumos]]</f>
        <v>0</v>
      </c>
      <c r="K217" s="4" t="str">
        <f>IF(ABS(Tabela1[[#This Row],[Dif. Insumo e OS]])&lt;=0.02,"ok ou um centavo","verificar")</f>
        <v>ok ou um centavo</v>
      </c>
    </row>
    <row r="218" spans="1:11" hidden="1" x14ac:dyDescent="0.25">
      <c r="A218" s="3" t="s">
        <v>236</v>
      </c>
      <c r="B218" s="3" t="s">
        <v>255</v>
      </c>
      <c r="C218" s="4">
        <v>147.57</v>
      </c>
      <c r="D218" s="4">
        <v>147.56</v>
      </c>
      <c r="E218" s="4">
        <v>0</v>
      </c>
      <c r="F218" s="4">
        <v>0</v>
      </c>
      <c r="G218" s="4">
        <v>0</v>
      </c>
      <c r="H218" s="4">
        <v>0</v>
      </c>
      <c r="I218" s="4">
        <f>SUM(Tabela1[[#This Row],[Mão-de-obra (custo médio)]:[Materiais de troca (custo médio)]])</f>
        <v>147.56</v>
      </c>
      <c r="J218" s="4">
        <f>Tabela1[[#This Row],[Custos da os]]-Tabela1[[#This Row],[Custo dos insumos]]</f>
        <v>-9.9999999999909051E-3</v>
      </c>
      <c r="K218" s="4" t="str">
        <f>IF(ABS(Tabela1[[#This Row],[Dif. Insumo e OS]])&lt;=0.02,"ok ou um centavo","verificar")</f>
        <v>ok ou um centavo</v>
      </c>
    </row>
    <row r="219" spans="1:11" hidden="1" x14ac:dyDescent="0.25">
      <c r="A219" s="3" t="s">
        <v>236</v>
      </c>
      <c r="B219" s="3" t="s">
        <v>256</v>
      </c>
      <c r="C219" s="4">
        <v>13.13</v>
      </c>
      <c r="D219" s="4">
        <v>13.13</v>
      </c>
      <c r="E219" s="4">
        <v>0</v>
      </c>
      <c r="F219" s="4">
        <v>0</v>
      </c>
      <c r="G219" s="4">
        <v>0</v>
      </c>
      <c r="H219" s="4">
        <v>0</v>
      </c>
      <c r="I219" s="4">
        <f>SUM(Tabela1[[#This Row],[Mão-de-obra (custo médio)]:[Materiais de troca (custo médio)]])</f>
        <v>13.13</v>
      </c>
      <c r="J219" s="4">
        <f>Tabela1[[#This Row],[Custos da os]]-Tabela1[[#This Row],[Custo dos insumos]]</f>
        <v>0</v>
      </c>
      <c r="K219" s="4" t="str">
        <f>IF(ABS(Tabela1[[#This Row],[Dif. Insumo e OS]])&lt;=0.02,"ok ou um centavo","verificar")</f>
        <v>ok ou um centavo</v>
      </c>
    </row>
    <row r="220" spans="1:11" x14ac:dyDescent="0.25">
      <c r="A220" s="1" t="s">
        <v>511</v>
      </c>
      <c r="B220" s="1" t="s">
        <v>512</v>
      </c>
      <c r="C220" s="2">
        <v>0</v>
      </c>
      <c r="D220" s="2">
        <v>0</v>
      </c>
      <c r="E220" s="2">
        <v>54.45</v>
      </c>
      <c r="F220" s="2">
        <v>0</v>
      </c>
      <c r="G220" s="2">
        <v>0</v>
      </c>
      <c r="H220" s="2">
        <v>0</v>
      </c>
      <c r="I220" s="2">
        <f>SUM(Tabela1[[#This Row],[Mão-de-obra (custo médio)]:[Materiais de troca (custo médio)]])</f>
        <v>54.45</v>
      </c>
      <c r="J220" s="2">
        <f>Tabela1[[#This Row],[Custos da os]]-Tabela1[[#This Row],[Custo dos insumos]]</f>
        <v>54.45</v>
      </c>
      <c r="K220" s="2" t="str">
        <f>IF(ABS(Tabela1[[#This Row],[Dif. Insumo e OS]])&lt;=0.02,"ok ou um centavo","verificar")</f>
        <v>verificar</v>
      </c>
    </row>
    <row r="221" spans="1:11" hidden="1" x14ac:dyDescent="0.25">
      <c r="A221" s="3" t="s">
        <v>257</v>
      </c>
      <c r="B221" s="3" t="s">
        <v>259</v>
      </c>
      <c r="C221" s="4">
        <v>73.69</v>
      </c>
      <c r="D221" s="4">
        <v>0</v>
      </c>
      <c r="E221" s="4">
        <v>0</v>
      </c>
      <c r="F221" s="4">
        <v>26.14</v>
      </c>
      <c r="G221" s="4">
        <v>0</v>
      </c>
      <c r="H221" s="4">
        <v>47.55</v>
      </c>
      <c r="I221" s="4">
        <f>SUM(Tabela1[[#This Row],[Mão-de-obra (custo médio)]:[Materiais de troca (custo médio)]])</f>
        <v>73.69</v>
      </c>
      <c r="J221" s="4">
        <f>Tabela1[[#This Row],[Custos da os]]-Tabela1[[#This Row],[Custo dos insumos]]</f>
        <v>0</v>
      </c>
      <c r="K221" s="4" t="str">
        <f>IF(ABS(Tabela1[[#This Row],[Dif. Insumo e OS]])&lt;=0.02,"ok ou um centavo","verificar")</f>
        <v>ok ou um centavo</v>
      </c>
    </row>
    <row r="222" spans="1:11" hidden="1" x14ac:dyDescent="0.25">
      <c r="A222" s="3" t="s">
        <v>257</v>
      </c>
      <c r="B222" s="3" t="s">
        <v>260</v>
      </c>
      <c r="C222" s="4">
        <v>411.62</v>
      </c>
      <c r="D222" s="4">
        <v>0</v>
      </c>
      <c r="E222" s="4">
        <v>0</v>
      </c>
      <c r="F222" s="4">
        <v>0</v>
      </c>
      <c r="G222" s="4">
        <v>0</v>
      </c>
      <c r="H222" s="4">
        <v>411.62</v>
      </c>
      <c r="I222" s="4">
        <f>SUM(Tabela1[[#This Row],[Mão-de-obra (custo médio)]:[Materiais de troca (custo médio)]])</f>
        <v>411.62</v>
      </c>
      <c r="J222" s="4">
        <f>Tabela1[[#This Row],[Custos da os]]-Tabela1[[#This Row],[Custo dos insumos]]</f>
        <v>0</v>
      </c>
      <c r="K222" s="4" t="str">
        <f>IF(ABS(Tabela1[[#This Row],[Dif. Insumo e OS]])&lt;=0.02,"ok ou um centavo","verificar")</f>
        <v>ok ou um centavo</v>
      </c>
    </row>
    <row r="223" spans="1:11" hidden="1" x14ac:dyDescent="0.25">
      <c r="A223" s="3" t="s">
        <v>257</v>
      </c>
      <c r="B223" s="3" t="s">
        <v>261</v>
      </c>
      <c r="C223" s="4">
        <v>771.7</v>
      </c>
      <c r="D223" s="4">
        <v>771.71</v>
      </c>
      <c r="E223" s="4">
        <v>0</v>
      </c>
      <c r="F223" s="4">
        <v>0</v>
      </c>
      <c r="G223" s="4">
        <v>0</v>
      </c>
      <c r="H223" s="4">
        <v>0</v>
      </c>
      <c r="I223" s="4">
        <f>SUM(Tabela1[[#This Row],[Mão-de-obra (custo médio)]:[Materiais de troca (custo médio)]])</f>
        <v>771.71</v>
      </c>
      <c r="J223" s="4">
        <f>Tabela1[[#This Row],[Custos da os]]-Tabela1[[#This Row],[Custo dos insumos]]</f>
        <v>9.9999999999909051E-3</v>
      </c>
      <c r="K223" s="4" t="str">
        <f>IF(ABS(Tabela1[[#This Row],[Dif. Insumo e OS]])&lt;=0.02,"ok ou um centavo","verificar")</f>
        <v>ok ou um centavo</v>
      </c>
    </row>
    <row r="224" spans="1:11" hidden="1" x14ac:dyDescent="0.25">
      <c r="A224" s="3" t="s">
        <v>257</v>
      </c>
      <c r="B224" s="3" t="s">
        <v>262</v>
      </c>
      <c r="C224" s="4">
        <v>40.42</v>
      </c>
      <c r="D224" s="4">
        <v>40.42</v>
      </c>
      <c r="E224" s="4">
        <v>0</v>
      </c>
      <c r="F224" s="4">
        <v>0</v>
      </c>
      <c r="G224" s="4">
        <v>0</v>
      </c>
      <c r="H224" s="4">
        <v>0</v>
      </c>
      <c r="I224" s="4">
        <f>SUM(Tabela1[[#This Row],[Mão-de-obra (custo médio)]:[Materiais de troca (custo médio)]])</f>
        <v>40.42</v>
      </c>
      <c r="J224" s="4">
        <f>Tabela1[[#This Row],[Custos da os]]-Tabela1[[#This Row],[Custo dos insumos]]</f>
        <v>0</v>
      </c>
      <c r="K224" s="4" t="str">
        <f>IF(ABS(Tabela1[[#This Row],[Dif. Insumo e OS]])&lt;=0.02,"ok ou um centavo","verificar")</f>
        <v>ok ou um centavo</v>
      </c>
    </row>
    <row r="225" spans="1:11" x14ac:dyDescent="0.25">
      <c r="A225" s="1" t="s">
        <v>72</v>
      </c>
      <c r="B225" s="1" t="s">
        <v>81</v>
      </c>
      <c r="C225" s="2">
        <v>111</v>
      </c>
      <c r="D225" s="2">
        <v>0</v>
      </c>
      <c r="E225" s="2">
        <v>0</v>
      </c>
      <c r="F225" s="2">
        <v>0</v>
      </c>
      <c r="G225" s="2">
        <v>0</v>
      </c>
      <c r="H225" s="2">
        <v>181</v>
      </c>
      <c r="I225" s="2">
        <f>SUM(Tabela1[[#This Row],[Mão-de-obra (custo médio)]:[Materiais de troca (custo médio)]])</f>
        <v>181</v>
      </c>
      <c r="J225" s="2">
        <f>Tabela1[[#This Row],[Custos da os]]-Tabela1[[#This Row],[Custo dos insumos]]</f>
        <v>70</v>
      </c>
      <c r="K225" s="2" t="str">
        <f>IF(ABS(Tabela1[[#This Row],[Dif. Insumo e OS]])&lt;=0.02,"ok ou um centavo","verificar")</f>
        <v>verificar</v>
      </c>
    </row>
    <row r="226" spans="1:11" x14ac:dyDescent="0.25">
      <c r="A226" s="1" t="s">
        <v>517</v>
      </c>
      <c r="B226" s="1" t="s">
        <v>519</v>
      </c>
      <c r="C226" s="2">
        <v>0</v>
      </c>
      <c r="D226" s="2">
        <v>0</v>
      </c>
      <c r="E226" s="2">
        <v>72.599999999999994</v>
      </c>
      <c r="F226" s="2">
        <v>0</v>
      </c>
      <c r="G226" s="2">
        <v>0</v>
      </c>
      <c r="H226" s="2">
        <v>0</v>
      </c>
      <c r="I226" s="2">
        <f>SUM(Tabela1[[#This Row],[Mão-de-obra (custo médio)]:[Materiais de troca (custo médio)]])</f>
        <v>72.599999999999994</v>
      </c>
      <c r="J226" s="2">
        <f>Tabela1[[#This Row],[Custos da os]]-Tabela1[[#This Row],[Custo dos insumos]]</f>
        <v>72.599999999999994</v>
      </c>
      <c r="K226" s="2" t="str">
        <f>IF(ABS(Tabela1[[#This Row],[Dif. Insumo e OS]])&lt;=0.02,"ok ou um centavo","verificar")</f>
        <v>verificar</v>
      </c>
    </row>
    <row r="227" spans="1:11" hidden="1" x14ac:dyDescent="0.25">
      <c r="A227" s="3" t="s">
        <v>257</v>
      </c>
      <c r="B227" s="3" t="s">
        <v>265</v>
      </c>
      <c r="C227" s="4">
        <v>215.56</v>
      </c>
      <c r="D227" s="4">
        <v>215.56</v>
      </c>
      <c r="E227" s="4">
        <v>0</v>
      </c>
      <c r="F227" s="4">
        <v>0</v>
      </c>
      <c r="G227" s="4">
        <v>0</v>
      </c>
      <c r="H227" s="4">
        <v>0</v>
      </c>
      <c r="I227" s="4">
        <f>SUM(Tabela1[[#This Row],[Mão-de-obra (custo médio)]:[Materiais de troca (custo médio)]])</f>
        <v>215.56</v>
      </c>
      <c r="J227" s="4">
        <f>Tabela1[[#This Row],[Custos da os]]-Tabela1[[#This Row],[Custo dos insumos]]</f>
        <v>0</v>
      </c>
      <c r="K227" s="4" t="str">
        <f>IF(ABS(Tabela1[[#This Row],[Dif. Insumo e OS]])&lt;=0.02,"ok ou um centavo","verificar")</f>
        <v>ok ou um centavo</v>
      </c>
    </row>
    <row r="228" spans="1:11" hidden="1" x14ac:dyDescent="0.25">
      <c r="A228" s="3" t="s">
        <v>257</v>
      </c>
      <c r="B228" s="3" t="s">
        <v>266</v>
      </c>
      <c r="C228" s="4">
        <v>137.69999999999999</v>
      </c>
      <c r="D228" s="4">
        <v>137.69999999999999</v>
      </c>
      <c r="E228" s="4">
        <v>0</v>
      </c>
      <c r="F228" s="4">
        <v>0</v>
      </c>
      <c r="G228" s="4">
        <v>0</v>
      </c>
      <c r="H228" s="4">
        <v>0</v>
      </c>
      <c r="I228" s="4">
        <f>SUM(Tabela1[[#This Row],[Mão-de-obra (custo médio)]:[Materiais de troca (custo médio)]])</f>
        <v>137.69999999999999</v>
      </c>
      <c r="J228" s="4">
        <f>Tabela1[[#This Row],[Custos da os]]-Tabela1[[#This Row],[Custo dos insumos]]</f>
        <v>0</v>
      </c>
      <c r="K228" s="4" t="str">
        <f>IF(ABS(Tabela1[[#This Row],[Dif. Insumo e OS]])&lt;=0.02,"ok ou um centavo","verificar")</f>
        <v>ok ou um centavo</v>
      </c>
    </row>
    <row r="229" spans="1:11" hidden="1" x14ac:dyDescent="0.25">
      <c r="A229" s="3" t="s">
        <v>257</v>
      </c>
      <c r="B229" s="3" t="s">
        <v>267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f>SUM(Tabela1[[#This Row],[Mão-de-obra (custo médio)]:[Materiais de troca (custo médio)]])</f>
        <v>0</v>
      </c>
      <c r="J229" s="4">
        <f>Tabela1[[#This Row],[Custos da os]]-Tabela1[[#This Row],[Custo dos insumos]]</f>
        <v>0</v>
      </c>
      <c r="K229" s="4" t="str">
        <f>IF(ABS(Tabela1[[#This Row],[Dif. Insumo e OS]])&lt;=0.02,"ok ou um centavo","verificar")</f>
        <v>ok ou um centavo</v>
      </c>
    </row>
    <row r="230" spans="1:11" hidden="1" x14ac:dyDescent="0.25">
      <c r="A230" s="3" t="s">
        <v>257</v>
      </c>
      <c r="B230" s="3" t="s">
        <v>268</v>
      </c>
      <c r="C230" s="4">
        <v>82.34</v>
      </c>
      <c r="D230" s="4">
        <v>82.34</v>
      </c>
      <c r="E230" s="4">
        <v>0</v>
      </c>
      <c r="F230" s="4">
        <v>0</v>
      </c>
      <c r="G230" s="4">
        <v>0</v>
      </c>
      <c r="H230" s="4">
        <v>0</v>
      </c>
      <c r="I230" s="4">
        <f>SUM(Tabela1[[#This Row],[Mão-de-obra (custo médio)]:[Materiais de troca (custo médio)]])</f>
        <v>82.34</v>
      </c>
      <c r="J230" s="4">
        <f>Tabela1[[#This Row],[Custos da os]]-Tabela1[[#This Row],[Custo dos insumos]]</f>
        <v>0</v>
      </c>
      <c r="K230" s="4" t="str">
        <f>IF(ABS(Tabela1[[#This Row],[Dif. Insumo e OS]])&lt;=0.02,"ok ou um centavo","verificar")</f>
        <v>ok ou um centavo</v>
      </c>
    </row>
    <row r="231" spans="1:11" hidden="1" x14ac:dyDescent="0.25">
      <c r="A231" s="3" t="s">
        <v>257</v>
      </c>
      <c r="B231" s="3" t="s">
        <v>269</v>
      </c>
      <c r="C231" s="4">
        <v>134.72999999999999</v>
      </c>
      <c r="D231" s="4">
        <v>134.72999999999999</v>
      </c>
      <c r="E231" s="4">
        <v>0</v>
      </c>
      <c r="F231" s="4">
        <v>0</v>
      </c>
      <c r="G231" s="4">
        <v>0</v>
      </c>
      <c r="H231" s="4">
        <v>0</v>
      </c>
      <c r="I231" s="4">
        <f>SUM(Tabela1[[#This Row],[Mão-de-obra (custo médio)]:[Materiais de troca (custo médio)]])</f>
        <v>134.72999999999999</v>
      </c>
      <c r="J231" s="4">
        <f>Tabela1[[#This Row],[Custos da os]]-Tabela1[[#This Row],[Custo dos insumos]]</f>
        <v>0</v>
      </c>
      <c r="K231" s="4" t="str">
        <f>IF(ABS(Tabela1[[#This Row],[Dif. Insumo e OS]])&lt;=0.02,"ok ou um centavo","verificar")</f>
        <v>ok ou um centavo</v>
      </c>
    </row>
    <row r="232" spans="1:11" hidden="1" x14ac:dyDescent="0.25">
      <c r="A232" s="3" t="s">
        <v>257</v>
      </c>
      <c r="B232" s="3" t="s">
        <v>270</v>
      </c>
      <c r="C232" s="4">
        <v>98.45</v>
      </c>
      <c r="D232" s="4">
        <v>98.45</v>
      </c>
      <c r="E232" s="4">
        <v>0</v>
      </c>
      <c r="F232" s="4">
        <v>0</v>
      </c>
      <c r="G232" s="4">
        <v>0</v>
      </c>
      <c r="H232" s="4">
        <v>0</v>
      </c>
      <c r="I232" s="4">
        <f>SUM(Tabela1[[#This Row],[Mão-de-obra (custo médio)]:[Materiais de troca (custo médio)]])</f>
        <v>98.45</v>
      </c>
      <c r="J232" s="4">
        <f>Tabela1[[#This Row],[Custos da os]]-Tabela1[[#This Row],[Custo dos insumos]]</f>
        <v>0</v>
      </c>
      <c r="K232" s="4" t="str">
        <f>IF(ABS(Tabela1[[#This Row],[Dif. Insumo e OS]])&lt;=0.02,"ok ou um centavo","verificar")</f>
        <v>ok ou um centavo</v>
      </c>
    </row>
    <row r="233" spans="1:11" hidden="1" x14ac:dyDescent="0.25">
      <c r="A233" s="3" t="s">
        <v>257</v>
      </c>
      <c r="B233" s="3" t="s">
        <v>271</v>
      </c>
      <c r="C233" s="4">
        <v>177.57</v>
      </c>
      <c r="D233" s="4">
        <v>0</v>
      </c>
      <c r="E233" s="4">
        <v>0</v>
      </c>
      <c r="F233" s="4">
        <v>0</v>
      </c>
      <c r="G233" s="4">
        <v>0</v>
      </c>
      <c r="H233" s="4">
        <v>177.57</v>
      </c>
      <c r="I233" s="4">
        <f>SUM(Tabela1[[#This Row],[Mão-de-obra (custo médio)]:[Materiais de troca (custo médio)]])</f>
        <v>177.57</v>
      </c>
      <c r="J233" s="4">
        <f>Tabela1[[#This Row],[Custos da os]]-Tabela1[[#This Row],[Custo dos insumos]]</f>
        <v>0</v>
      </c>
      <c r="K233" s="4" t="str">
        <f>IF(ABS(Tabela1[[#This Row],[Dif. Insumo e OS]])&lt;=0.02,"ok ou um centavo","verificar")</f>
        <v>ok ou um centavo</v>
      </c>
    </row>
    <row r="234" spans="1:11" hidden="1" x14ac:dyDescent="0.25">
      <c r="A234" s="3" t="s">
        <v>257</v>
      </c>
      <c r="B234" s="3" t="s">
        <v>272</v>
      </c>
      <c r="C234" s="4">
        <v>203.55</v>
      </c>
      <c r="D234" s="4">
        <v>203.55</v>
      </c>
      <c r="E234" s="4">
        <v>0</v>
      </c>
      <c r="F234" s="4">
        <v>0</v>
      </c>
      <c r="G234" s="4">
        <v>0</v>
      </c>
      <c r="H234" s="4">
        <v>0</v>
      </c>
      <c r="I234" s="4">
        <f>SUM(Tabela1[[#This Row],[Mão-de-obra (custo médio)]:[Materiais de troca (custo médio)]])</f>
        <v>203.55</v>
      </c>
      <c r="J234" s="4">
        <f>Tabela1[[#This Row],[Custos da os]]-Tabela1[[#This Row],[Custo dos insumos]]</f>
        <v>0</v>
      </c>
      <c r="K234" s="4" t="str">
        <f>IF(ABS(Tabela1[[#This Row],[Dif. Insumo e OS]])&lt;=0.02,"ok ou um centavo","verificar")</f>
        <v>ok ou um centavo</v>
      </c>
    </row>
    <row r="235" spans="1:11" hidden="1" x14ac:dyDescent="0.25">
      <c r="A235" s="3" t="s">
        <v>257</v>
      </c>
      <c r="B235" s="3" t="s">
        <v>273</v>
      </c>
      <c r="C235" s="4">
        <v>0.22</v>
      </c>
      <c r="D235" s="4">
        <v>0.22</v>
      </c>
      <c r="E235" s="4">
        <v>0</v>
      </c>
      <c r="F235" s="4">
        <v>0</v>
      </c>
      <c r="G235" s="4">
        <v>0</v>
      </c>
      <c r="H235" s="4">
        <v>0</v>
      </c>
      <c r="I235" s="4">
        <f>SUM(Tabela1[[#This Row],[Mão-de-obra (custo médio)]:[Materiais de troca (custo médio)]])</f>
        <v>0.22</v>
      </c>
      <c r="J235" s="4">
        <f>Tabela1[[#This Row],[Custos da os]]-Tabela1[[#This Row],[Custo dos insumos]]</f>
        <v>0</v>
      </c>
      <c r="K235" s="4" t="str">
        <f>IF(ABS(Tabela1[[#This Row],[Dif. Insumo e OS]])&lt;=0.02,"ok ou um centavo","verificar")</f>
        <v>ok ou um centavo</v>
      </c>
    </row>
    <row r="236" spans="1:11" hidden="1" x14ac:dyDescent="0.25">
      <c r="A236" s="3" t="s">
        <v>257</v>
      </c>
      <c r="B236" s="3" t="s">
        <v>274</v>
      </c>
      <c r="C236" s="4">
        <v>66.23</v>
      </c>
      <c r="D236" s="4">
        <v>66.23</v>
      </c>
      <c r="E236" s="4">
        <v>0</v>
      </c>
      <c r="F236" s="4">
        <v>0</v>
      </c>
      <c r="G236" s="4">
        <v>0</v>
      </c>
      <c r="H236" s="4">
        <v>0</v>
      </c>
      <c r="I236" s="4">
        <f>SUM(Tabela1[[#This Row],[Mão-de-obra (custo médio)]:[Materiais de troca (custo médio)]])</f>
        <v>66.23</v>
      </c>
      <c r="J236" s="4">
        <f>Tabela1[[#This Row],[Custos da os]]-Tabela1[[#This Row],[Custo dos insumos]]</f>
        <v>0</v>
      </c>
      <c r="K236" s="4" t="str">
        <f>IF(ABS(Tabela1[[#This Row],[Dif. Insumo e OS]])&lt;=0.02,"ok ou um centavo","verificar")</f>
        <v>ok ou um centavo</v>
      </c>
    </row>
    <row r="237" spans="1:11" hidden="1" x14ac:dyDescent="0.25">
      <c r="A237" s="3" t="s">
        <v>257</v>
      </c>
      <c r="B237" s="3" t="s">
        <v>275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f>SUM(Tabela1[[#This Row],[Mão-de-obra (custo médio)]:[Materiais de troca (custo médio)]])</f>
        <v>0</v>
      </c>
      <c r="J237" s="4">
        <f>Tabela1[[#This Row],[Custos da os]]-Tabela1[[#This Row],[Custo dos insumos]]</f>
        <v>0</v>
      </c>
      <c r="K237" s="4" t="str">
        <f>IF(ABS(Tabela1[[#This Row],[Dif. Insumo e OS]])&lt;=0.02,"ok ou um centavo","verificar")</f>
        <v>ok ou um centavo</v>
      </c>
    </row>
    <row r="238" spans="1:11" hidden="1" x14ac:dyDescent="0.25">
      <c r="A238" s="3" t="s">
        <v>257</v>
      </c>
      <c r="B238" s="3" t="s">
        <v>276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f>SUM(Tabela1[[#This Row],[Mão-de-obra (custo médio)]:[Materiais de troca (custo médio)]])</f>
        <v>0</v>
      </c>
      <c r="J238" s="4">
        <f>Tabela1[[#This Row],[Custos da os]]-Tabela1[[#This Row],[Custo dos insumos]]</f>
        <v>0</v>
      </c>
      <c r="K238" s="4" t="str">
        <f>IF(ABS(Tabela1[[#This Row],[Dif. Insumo e OS]])&lt;=0.02,"ok ou um centavo","verificar")</f>
        <v>ok ou um centavo</v>
      </c>
    </row>
    <row r="239" spans="1:11" x14ac:dyDescent="0.25">
      <c r="A239" s="1" t="s">
        <v>145</v>
      </c>
      <c r="B239" s="1" t="s">
        <v>151</v>
      </c>
      <c r="C239" s="2">
        <v>248.96</v>
      </c>
      <c r="D239" s="2">
        <v>148.21</v>
      </c>
      <c r="E239" s="2">
        <v>0</v>
      </c>
      <c r="F239" s="2">
        <v>0</v>
      </c>
      <c r="G239" s="2">
        <v>178.48</v>
      </c>
      <c r="H239" s="2">
        <v>0</v>
      </c>
      <c r="I239" s="2">
        <f>SUM(Tabela1[[#This Row],[Mão-de-obra (custo médio)]:[Materiais de troca (custo médio)]])</f>
        <v>326.69</v>
      </c>
      <c r="J239" s="2">
        <f>Tabela1[[#This Row],[Custos da os]]-Tabela1[[#This Row],[Custo dos insumos]]</f>
        <v>77.72999999999999</v>
      </c>
      <c r="K239" s="2" t="str">
        <f>IF(ABS(Tabela1[[#This Row],[Dif. Insumo e OS]])&lt;=0.02,"ok ou um centavo","verificar")</f>
        <v>verificar</v>
      </c>
    </row>
    <row r="240" spans="1:11" x14ac:dyDescent="0.25">
      <c r="A240" s="1" t="s">
        <v>682</v>
      </c>
      <c r="B240" s="1" t="s">
        <v>684</v>
      </c>
      <c r="C240" s="2">
        <v>105.43</v>
      </c>
      <c r="D240" s="2">
        <v>184.34</v>
      </c>
      <c r="E240" s="2">
        <v>0</v>
      </c>
      <c r="F240" s="2">
        <v>0</v>
      </c>
      <c r="G240" s="2">
        <v>5.74</v>
      </c>
      <c r="H240" s="2">
        <v>0</v>
      </c>
      <c r="I240" s="2">
        <f>SUM(Tabela1[[#This Row],[Mão-de-obra (custo médio)]:[Materiais de troca (custo médio)]])</f>
        <v>190.08</v>
      </c>
      <c r="J240" s="2">
        <f>Tabela1[[#This Row],[Custos da os]]-Tabela1[[#This Row],[Custo dos insumos]]</f>
        <v>84.65</v>
      </c>
      <c r="K240" s="2" t="str">
        <f>IF(ABS(Tabela1[[#This Row],[Dif. Insumo e OS]])&lt;=0.02,"ok ou um centavo","verificar")</f>
        <v>verificar</v>
      </c>
    </row>
    <row r="241" spans="1:11" x14ac:dyDescent="0.25">
      <c r="A241" s="1" t="s">
        <v>204</v>
      </c>
      <c r="B241" s="1" t="s">
        <v>206</v>
      </c>
      <c r="C241" s="2">
        <v>18.29</v>
      </c>
      <c r="D241" s="2">
        <v>29</v>
      </c>
      <c r="E241" s="2">
        <v>0</v>
      </c>
      <c r="F241" s="2">
        <v>0</v>
      </c>
      <c r="G241" s="2">
        <v>77.45</v>
      </c>
      <c r="H241" s="2">
        <v>0</v>
      </c>
      <c r="I241" s="2">
        <f>SUM(Tabela1[[#This Row],[Mão-de-obra (custo médio)]:[Materiais de troca (custo médio)]])</f>
        <v>106.45</v>
      </c>
      <c r="J241" s="2">
        <f>Tabela1[[#This Row],[Custos da os]]-Tabela1[[#This Row],[Custo dos insumos]]</f>
        <v>88.16</v>
      </c>
      <c r="K241" s="2" t="str">
        <f>IF(ABS(Tabela1[[#This Row],[Dif. Insumo e OS]])&lt;=0.02,"ok ou um centavo","verificar")</f>
        <v>verificar</v>
      </c>
    </row>
    <row r="242" spans="1:11" hidden="1" x14ac:dyDescent="0.25">
      <c r="A242" s="3" t="s">
        <v>281</v>
      </c>
      <c r="B242" s="3" t="s">
        <v>282</v>
      </c>
      <c r="C242" s="4">
        <v>0.22</v>
      </c>
      <c r="D242" s="4">
        <v>0.22</v>
      </c>
      <c r="E242" s="4">
        <v>0</v>
      </c>
      <c r="F242" s="4">
        <v>0</v>
      </c>
      <c r="G242" s="4">
        <v>0</v>
      </c>
      <c r="H242" s="4">
        <v>0</v>
      </c>
      <c r="I242" s="4">
        <f>SUM(Tabela1[[#This Row],[Mão-de-obra (custo médio)]:[Materiais de troca (custo médio)]])</f>
        <v>0.22</v>
      </c>
      <c r="J242" s="4">
        <f>Tabela1[[#This Row],[Custos da os]]-Tabela1[[#This Row],[Custo dos insumos]]</f>
        <v>0</v>
      </c>
      <c r="K242" s="4" t="str">
        <f>IF(ABS(Tabela1[[#This Row],[Dif. Insumo e OS]])&lt;=0.02,"ok ou um centavo","verificar")</f>
        <v>ok ou um centavo</v>
      </c>
    </row>
    <row r="243" spans="1:11" hidden="1" x14ac:dyDescent="0.25">
      <c r="A243" s="3" t="s">
        <v>281</v>
      </c>
      <c r="B243" s="3" t="s">
        <v>283</v>
      </c>
      <c r="C243" s="4">
        <v>6.06</v>
      </c>
      <c r="D243" s="4">
        <v>0.22</v>
      </c>
      <c r="E243" s="4">
        <v>0</v>
      </c>
      <c r="F243" s="4">
        <v>0</v>
      </c>
      <c r="G243" s="4">
        <v>0</v>
      </c>
      <c r="H243" s="4">
        <v>5.84</v>
      </c>
      <c r="I243" s="4">
        <f>SUM(Tabela1[[#This Row],[Mão-de-obra (custo médio)]:[Materiais de troca (custo médio)]])</f>
        <v>6.06</v>
      </c>
      <c r="J243" s="4">
        <f>Tabela1[[#This Row],[Custos da os]]-Tabela1[[#This Row],[Custo dos insumos]]</f>
        <v>0</v>
      </c>
      <c r="K243" s="4" t="str">
        <f>IF(ABS(Tabela1[[#This Row],[Dif. Insumo e OS]])&lt;=0.02,"ok ou um centavo","verificar")</f>
        <v>ok ou um centavo</v>
      </c>
    </row>
    <row r="244" spans="1:11" x14ac:dyDescent="0.25">
      <c r="A244" s="1" t="s">
        <v>293</v>
      </c>
      <c r="B244" s="1" t="s">
        <v>296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127.23</v>
      </c>
      <c r="I244" s="2">
        <f>SUM(Tabela1[[#This Row],[Mão-de-obra (custo médio)]:[Materiais de troca (custo médio)]])</f>
        <v>127.23</v>
      </c>
      <c r="J244" s="2">
        <f>Tabela1[[#This Row],[Custos da os]]-Tabela1[[#This Row],[Custo dos insumos]]</f>
        <v>127.23</v>
      </c>
      <c r="K244" s="2" t="str">
        <f>IF(ABS(Tabela1[[#This Row],[Dif. Insumo e OS]])&lt;=0.02,"ok ou um centavo","verificar")</f>
        <v>verificar</v>
      </c>
    </row>
    <row r="245" spans="1:11" x14ac:dyDescent="0.25">
      <c r="A245" s="1" t="s">
        <v>310</v>
      </c>
      <c r="B245" s="1" t="s">
        <v>313</v>
      </c>
      <c r="C245" s="2">
        <v>19.68</v>
      </c>
      <c r="D245" s="2">
        <v>26.58</v>
      </c>
      <c r="E245" s="2">
        <v>0</v>
      </c>
      <c r="F245" s="2">
        <v>0</v>
      </c>
      <c r="G245" s="2">
        <v>0</v>
      </c>
      <c r="H245" s="2">
        <v>124.63</v>
      </c>
      <c r="I245" s="2">
        <f>SUM(Tabela1[[#This Row],[Mão-de-obra (custo médio)]:[Materiais de troca (custo médio)]])</f>
        <v>151.20999999999998</v>
      </c>
      <c r="J245" s="2">
        <f>Tabela1[[#This Row],[Custos da os]]-Tabela1[[#This Row],[Custo dos insumos]]</f>
        <v>131.52999999999997</v>
      </c>
      <c r="K245" s="2" t="str">
        <f>IF(ABS(Tabela1[[#This Row],[Dif. Insumo e OS]])&lt;=0.02,"ok ou um centavo","verificar")</f>
        <v>verificar</v>
      </c>
    </row>
    <row r="246" spans="1:11" hidden="1" x14ac:dyDescent="0.25">
      <c r="A246" s="3" t="s">
        <v>281</v>
      </c>
      <c r="B246" s="3" t="s">
        <v>286</v>
      </c>
      <c r="C246" s="4">
        <v>0.46</v>
      </c>
      <c r="D246" s="4">
        <v>0.46</v>
      </c>
      <c r="E246" s="4">
        <v>0</v>
      </c>
      <c r="F246" s="4">
        <v>0</v>
      </c>
      <c r="G246" s="4">
        <v>0</v>
      </c>
      <c r="H246" s="4">
        <v>0</v>
      </c>
      <c r="I246" s="4">
        <f>SUM(Tabela1[[#This Row],[Mão-de-obra (custo médio)]:[Materiais de troca (custo médio)]])</f>
        <v>0.46</v>
      </c>
      <c r="J246" s="4">
        <f>Tabela1[[#This Row],[Custos da os]]-Tabela1[[#This Row],[Custo dos insumos]]</f>
        <v>0</v>
      </c>
      <c r="K246" s="4" t="str">
        <f>IF(ABS(Tabela1[[#This Row],[Dif. Insumo e OS]])&lt;=0.02,"ok ou um centavo","verificar")</f>
        <v>ok ou um centavo</v>
      </c>
    </row>
    <row r="247" spans="1:11" hidden="1" x14ac:dyDescent="0.25">
      <c r="A247" s="3" t="s">
        <v>281</v>
      </c>
      <c r="B247" s="3" t="s">
        <v>287</v>
      </c>
      <c r="C247" s="4">
        <v>4537.5</v>
      </c>
      <c r="D247" s="4">
        <v>0</v>
      </c>
      <c r="E247" s="4">
        <v>4537.5</v>
      </c>
      <c r="F247" s="4">
        <v>0</v>
      </c>
      <c r="G247" s="4">
        <v>0</v>
      </c>
      <c r="H247" s="4">
        <v>0</v>
      </c>
      <c r="I247" s="4">
        <f>SUM(Tabela1[[#This Row],[Mão-de-obra (custo médio)]:[Materiais de troca (custo médio)]])</f>
        <v>4537.5</v>
      </c>
      <c r="J247" s="4">
        <f>Tabela1[[#This Row],[Custos da os]]-Tabela1[[#This Row],[Custo dos insumos]]</f>
        <v>0</v>
      </c>
      <c r="K247" s="4" t="str">
        <f>IF(ABS(Tabela1[[#This Row],[Dif. Insumo e OS]])&lt;=0.02,"ok ou um centavo","verificar")</f>
        <v>ok ou um centavo</v>
      </c>
    </row>
    <row r="248" spans="1:11" x14ac:dyDescent="0.25">
      <c r="A248" s="1" t="s">
        <v>257</v>
      </c>
      <c r="B248" s="1" t="s">
        <v>263</v>
      </c>
      <c r="C248" s="2">
        <v>603.09</v>
      </c>
      <c r="D248" s="2">
        <v>114.66</v>
      </c>
      <c r="E248" s="2">
        <v>0</v>
      </c>
      <c r="F248" s="2">
        <v>0</v>
      </c>
      <c r="G248" s="2">
        <v>0</v>
      </c>
      <c r="H248" s="2">
        <v>623.53</v>
      </c>
      <c r="I248" s="2">
        <f>SUM(Tabela1[[#This Row],[Mão-de-obra (custo médio)]:[Materiais de troca (custo médio)]])</f>
        <v>738.18999999999994</v>
      </c>
      <c r="J248" s="2">
        <f>Tabela1[[#This Row],[Custos da os]]-Tabela1[[#This Row],[Custo dos insumos]]</f>
        <v>135.09999999999991</v>
      </c>
      <c r="K248" s="2" t="str">
        <f>IF(ABS(Tabela1[[#This Row],[Dif. Insumo e OS]])&lt;=0.02,"ok ou um centavo","verificar")</f>
        <v>verificar</v>
      </c>
    </row>
    <row r="249" spans="1:11" x14ac:dyDescent="0.25">
      <c r="A249" s="1" t="s">
        <v>301</v>
      </c>
      <c r="B249" s="1" t="s">
        <v>303</v>
      </c>
      <c r="C249" s="2">
        <v>31.18</v>
      </c>
      <c r="D249" s="2">
        <v>41.82</v>
      </c>
      <c r="E249" s="2">
        <v>0</v>
      </c>
      <c r="F249" s="2">
        <v>0</v>
      </c>
      <c r="G249" s="2">
        <v>0</v>
      </c>
      <c r="H249" s="2">
        <v>124.64</v>
      </c>
      <c r="I249" s="2">
        <f>SUM(Tabela1[[#This Row],[Mão-de-obra (custo médio)]:[Materiais de troca (custo médio)]])</f>
        <v>166.46</v>
      </c>
      <c r="J249" s="2">
        <f>Tabela1[[#This Row],[Custos da os]]-Tabela1[[#This Row],[Custo dos insumos]]</f>
        <v>135.28</v>
      </c>
      <c r="K249" s="2" t="str">
        <f>IF(ABS(Tabela1[[#This Row],[Dif. Insumo e OS]])&lt;=0.02,"ok ou um centavo","verificar")</f>
        <v>verificar</v>
      </c>
    </row>
    <row r="250" spans="1:11" x14ac:dyDescent="0.25">
      <c r="A250" s="1" t="s">
        <v>459</v>
      </c>
      <c r="B250" s="1" t="s">
        <v>464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136.12</v>
      </c>
      <c r="I250" s="2">
        <f>SUM(Tabela1[[#This Row],[Mão-de-obra (custo médio)]:[Materiais de troca (custo médio)]])</f>
        <v>136.12</v>
      </c>
      <c r="J250" s="2">
        <f>Tabela1[[#This Row],[Custos da os]]-Tabela1[[#This Row],[Custo dos insumos]]</f>
        <v>136.12</v>
      </c>
      <c r="K250" s="2" t="str">
        <f>IF(ABS(Tabela1[[#This Row],[Dif. Insumo e OS]])&lt;=0.02,"ok ou um centavo","verificar")</f>
        <v>verificar</v>
      </c>
    </row>
    <row r="251" spans="1:11" hidden="1" x14ac:dyDescent="0.25">
      <c r="A251" s="3" t="s">
        <v>289</v>
      </c>
      <c r="B251" s="3" t="s">
        <v>292</v>
      </c>
      <c r="C251" s="4">
        <v>176.96</v>
      </c>
      <c r="D251" s="4">
        <v>0</v>
      </c>
      <c r="E251" s="4">
        <v>176.96</v>
      </c>
      <c r="F251" s="4">
        <v>0</v>
      </c>
      <c r="G251" s="4">
        <v>0</v>
      </c>
      <c r="H251" s="4">
        <v>0</v>
      </c>
      <c r="I251" s="4">
        <f>SUM(Tabela1[[#This Row],[Mão-de-obra (custo médio)]:[Materiais de troca (custo médio)]])</f>
        <v>176.96</v>
      </c>
      <c r="J251" s="4">
        <f>Tabela1[[#This Row],[Custos da os]]-Tabela1[[#This Row],[Custo dos insumos]]</f>
        <v>0</v>
      </c>
      <c r="K251" s="4" t="str">
        <f>IF(ABS(Tabela1[[#This Row],[Dif. Insumo e OS]])&lt;=0.02,"ok ou um centavo","verificar")</f>
        <v>ok ou um centavo</v>
      </c>
    </row>
    <row r="252" spans="1:11" x14ac:dyDescent="0.25">
      <c r="A252" s="1" t="s">
        <v>367</v>
      </c>
      <c r="B252" s="1" t="s">
        <v>371</v>
      </c>
      <c r="C252" s="2">
        <v>61.87</v>
      </c>
      <c r="D252" s="2">
        <v>116.35</v>
      </c>
      <c r="E252" s="2">
        <v>0</v>
      </c>
      <c r="F252" s="2">
        <v>0</v>
      </c>
      <c r="G252" s="2">
        <v>0</v>
      </c>
      <c r="H252" s="2">
        <v>91.62</v>
      </c>
      <c r="I252" s="2">
        <f>SUM(Tabela1[[#This Row],[Mão-de-obra (custo médio)]:[Materiais de troca (custo médio)]])</f>
        <v>207.97</v>
      </c>
      <c r="J252" s="2">
        <f>Tabela1[[#This Row],[Custos da os]]-Tabela1[[#This Row],[Custo dos insumos]]</f>
        <v>146.1</v>
      </c>
      <c r="K252" s="2" t="str">
        <f>IF(ABS(Tabela1[[#This Row],[Dif. Insumo e OS]])&lt;=0.02,"ok ou um centavo","verificar")</f>
        <v>verificar</v>
      </c>
    </row>
    <row r="253" spans="1:11" hidden="1" x14ac:dyDescent="0.25">
      <c r="A253" s="3" t="s">
        <v>293</v>
      </c>
      <c r="B253" s="3" t="s">
        <v>295</v>
      </c>
      <c r="C253" s="4">
        <v>30.73</v>
      </c>
      <c r="D253" s="4">
        <v>30.74</v>
      </c>
      <c r="E253" s="4">
        <v>0</v>
      </c>
      <c r="F253" s="4">
        <v>0</v>
      </c>
      <c r="G253" s="4">
        <v>0</v>
      </c>
      <c r="H253" s="4">
        <v>0</v>
      </c>
      <c r="I253" s="4">
        <f>SUM(Tabela1[[#This Row],[Mão-de-obra (custo médio)]:[Materiais de troca (custo médio)]])</f>
        <v>30.74</v>
      </c>
      <c r="J253" s="4">
        <f>Tabela1[[#This Row],[Custos da os]]-Tabela1[[#This Row],[Custo dos insumos]]</f>
        <v>9.9999999999980105E-3</v>
      </c>
      <c r="K253" s="4" t="str">
        <f>IF(ABS(Tabela1[[#This Row],[Dif. Insumo e OS]])&lt;=0.02,"ok ou um centavo","verificar")</f>
        <v>ok ou um centavo</v>
      </c>
    </row>
    <row r="254" spans="1:11" x14ac:dyDescent="0.25">
      <c r="A254" s="1" t="s">
        <v>694</v>
      </c>
      <c r="B254" s="1" t="s">
        <v>698</v>
      </c>
      <c r="C254" s="2">
        <v>0</v>
      </c>
      <c r="D254" s="2">
        <v>0</v>
      </c>
      <c r="E254" s="2">
        <v>163.35</v>
      </c>
      <c r="F254" s="2">
        <v>0</v>
      </c>
      <c r="G254" s="2">
        <v>0</v>
      </c>
      <c r="H254" s="2">
        <v>0</v>
      </c>
      <c r="I254" s="2">
        <f>SUM(Tabela1[[#This Row],[Mão-de-obra (custo médio)]:[Materiais de troca (custo médio)]])</f>
        <v>163.35</v>
      </c>
      <c r="J254" s="2">
        <f>Tabela1[[#This Row],[Custos da os]]-Tabela1[[#This Row],[Custo dos insumos]]</f>
        <v>163.35</v>
      </c>
      <c r="K254" s="2" t="str">
        <f>IF(ABS(Tabela1[[#This Row],[Dif. Insumo e OS]])&lt;=0.02,"ok ou um centavo","verificar")</f>
        <v>verificar</v>
      </c>
    </row>
    <row r="255" spans="1:11" hidden="1" x14ac:dyDescent="0.25">
      <c r="A255" s="3" t="s">
        <v>293</v>
      </c>
      <c r="B255" s="3" t="s">
        <v>297</v>
      </c>
      <c r="C255" s="4">
        <v>107.78</v>
      </c>
      <c r="D255" s="4">
        <v>107.78</v>
      </c>
      <c r="E255" s="4">
        <v>0</v>
      </c>
      <c r="F255" s="4">
        <v>0</v>
      </c>
      <c r="G255" s="4">
        <v>0</v>
      </c>
      <c r="H255" s="4">
        <v>0</v>
      </c>
      <c r="I255" s="4">
        <f>SUM(Tabela1[[#This Row],[Mão-de-obra (custo médio)]:[Materiais de troca (custo médio)]])</f>
        <v>107.78</v>
      </c>
      <c r="J255" s="4">
        <f>Tabela1[[#This Row],[Custos da os]]-Tabela1[[#This Row],[Custo dos insumos]]</f>
        <v>0</v>
      </c>
      <c r="K255" s="4" t="str">
        <f>IF(ABS(Tabela1[[#This Row],[Dif. Insumo e OS]])&lt;=0.02,"ok ou um centavo","verificar")</f>
        <v>ok ou um centavo</v>
      </c>
    </row>
    <row r="256" spans="1:11" hidden="1" x14ac:dyDescent="0.25">
      <c r="A256" s="3" t="s">
        <v>293</v>
      </c>
      <c r="B256" s="3" t="s">
        <v>298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f>SUM(Tabela1[[#This Row],[Mão-de-obra (custo médio)]:[Materiais de troca (custo médio)]])</f>
        <v>0</v>
      </c>
      <c r="J256" s="4">
        <f>Tabela1[[#This Row],[Custos da os]]-Tabela1[[#This Row],[Custo dos insumos]]</f>
        <v>0</v>
      </c>
      <c r="K256" s="4" t="str">
        <f>IF(ABS(Tabela1[[#This Row],[Dif. Insumo e OS]])&lt;=0.02,"ok ou um centavo","verificar")</f>
        <v>ok ou um centavo</v>
      </c>
    </row>
    <row r="257" spans="1:11" hidden="1" x14ac:dyDescent="0.25">
      <c r="A257" s="3" t="s">
        <v>293</v>
      </c>
      <c r="B257" s="3" t="s">
        <v>299</v>
      </c>
      <c r="C257" s="4">
        <v>9.15</v>
      </c>
      <c r="D257" s="4">
        <v>9.15</v>
      </c>
      <c r="E257" s="4">
        <v>0</v>
      </c>
      <c r="F257" s="4">
        <v>0</v>
      </c>
      <c r="G257" s="4">
        <v>0</v>
      </c>
      <c r="H257" s="4">
        <v>0</v>
      </c>
      <c r="I257" s="4">
        <f>SUM(Tabela1[[#This Row],[Mão-de-obra (custo médio)]:[Materiais de troca (custo médio)]])</f>
        <v>9.15</v>
      </c>
      <c r="J257" s="4">
        <f>Tabela1[[#This Row],[Custos da os]]-Tabela1[[#This Row],[Custo dos insumos]]</f>
        <v>0</v>
      </c>
      <c r="K257" s="4" t="str">
        <f>IF(ABS(Tabela1[[#This Row],[Dif. Insumo e OS]])&lt;=0.02,"ok ou um centavo","verificar")</f>
        <v>ok ou um centavo</v>
      </c>
    </row>
    <row r="258" spans="1:11" x14ac:dyDescent="0.25">
      <c r="A258" s="1" t="s">
        <v>140</v>
      </c>
      <c r="B258" s="1" t="s">
        <v>142</v>
      </c>
      <c r="C258" s="2">
        <v>0.22</v>
      </c>
      <c r="D258" s="2">
        <v>215.78</v>
      </c>
      <c r="E258" s="2">
        <v>0</v>
      </c>
      <c r="F258" s="2">
        <v>0</v>
      </c>
      <c r="G258" s="2">
        <v>0</v>
      </c>
      <c r="H258" s="2">
        <v>0</v>
      </c>
      <c r="I258" s="2">
        <f>SUM(Tabela1[[#This Row],[Mão-de-obra (custo médio)]:[Materiais de troca (custo médio)]])</f>
        <v>215.78</v>
      </c>
      <c r="J258" s="2">
        <f>Tabela1[[#This Row],[Custos da os]]-Tabela1[[#This Row],[Custo dos insumos]]</f>
        <v>215.56</v>
      </c>
      <c r="K258" s="2" t="str">
        <f>IF(ABS(Tabela1[[#This Row],[Dif. Insumo e OS]])&lt;=0.02,"ok ou um centavo","verificar")</f>
        <v>verificar</v>
      </c>
    </row>
    <row r="259" spans="1:11" hidden="1" x14ac:dyDescent="0.25">
      <c r="A259" s="3" t="s">
        <v>301</v>
      </c>
      <c r="B259" s="3" t="s">
        <v>302</v>
      </c>
      <c r="C259" s="4">
        <v>9.6999999999999993</v>
      </c>
      <c r="D259" s="4">
        <v>9.6999999999999993</v>
      </c>
      <c r="E259" s="4">
        <v>0</v>
      </c>
      <c r="F259" s="4">
        <v>0</v>
      </c>
      <c r="G259" s="4">
        <v>0</v>
      </c>
      <c r="H259" s="4">
        <v>0</v>
      </c>
      <c r="I259" s="4">
        <f>SUM(Tabela1[[#This Row],[Mão-de-obra (custo médio)]:[Materiais de troca (custo médio)]])</f>
        <v>9.6999999999999993</v>
      </c>
      <c r="J259" s="4">
        <f>Tabela1[[#This Row],[Custos da os]]-Tabela1[[#This Row],[Custo dos insumos]]</f>
        <v>0</v>
      </c>
      <c r="K259" s="4" t="str">
        <f>IF(ABS(Tabela1[[#This Row],[Dif. Insumo e OS]])&lt;=0.02,"ok ou um centavo","verificar")</f>
        <v>ok ou um centavo</v>
      </c>
    </row>
    <row r="260" spans="1:11" x14ac:dyDescent="0.25">
      <c r="A260" s="1" t="s">
        <v>730</v>
      </c>
      <c r="B260" s="1" t="s">
        <v>731</v>
      </c>
      <c r="C260" s="2">
        <v>1566.76</v>
      </c>
      <c r="D260" s="2">
        <v>234.97</v>
      </c>
      <c r="E260" s="2">
        <v>0</v>
      </c>
      <c r="F260" s="2">
        <v>0</v>
      </c>
      <c r="G260" s="2">
        <v>200.83</v>
      </c>
      <c r="H260" s="2">
        <v>1348.76</v>
      </c>
      <c r="I260" s="2">
        <f>SUM(Tabela1[[#This Row],[Mão-de-obra (custo médio)]:[Materiais de troca (custo médio)]])</f>
        <v>1784.56</v>
      </c>
      <c r="J260" s="2">
        <f>Tabela1[[#This Row],[Custos da os]]-Tabela1[[#This Row],[Custo dos insumos]]</f>
        <v>217.79999999999995</v>
      </c>
      <c r="K260" s="2" t="str">
        <f>IF(ABS(Tabela1[[#This Row],[Dif. Insumo e OS]])&lt;=0.02,"ok ou um centavo","verificar")</f>
        <v>verificar</v>
      </c>
    </row>
    <row r="261" spans="1:11" hidden="1" x14ac:dyDescent="0.25">
      <c r="A261" s="3" t="s">
        <v>301</v>
      </c>
      <c r="B261" s="3" t="s">
        <v>304</v>
      </c>
      <c r="C261" s="4">
        <v>0.12</v>
      </c>
      <c r="D261" s="4">
        <v>0.12</v>
      </c>
      <c r="E261" s="4">
        <v>0</v>
      </c>
      <c r="F261" s="4">
        <v>0</v>
      </c>
      <c r="G261" s="4">
        <v>0</v>
      </c>
      <c r="H261" s="4">
        <v>0</v>
      </c>
      <c r="I261" s="4">
        <f>SUM(Tabela1[[#This Row],[Mão-de-obra (custo médio)]:[Materiais de troca (custo médio)]])</f>
        <v>0.12</v>
      </c>
      <c r="J261" s="4">
        <f>Tabela1[[#This Row],[Custos da os]]-Tabela1[[#This Row],[Custo dos insumos]]</f>
        <v>0</v>
      </c>
      <c r="K261" s="4" t="str">
        <f>IF(ABS(Tabela1[[#This Row],[Dif. Insumo e OS]])&lt;=0.02,"ok ou um centavo","verificar")</f>
        <v>ok ou um centavo</v>
      </c>
    </row>
    <row r="262" spans="1:11" hidden="1" x14ac:dyDescent="0.25">
      <c r="A262" s="3" t="s">
        <v>301</v>
      </c>
      <c r="B262" s="3" t="s">
        <v>305</v>
      </c>
      <c r="C262" s="4">
        <v>355.41</v>
      </c>
      <c r="D262" s="4">
        <v>79.83</v>
      </c>
      <c r="E262" s="4">
        <v>0</v>
      </c>
      <c r="F262" s="4">
        <v>0</v>
      </c>
      <c r="G262" s="4">
        <v>0</v>
      </c>
      <c r="H262" s="4">
        <v>275.57</v>
      </c>
      <c r="I262" s="4">
        <f>SUM(Tabela1[[#This Row],[Mão-de-obra (custo médio)]:[Materiais de troca (custo médio)]])</f>
        <v>355.4</v>
      </c>
      <c r="J262" s="4">
        <f>Tabela1[[#This Row],[Custos da os]]-Tabela1[[#This Row],[Custo dos insumos]]</f>
        <v>-1.0000000000047748E-2</v>
      </c>
      <c r="K262" s="4" t="str">
        <f>IF(ABS(Tabela1[[#This Row],[Dif. Insumo e OS]])&lt;=0.02,"ok ou um centavo","verificar")</f>
        <v>ok ou um centavo</v>
      </c>
    </row>
    <row r="263" spans="1:11" hidden="1" x14ac:dyDescent="0.25">
      <c r="A263" s="3" t="s">
        <v>301</v>
      </c>
      <c r="B263" s="3" t="s">
        <v>306</v>
      </c>
      <c r="C263" s="4">
        <v>5.72</v>
      </c>
      <c r="D263" s="4">
        <v>5.72</v>
      </c>
      <c r="E263" s="4">
        <v>0</v>
      </c>
      <c r="F263" s="4">
        <v>0</v>
      </c>
      <c r="G263" s="4">
        <v>0</v>
      </c>
      <c r="H263" s="4">
        <v>0</v>
      </c>
      <c r="I263" s="4">
        <f>SUM(Tabela1[[#This Row],[Mão-de-obra (custo médio)]:[Materiais de troca (custo médio)]])</f>
        <v>5.72</v>
      </c>
      <c r="J263" s="4">
        <f>Tabela1[[#This Row],[Custos da os]]-Tabela1[[#This Row],[Custo dos insumos]]</f>
        <v>0</v>
      </c>
      <c r="K263" s="4" t="str">
        <f>IF(ABS(Tabela1[[#This Row],[Dif. Insumo e OS]])&lt;=0.02,"ok ou um centavo","verificar")</f>
        <v>ok ou um centavo</v>
      </c>
    </row>
    <row r="264" spans="1:11" hidden="1" x14ac:dyDescent="0.25">
      <c r="A264" s="3" t="s">
        <v>301</v>
      </c>
      <c r="B264" s="3" t="s">
        <v>307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f>SUM(Tabela1[[#This Row],[Mão-de-obra (custo médio)]:[Materiais de troca (custo médio)]])</f>
        <v>0</v>
      </c>
      <c r="J264" s="4">
        <f>Tabela1[[#This Row],[Custos da os]]-Tabela1[[#This Row],[Custo dos insumos]]</f>
        <v>0</v>
      </c>
      <c r="K264" s="4" t="str">
        <f>IF(ABS(Tabela1[[#This Row],[Dif. Insumo e OS]])&lt;=0.02,"ok ou um centavo","verificar")</f>
        <v>ok ou um centavo</v>
      </c>
    </row>
    <row r="265" spans="1:11" hidden="1" x14ac:dyDescent="0.25">
      <c r="A265" s="3" t="s">
        <v>308</v>
      </c>
      <c r="B265" s="3" t="s">
        <v>309</v>
      </c>
      <c r="C265" s="4">
        <v>36.82</v>
      </c>
      <c r="D265" s="4">
        <v>30.32</v>
      </c>
      <c r="E265" s="4">
        <v>0</v>
      </c>
      <c r="F265" s="4">
        <v>0</v>
      </c>
      <c r="G265" s="4">
        <v>0</v>
      </c>
      <c r="H265" s="4">
        <v>6.5</v>
      </c>
      <c r="I265" s="4">
        <f>SUM(Tabela1[[#This Row],[Mão-de-obra (custo médio)]:[Materiais de troca (custo médio)]])</f>
        <v>36.82</v>
      </c>
      <c r="J265" s="4">
        <f>Tabela1[[#This Row],[Custos da os]]-Tabela1[[#This Row],[Custo dos insumos]]</f>
        <v>0</v>
      </c>
      <c r="K265" s="4" t="str">
        <f>IF(ABS(Tabela1[[#This Row],[Dif. Insumo e OS]])&lt;=0.02,"ok ou um centavo","verificar")</f>
        <v>ok ou um centavo</v>
      </c>
    </row>
    <row r="266" spans="1:11" hidden="1" x14ac:dyDescent="0.25">
      <c r="A266" s="3" t="s">
        <v>310</v>
      </c>
      <c r="B266" s="3" t="s">
        <v>311</v>
      </c>
      <c r="C266" s="4">
        <v>111.65</v>
      </c>
      <c r="D266" s="4">
        <v>111.65</v>
      </c>
      <c r="E266" s="4">
        <v>0</v>
      </c>
      <c r="F266" s="4">
        <v>0</v>
      </c>
      <c r="G266" s="4">
        <v>0</v>
      </c>
      <c r="H266" s="4">
        <v>0</v>
      </c>
      <c r="I266" s="4">
        <f>SUM(Tabela1[[#This Row],[Mão-de-obra (custo médio)]:[Materiais de troca (custo médio)]])</f>
        <v>111.65</v>
      </c>
      <c r="J266" s="4">
        <f>Tabela1[[#This Row],[Custos da os]]-Tabela1[[#This Row],[Custo dos insumos]]</f>
        <v>0</v>
      </c>
      <c r="K266" s="4" t="str">
        <f>IF(ABS(Tabela1[[#This Row],[Dif. Insumo e OS]])&lt;=0.02,"ok ou um centavo","verificar")</f>
        <v>ok ou um centavo</v>
      </c>
    </row>
    <row r="267" spans="1:11" hidden="1" x14ac:dyDescent="0.25">
      <c r="A267" s="3" t="s">
        <v>310</v>
      </c>
      <c r="B267" s="3" t="s">
        <v>312</v>
      </c>
      <c r="C267" s="4">
        <v>7.45</v>
      </c>
      <c r="D267" s="4">
        <v>7.45</v>
      </c>
      <c r="E267" s="4">
        <v>0</v>
      </c>
      <c r="F267" s="4">
        <v>0</v>
      </c>
      <c r="G267" s="4">
        <v>0</v>
      </c>
      <c r="H267" s="4">
        <v>0</v>
      </c>
      <c r="I267" s="4">
        <f>SUM(Tabela1[[#This Row],[Mão-de-obra (custo médio)]:[Materiais de troca (custo médio)]])</f>
        <v>7.45</v>
      </c>
      <c r="J267" s="4">
        <f>Tabela1[[#This Row],[Custos da os]]-Tabela1[[#This Row],[Custo dos insumos]]</f>
        <v>0</v>
      </c>
      <c r="K267" s="4" t="str">
        <f>IF(ABS(Tabela1[[#This Row],[Dif. Insumo e OS]])&lt;=0.02,"ok ou um centavo","verificar")</f>
        <v>ok ou um centavo</v>
      </c>
    </row>
    <row r="268" spans="1:11" x14ac:dyDescent="0.25">
      <c r="A268" s="1" t="s">
        <v>466</v>
      </c>
      <c r="B268" s="1" t="s">
        <v>471</v>
      </c>
      <c r="C268" s="2">
        <v>50.9</v>
      </c>
      <c r="D268" s="2">
        <v>43.03</v>
      </c>
      <c r="E268" s="2">
        <v>0</v>
      </c>
      <c r="F268" s="2">
        <v>0</v>
      </c>
      <c r="G268" s="2">
        <v>6.3</v>
      </c>
      <c r="H268" s="2">
        <v>219.37</v>
      </c>
      <c r="I268" s="2">
        <f>SUM(Tabela1[[#This Row],[Mão-de-obra (custo médio)]:[Materiais de troca (custo médio)]])</f>
        <v>268.7</v>
      </c>
      <c r="J268" s="2">
        <f>Tabela1[[#This Row],[Custos da os]]-Tabela1[[#This Row],[Custo dos insumos]]</f>
        <v>217.79999999999998</v>
      </c>
      <c r="K268" s="2" t="str">
        <f>IF(ABS(Tabela1[[#This Row],[Dif. Insumo e OS]])&lt;=0.02,"ok ou um centavo","verificar")</f>
        <v>verificar</v>
      </c>
    </row>
    <row r="269" spans="1:11" hidden="1" x14ac:dyDescent="0.25">
      <c r="A269" s="3" t="s">
        <v>314</v>
      </c>
      <c r="B269" s="3" t="s">
        <v>315</v>
      </c>
      <c r="C269" s="4">
        <v>54.45</v>
      </c>
      <c r="D269" s="4">
        <v>0</v>
      </c>
      <c r="E269" s="4">
        <v>54.45</v>
      </c>
      <c r="F269" s="4">
        <v>0</v>
      </c>
      <c r="G269" s="4">
        <v>0</v>
      </c>
      <c r="H269" s="4">
        <v>0</v>
      </c>
      <c r="I269" s="4">
        <f>SUM(Tabela1[[#This Row],[Mão-de-obra (custo médio)]:[Materiais de troca (custo médio)]])</f>
        <v>54.45</v>
      </c>
      <c r="J269" s="4">
        <f>Tabela1[[#This Row],[Custos da os]]-Tabela1[[#This Row],[Custo dos insumos]]</f>
        <v>0</v>
      </c>
      <c r="K269" s="4" t="str">
        <f>IF(ABS(Tabela1[[#This Row],[Dif. Insumo e OS]])&lt;=0.02,"ok ou um centavo","verificar")</f>
        <v>ok ou um centavo</v>
      </c>
    </row>
    <row r="270" spans="1:11" hidden="1" x14ac:dyDescent="0.25">
      <c r="A270" s="3" t="s">
        <v>314</v>
      </c>
      <c r="B270" s="3" t="s">
        <v>316</v>
      </c>
      <c r="C270" s="4">
        <v>88.97</v>
      </c>
      <c r="D270" s="4">
        <v>31.92</v>
      </c>
      <c r="E270" s="4">
        <v>0</v>
      </c>
      <c r="F270" s="4">
        <v>0</v>
      </c>
      <c r="G270" s="4">
        <v>57.05</v>
      </c>
      <c r="H270" s="4">
        <v>0</v>
      </c>
      <c r="I270" s="4">
        <f>SUM(Tabela1[[#This Row],[Mão-de-obra (custo médio)]:[Materiais de troca (custo médio)]])</f>
        <v>88.97</v>
      </c>
      <c r="J270" s="4">
        <f>Tabela1[[#This Row],[Custos da os]]-Tabela1[[#This Row],[Custo dos insumos]]</f>
        <v>0</v>
      </c>
      <c r="K270" s="4" t="str">
        <f>IF(ABS(Tabela1[[#This Row],[Dif. Insumo e OS]])&lt;=0.02,"ok ou um centavo","verificar")</f>
        <v>ok ou um centavo</v>
      </c>
    </row>
    <row r="271" spans="1:11" hidden="1" x14ac:dyDescent="0.25">
      <c r="A271" s="3" t="s">
        <v>314</v>
      </c>
      <c r="B271" s="3" t="s">
        <v>317</v>
      </c>
      <c r="C271" s="4">
        <v>36.479999999999997</v>
      </c>
      <c r="D271" s="4">
        <v>36.479999999999997</v>
      </c>
      <c r="E271" s="4">
        <v>0</v>
      </c>
      <c r="F271" s="4">
        <v>0</v>
      </c>
      <c r="G271" s="4">
        <v>0</v>
      </c>
      <c r="H271" s="4">
        <v>0</v>
      </c>
      <c r="I271" s="4">
        <f>SUM(Tabela1[[#This Row],[Mão-de-obra (custo médio)]:[Materiais de troca (custo médio)]])</f>
        <v>36.479999999999997</v>
      </c>
      <c r="J271" s="4">
        <f>Tabela1[[#This Row],[Custos da os]]-Tabela1[[#This Row],[Custo dos insumos]]</f>
        <v>0</v>
      </c>
      <c r="K271" s="4" t="str">
        <f>IF(ABS(Tabela1[[#This Row],[Dif. Insumo e OS]])&lt;=0.02,"ok ou um centavo","verificar")</f>
        <v>ok ou um centavo</v>
      </c>
    </row>
    <row r="272" spans="1:11" hidden="1" x14ac:dyDescent="0.25">
      <c r="A272" s="3" t="s">
        <v>314</v>
      </c>
      <c r="B272" s="3" t="s">
        <v>318</v>
      </c>
      <c r="C272" s="4">
        <v>3.64</v>
      </c>
      <c r="D272" s="4">
        <v>3.64</v>
      </c>
      <c r="E272" s="4">
        <v>0</v>
      </c>
      <c r="F272" s="4">
        <v>0</v>
      </c>
      <c r="G272" s="4">
        <v>0</v>
      </c>
      <c r="H272" s="4">
        <v>0</v>
      </c>
      <c r="I272" s="4">
        <f>SUM(Tabela1[[#This Row],[Mão-de-obra (custo médio)]:[Materiais de troca (custo médio)]])</f>
        <v>3.64</v>
      </c>
      <c r="J272" s="4">
        <f>Tabela1[[#This Row],[Custos da os]]-Tabela1[[#This Row],[Custo dos insumos]]</f>
        <v>0</v>
      </c>
      <c r="K272" s="4" t="str">
        <f>IF(ABS(Tabela1[[#This Row],[Dif. Insumo e OS]])&lt;=0.02,"ok ou um centavo","verificar")</f>
        <v>ok ou um centavo</v>
      </c>
    </row>
    <row r="273" spans="1:11" hidden="1" x14ac:dyDescent="0.25">
      <c r="A273" s="3" t="s">
        <v>314</v>
      </c>
      <c r="B273" s="3" t="s">
        <v>319</v>
      </c>
      <c r="C273" s="4">
        <v>0.49</v>
      </c>
      <c r="D273" s="4">
        <v>0.49</v>
      </c>
      <c r="E273" s="4">
        <v>0</v>
      </c>
      <c r="F273" s="4">
        <v>0</v>
      </c>
      <c r="G273" s="4">
        <v>0</v>
      </c>
      <c r="H273" s="4">
        <v>0</v>
      </c>
      <c r="I273" s="4">
        <f>SUM(Tabela1[[#This Row],[Mão-de-obra (custo médio)]:[Materiais de troca (custo médio)]])</f>
        <v>0.49</v>
      </c>
      <c r="J273" s="4">
        <f>Tabela1[[#This Row],[Custos da os]]-Tabela1[[#This Row],[Custo dos insumos]]</f>
        <v>0</v>
      </c>
      <c r="K273" s="4" t="str">
        <f>IF(ABS(Tabela1[[#This Row],[Dif. Insumo e OS]])&lt;=0.02,"ok ou um centavo","verificar")</f>
        <v>ok ou um centavo</v>
      </c>
    </row>
    <row r="274" spans="1:11" hidden="1" x14ac:dyDescent="0.25">
      <c r="A274" s="3" t="s">
        <v>320</v>
      </c>
      <c r="B274" s="3" t="s">
        <v>321</v>
      </c>
      <c r="C274" s="4">
        <v>166.52</v>
      </c>
      <c r="D274" s="4">
        <v>0</v>
      </c>
      <c r="E274" s="4">
        <v>166.07</v>
      </c>
      <c r="F274" s="4">
        <v>0.45</v>
      </c>
      <c r="G274" s="4">
        <v>0</v>
      </c>
      <c r="H274" s="4">
        <v>0</v>
      </c>
      <c r="I274" s="4">
        <f>SUM(Tabela1[[#This Row],[Mão-de-obra (custo médio)]:[Materiais de troca (custo médio)]])</f>
        <v>166.51999999999998</v>
      </c>
      <c r="J274" s="4">
        <f>Tabela1[[#This Row],[Custos da os]]-Tabela1[[#This Row],[Custo dos insumos]]</f>
        <v>0</v>
      </c>
      <c r="K274" s="4" t="str">
        <f>IF(ABS(Tabela1[[#This Row],[Dif. Insumo e OS]])&lt;=0.02,"ok ou um centavo","verificar")</f>
        <v>ok ou um centavo</v>
      </c>
    </row>
    <row r="275" spans="1:11" hidden="1" x14ac:dyDescent="0.25">
      <c r="A275" s="3" t="s">
        <v>320</v>
      </c>
      <c r="B275" s="3" t="s">
        <v>322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f>SUM(Tabela1[[#This Row],[Mão-de-obra (custo médio)]:[Materiais de troca (custo médio)]])</f>
        <v>0</v>
      </c>
      <c r="J275" s="4">
        <f>Tabela1[[#This Row],[Custos da os]]-Tabela1[[#This Row],[Custo dos insumos]]</f>
        <v>0</v>
      </c>
      <c r="K275" s="4" t="str">
        <f>IF(ABS(Tabela1[[#This Row],[Dif. Insumo e OS]])&lt;=0.02,"ok ou um centavo","verificar")</f>
        <v>ok ou um centavo</v>
      </c>
    </row>
    <row r="276" spans="1:11" hidden="1" x14ac:dyDescent="0.25">
      <c r="A276" s="3" t="s">
        <v>323</v>
      </c>
      <c r="B276" s="3" t="s">
        <v>324</v>
      </c>
      <c r="C276" s="4">
        <v>6</v>
      </c>
      <c r="D276" s="4">
        <v>6</v>
      </c>
      <c r="E276" s="4">
        <v>0</v>
      </c>
      <c r="F276" s="4">
        <v>0</v>
      </c>
      <c r="G276" s="4">
        <v>0</v>
      </c>
      <c r="H276" s="4">
        <v>0</v>
      </c>
      <c r="I276" s="4">
        <f>SUM(Tabela1[[#This Row],[Mão-de-obra (custo médio)]:[Materiais de troca (custo médio)]])</f>
        <v>6</v>
      </c>
      <c r="J276" s="4">
        <f>Tabela1[[#This Row],[Custos da os]]-Tabela1[[#This Row],[Custo dos insumos]]</f>
        <v>0</v>
      </c>
      <c r="K276" s="4" t="str">
        <f>IF(ABS(Tabela1[[#This Row],[Dif. Insumo e OS]])&lt;=0.02,"ok ou um centavo","verificar")</f>
        <v>ok ou um centavo</v>
      </c>
    </row>
    <row r="277" spans="1:11" hidden="1" x14ac:dyDescent="0.25">
      <c r="A277" s="3" t="s">
        <v>323</v>
      </c>
      <c r="B277" s="3" t="s">
        <v>325</v>
      </c>
      <c r="C277" s="4">
        <v>11.03</v>
      </c>
      <c r="D277" s="4">
        <v>8.64</v>
      </c>
      <c r="E277" s="4">
        <v>0</v>
      </c>
      <c r="F277" s="4">
        <v>0</v>
      </c>
      <c r="G277" s="4">
        <v>0</v>
      </c>
      <c r="H277" s="4">
        <v>2.39</v>
      </c>
      <c r="I277" s="4">
        <f>SUM(Tabela1[[#This Row],[Mão-de-obra (custo médio)]:[Materiais de troca (custo médio)]])</f>
        <v>11.030000000000001</v>
      </c>
      <c r="J277" s="4">
        <f>Tabela1[[#This Row],[Custos da os]]-Tabela1[[#This Row],[Custo dos insumos]]</f>
        <v>0</v>
      </c>
      <c r="K277" s="4" t="str">
        <f>IF(ABS(Tabela1[[#This Row],[Dif. Insumo e OS]])&lt;=0.02,"ok ou um centavo","verificar")</f>
        <v>ok ou um centavo</v>
      </c>
    </row>
    <row r="278" spans="1:11" hidden="1" x14ac:dyDescent="0.25">
      <c r="A278" s="3" t="s">
        <v>323</v>
      </c>
      <c r="B278" s="3" t="s">
        <v>326</v>
      </c>
      <c r="C278" s="4">
        <v>7.94</v>
      </c>
      <c r="D278" s="4">
        <v>7.94</v>
      </c>
      <c r="E278" s="4">
        <v>0</v>
      </c>
      <c r="F278" s="4">
        <v>0</v>
      </c>
      <c r="G278" s="4">
        <v>0</v>
      </c>
      <c r="H278" s="4">
        <v>0</v>
      </c>
      <c r="I278" s="4">
        <f>SUM(Tabela1[[#This Row],[Mão-de-obra (custo médio)]:[Materiais de troca (custo médio)]])</f>
        <v>7.94</v>
      </c>
      <c r="J278" s="4">
        <f>Tabela1[[#This Row],[Custos da os]]-Tabela1[[#This Row],[Custo dos insumos]]</f>
        <v>0</v>
      </c>
      <c r="K278" s="4" t="str">
        <f>IF(ABS(Tabela1[[#This Row],[Dif. Insumo e OS]])&lt;=0.02,"ok ou um centavo","verificar")</f>
        <v>ok ou um centavo</v>
      </c>
    </row>
    <row r="279" spans="1:11" hidden="1" x14ac:dyDescent="0.25">
      <c r="A279" s="3" t="s">
        <v>323</v>
      </c>
      <c r="B279" s="3" t="s">
        <v>327</v>
      </c>
      <c r="C279" s="4">
        <v>26.37</v>
      </c>
      <c r="D279" s="4">
        <v>26.36</v>
      </c>
      <c r="E279" s="4">
        <v>0</v>
      </c>
      <c r="F279" s="4">
        <v>0</v>
      </c>
      <c r="G279" s="4">
        <v>0</v>
      </c>
      <c r="H279" s="4">
        <v>0.01</v>
      </c>
      <c r="I279" s="4">
        <f>SUM(Tabela1[[#This Row],[Mão-de-obra (custo médio)]:[Materiais de troca (custo médio)]])</f>
        <v>26.37</v>
      </c>
      <c r="J279" s="4">
        <f>Tabela1[[#This Row],[Custos da os]]-Tabela1[[#This Row],[Custo dos insumos]]</f>
        <v>0</v>
      </c>
      <c r="K279" s="4" t="str">
        <f>IF(ABS(Tabela1[[#This Row],[Dif. Insumo e OS]])&lt;=0.02,"ok ou um centavo","verificar")</f>
        <v>ok ou um centavo</v>
      </c>
    </row>
    <row r="280" spans="1:11" hidden="1" x14ac:dyDescent="0.25">
      <c r="A280" s="3" t="s">
        <v>328</v>
      </c>
      <c r="B280" s="3" t="s">
        <v>329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f>SUM(Tabela1[[#This Row],[Mão-de-obra (custo médio)]:[Materiais de troca (custo médio)]])</f>
        <v>0</v>
      </c>
      <c r="J280" s="4">
        <f>Tabela1[[#This Row],[Custos da os]]-Tabela1[[#This Row],[Custo dos insumos]]</f>
        <v>0</v>
      </c>
      <c r="K280" s="4" t="str">
        <f>IF(ABS(Tabela1[[#This Row],[Dif. Insumo e OS]])&lt;=0.02,"ok ou um centavo","verificar")</f>
        <v>ok ou um centavo</v>
      </c>
    </row>
    <row r="281" spans="1:11" hidden="1" x14ac:dyDescent="0.25">
      <c r="A281" s="3" t="s">
        <v>328</v>
      </c>
      <c r="B281" s="3" t="s">
        <v>330</v>
      </c>
      <c r="C281" s="4">
        <v>1085.03</v>
      </c>
      <c r="D281" s="4">
        <v>0</v>
      </c>
      <c r="E281" s="4">
        <v>0</v>
      </c>
      <c r="F281" s="4">
        <v>0</v>
      </c>
      <c r="G281" s="4">
        <v>0</v>
      </c>
      <c r="H281" s="4">
        <v>1085.03</v>
      </c>
      <c r="I281" s="4">
        <f>SUM(Tabela1[[#This Row],[Mão-de-obra (custo médio)]:[Materiais de troca (custo médio)]])</f>
        <v>1085.03</v>
      </c>
      <c r="J281" s="4">
        <f>Tabela1[[#This Row],[Custos da os]]-Tabela1[[#This Row],[Custo dos insumos]]</f>
        <v>0</v>
      </c>
      <c r="K281" s="4" t="str">
        <f>IF(ABS(Tabela1[[#This Row],[Dif. Insumo e OS]])&lt;=0.02,"ok ou um centavo","verificar")</f>
        <v>ok ou um centavo</v>
      </c>
    </row>
    <row r="282" spans="1:11" hidden="1" x14ac:dyDescent="0.25">
      <c r="A282" s="3" t="s">
        <v>331</v>
      </c>
      <c r="B282" s="3" t="s">
        <v>332</v>
      </c>
      <c r="C282" s="4">
        <v>1085.03</v>
      </c>
      <c r="D282" s="4">
        <v>0</v>
      </c>
      <c r="E282" s="4">
        <v>0</v>
      </c>
      <c r="F282" s="4">
        <v>0</v>
      </c>
      <c r="G282" s="4">
        <v>0</v>
      </c>
      <c r="H282" s="4">
        <v>1085.03</v>
      </c>
      <c r="I282" s="4">
        <f>SUM(Tabela1[[#This Row],[Mão-de-obra (custo médio)]:[Materiais de troca (custo médio)]])</f>
        <v>1085.03</v>
      </c>
      <c r="J282" s="4">
        <f>Tabela1[[#This Row],[Custos da os]]-Tabela1[[#This Row],[Custo dos insumos]]</f>
        <v>0</v>
      </c>
      <c r="K282" s="4" t="str">
        <f>IF(ABS(Tabela1[[#This Row],[Dif. Insumo e OS]])&lt;=0.02,"ok ou um centavo","verificar")</f>
        <v>ok ou um centavo</v>
      </c>
    </row>
    <row r="283" spans="1:11" hidden="1" x14ac:dyDescent="0.25">
      <c r="A283" s="3" t="s">
        <v>331</v>
      </c>
      <c r="B283" s="3" t="s">
        <v>333</v>
      </c>
      <c r="C283" s="4">
        <v>14.88</v>
      </c>
      <c r="D283" s="4">
        <v>14.88</v>
      </c>
      <c r="E283" s="4">
        <v>0</v>
      </c>
      <c r="F283" s="4">
        <v>0</v>
      </c>
      <c r="G283" s="4">
        <v>0</v>
      </c>
      <c r="H283" s="4">
        <v>0</v>
      </c>
      <c r="I283" s="4">
        <f>SUM(Tabela1[[#This Row],[Mão-de-obra (custo médio)]:[Materiais de troca (custo médio)]])</f>
        <v>14.88</v>
      </c>
      <c r="J283" s="4">
        <f>Tabela1[[#This Row],[Custos da os]]-Tabela1[[#This Row],[Custo dos insumos]]</f>
        <v>0</v>
      </c>
      <c r="K283" s="4" t="str">
        <f>IF(ABS(Tabela1[[#This Row],[Dif. Insumo e OS]])&lt;=0.02,"ok ou um centavo","verificar")</f>
        <v>ok ou um centavo</v>
      </c>
    </row>
    <row r="284" spans="1:11" hidden="1" x14ac:dyDescent="0.25">
      <c r="A284" s="3" t="s">
        <v>331</v>
      </c>
      <c r="B284" s="3" t="s">
        <v>334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f>SUM(Tabela1[[#This Row],[Mão-de-obra (custo médio)]:[Materiais de troca (custo médio)]])</f>
        <v>0</v>
      </c>
      <c r="J284" s="4">
        <f>Tabela1[[#This Row],[Custos da os]]-Tabela1[[#This Row],[Custo dos insumos]]</f>
        <v>0</v>
      </c>
      <c r="K284" s="4" t="str">
        <f>IF(ABS(Tabela1[[#This Row],[Dif. Insumo e OS]])&lt;=0.02,"ok ou um centavo","verificar")</f>
        <v>ok ou um centavo</v>
      </c>
    </row>
    <row r="285" spans="1:11" x14ac:dyDescent="0.25">
      <c r="A285" s="1" t="s">
        <v>689</v>
      </c>
      <c r="B285" s="1" t="s">
        <v>693</v>
      </c>
      <c r="C285" s="2">
        <v>66.16</v>
      </c>
      <c r="D285" s="2">
        <v>0</v>
      </c>
      <c r="E285" s="2">
        <v>0</v>
      </c>
      <c r="F285" s="2">
        <v>0</v>
      </c>
      <c r="G285" s="2">
        <v>13.87</v>
      </c>
      <c r="H285" s="2">
        <v>288.19</v>
      </c>
      <c r="I285" s="2">
        <f>SUM(Tabela1[[#This Row],[Mão-de-obra (custo médio)]:[Materiais de troca (custo médio)]])</f>
        <v>302.06</v>
      </c>
      <c r="J285" s="2">
        <f>Tabela1[[#This Row],[Custos da os]]-Tabela1[[#This Row],[Custo dos insumos]]</f>
        <v>235.9</v>
      </c>
      <c r="K285" s="2" t="str">
        <f>IF(ABS(Tabela1[[#This Row],[Dif. Insumo e OS]])&lt;=0.02,"ok ou um centavo","verificar")</f>
        <v>verificar</v>
      </c>
    </row>
    <row r="286" spans="1:11" hidden="1" x14ac:dyDescent="0.25">
      <c r="A286" s="3" t="s">
        <v>337</v>
      </c>
      <c r="B286" s="3" t="s">
        <v>338</v>
      </c>
      <c r="C286" s="4">
        <v>512</v>
      </c>
      <c r="D286" s="4">
        <v>0</v>
      </c>
      <c r="E286" s="4">
        <v>0</v>
      </c>
      <c r="F286" s="4">
        <v>0</v>
      </c>
      <c r="G286" s="4">
        <v>0</v>
      </c>
      <c r="H286" s="4">
        <v>512</v>
      </c>
      <c r="I286" s="4">
        <f>SUM(Tabela1[[#This Row],[Mão-de-obra (custo médio)]:[Materiais de troca (custo médio)]])</f>
        <v>512</v>
      </c>
      <c r="J286" s="4">
        <f>Tabela1[[#This Row],[Custos da os]]-Tabela1[[#This Row],[Custo dos insumos]]</f>
        <v>0</v>
      </c>
      <c r="K286" s="4" t="str">
        <f>IF(ABS(Tabela1[[#This Row],[Dif. Insumo e OS]])&lt;=0.02,"ok ou um centavo","verificar")</f>
        <v>ok ou um centavo</v>
      </c>
    </row>
    <row r="287" spans="1:11" hidden="1" x14ac:dyDescent="0.25">
      <c r="A287" s="3" t="s">
        <v>337</v>
      </c>
      <c r="B287" s="3" t="s">
        <v>339</v>
      </c>
      <c r="C287" s="4">
        <v>113.98</v>
      </c>
      <c r="D287" s="4">
        <v>0.46</v>
      </c>
      <c r="E287" s="4">
        <v>0</v>
      </c>
      <c r="F287" s="4">
        <v>0</v>
      </c>
      <c r="G287" s="4">
        <v>0</v>
      </c>
      <c r="H287" s="4">
        <v>113.52</v>
      </c>
      <c r="I287" s="4">
        <f>SUM(Tabela1[[#This Row],[Mão-de-obra (custo médio)]:[Materiais de troca (custo médio)]])</f>
        <v>113.97999999999999</v>
      </c>
      <c r="J287" s="4">
        <f>Tabela1[[#This Row],[Custos da os]]-Tabela1[[#This Row],[Custo dos insumos]]</f>
        <v>0</v>
      </c>
      <c r="K287" s="4" t="str">
        <f>IF(ABS(Tabela1[[#This Row],[Dif. Insumo e OS]])&lt;=0.02,"ok ou um centavo","verificar")</f>
        <v>ok ou um centavo</v>
      </c>
    </row>
    <row r="288" spans="1:11" x14ac:dyDescent="0.25">
      <c r="A288" s="1" t="s">
        <v>118</v>
      </c>
      <c r="B288" s="1" t="s">
        <v>121</v>
      </c>
      <c r="C288" s="2">
        <v>54.42</v>
      </c>
      <c r="D288" s="2">
        <v>31.33</v>
      </c>
      <c r="E288" s="2">
        <v>0</v>
      </c>
      <c r="F288" s="2">
        <v>0</v>
      </c>
      <c r="G288" s="2">
        <v>0</v>
      </c>
      <c r="H288" s="2">
        <v>266.92</v>
      </c>
      <c r="I288" s="2">
        <f>SUM(Tabela1[[#This Row],[Mão-de-obra (custo médio)]:[Materiais de troca (custo médio)]])</f>
        <v>298.25</v>
      </c>
      <c r="J288" s="2">
        <f>Tabela1[[#This Row],[Custos da os]]-Tabela1[[#This Row],[Custo dos insumos]]</f>
        <v>243.82999999999998</v>
      </c>
      <c r="K288" s="2" t="str">
        <f>IF(ABS(Tabela1[[#This Row],[Dif. Insumo e OS]])&lt;=0.02,"ok ou um centavo","verificar")</f>
        <v>verificar</v>
      </c>
    </row>
    <row r="289" spans="1:11" hidden="1" x14ac:dyDescent="0.25">
      <c r="A289" s="3" t="s">
        <v>340</v>
      </c>
      <c r="B289" s="3" t="s">
        <v>342</v>
      </c>
      <c r="C289" s="4">
        <v>332.14</v>
      </c>
      <c r="D289" s="4">
        <v>0</v>
      </c>
      <c r="E289" s="4">
        <v>332.14</v>
      </c>
      <c r="F289" s="4">
        <v>0</v>
      </c>
      <c r="G289" s="4">
        <v>0</v>
      </c>
      <c r="H289" s="4">
        <v>0</v>
      </c>
      <c r="I289" s="4">
        <f>SUM(Tabela1[[#This Row],[Mão-de-obra (custo médio)]:[Materiais de troca (custo médio)]])</f>
        <v>332.14</v>
      </c>
      <c r="J289" s="4">
        <f>Tabela1[[#This Row],[Custos da os]]-Tabela1[[#This Row],[Custo dos insumos]]</f>
        <v>0</v>
      </c>
      <c r="K289" s="4" t="str">
        <f>IF(ABS(Tabela1[[#This Row],[Dif. Insumo e OS]])&lt;=0.02,"ok ou um centavo","verificar")</f>
        <v>ok ou um centavo</v>
      </c>
    </row>
    <row r="290" spans="1:11" hidden="1" x14ac:dyDescent="0.25">
      <c r="A290" s="3" t="s">
        <v>340</v>
      </c>
      <c r="B290" s="3" t="s">
        <v>343</v>
      </c>
      <c r="C290" s="4">
        <v>50.7</v>
      </c>
      <c r="D290" s="4">
        <v>50.7</v>
      </c>
      <c r="E290" s="4">
        <v>0</v>
      </c>
      <c r="F290" s="4">
        <v>0</v>
      </c>
      <c r="G290" s="4">
        <v>0</v>
      </c>
      <c r="H290" s="4">
        <v>0</v>
      </c>
      <c r="I290" s="4">
        <f>SUM(Tabela1[[#This Row],[Mão-de-obra (custo médio)]:[Materiais de troca (custo médio)]])</f>
        <v>50.7</v>
      </c>
      <c r="J290" s="4">
        <f>Tabela1[[#This Row],[Custos da os]]-Tabela1[[#This Row],[Custo dos insumos]]</f>
        <v>0</v>
      </c>
      <c r="K290" s="4" t="str">
        <f>IF(ABS(Tabela1[[#This Row],[Dif. Insumo e OS]])&lt;=0.02,"ok ou um centavo","verificar")</f>
        <v>ok ou um centavo</v>
      </c>
    </row>
    <row r="291" spans="1:11" hidden="1" x14ac:dyDescent="0.25">
      <c r="A291" s="3" t="s">
        <v>340</v>
      </c>
      <c r="B291" s="3" t="s">
        <v>344</v>
      </c>
      <c r="C291" s="4">
        <v>15.7</v>
      </c>
      <c r="D291" s="4">
        <v>0</v>
      </c>
      <c r="E291" s="4">
        <v>0</v>
      </c>
      <c r="F291" s="4">
        <v>0</v>
      </c>
      <c r="G291" s="4">
        <v>15.7</v>
      </c>
      <c r="H291" s="4">
        <v>0</v>
      </c>
      <c r="I291" s="4">
        <f>SUM(Tabela1[[#This Row],[Mão-de-obra (custo médio)]:[Materiais de troca (custo médio)]])</f>
        <v>15.7</v>
      </c>
      <c r="J291" s="4">
        <f>Tabela1[[#This Row],[Custos da os]]-Tabela1[[#This Row],[Custo dos insumos]]</f>
        <v>0</v>
      </c>
      <c r="K291" s="4" t="str">
        <f>IF(ABS(Tabela1[[#This Row],[Dif. Insumo e OS]])&lt;=0.02,"ok ou um centavo","verificar")</f>
        <v>ok ou um centavo</v>
      </c>
    </row>
    <row r="292" spans="1:11" hidden="1" x14ac:dyDescent="0.25">
      <c r="A292" s="3" t="s">
        <v>340</v>
      </c>
      <c r="B292" s="3" t="s">
        <v>345</v>
      </c>
      <c r="C292" s="4">
        <v>12.25</v>
      </c>
      <c r="D292" s="4">
        <v>12.24</v>
      </c>
      <c r="E292" s="4">
        <v>0</v>
      </c>
      <c r="F292" s="4">
        <v>0</v>
      </c>
      <c r="G292" s="4">
        <v>0</v>
      </c>
      <c r="H292" s="4">
        <v>0</v>
      </c>
      <c r="I292" s="4">
        <f>SUM(Tabela1[[#This Row],[Mão-de-obra (custo médio)]:[Materiais de troca (custo médio)]])</f>
        <v>12.24</v>
      </c>
      <c r="J292" s="4">
        <f>Tabela1[[#This Row],[Custos da os]]-Tabela1[[#This Row],[Custo dos insumos]]</f>
        <v>-9.9999999999997868E-3</v>
      </c>
      <c r="K292" s="4" t="str">
        <f>IF(ABS(Tabela1[[#This Row],[Dif. Insumo e OS]])&lt;=0.02,"ok ou um centavo","verificar")</f>
        <v>ok ou um centavo</v>
      </c>
    </row>
    <row r="293" spans="1:11" hidden="1" x14ac:dyDescent="0.25">
      <c r="A293" s="3" t="s">
        <v>340</v>
      </c>
      <c r="B293" s="3" t="s">
        <v>346</v>
      </c>
      <c r="C293" s="4">
        <v>20.059999999999999</v>
      </c>
      <c r="D293" s="4">
        <v>20.059999999999999</v>
      </c>
      <c r="E293" s="4">
        <v>0</v>
      </c>
      <c r="F293" s="4">
        <v>0</v>
      </c>
      <c r="G293" s="4">
        <v>0</v>
      </c>
      <c r="H293" s="4">
        <v>0</v>
      </c>
      <c r="I293" s="4">
        <f>SUM(Tabela1[[#This Row],[Mão-de-obra (custo médio)]:[Materiais de troca (custo médio)]])</f>
        <v>20.059999999999999</v>
      </c>
      <c r="J293" s="4">
        <f>Tabela1[[#This Row],[Custos da os]]-Tabela1[[#This Row],[Custo dos insumos]]</f>
        <v>0</v>
      </c>
      <c r="K293" s="4" t="str">
        <f>IF(ABS(Tabela1[[#This Row],[Dif. Insumo e OS]])&lt;=0.02,"ok ou um centavo","verificar")</f>
        <v>ok ou um centavo</v>
      </c>
    </row>
    <row r="294" spans="1:11" hidden="1" x14ac:dyDescent="0.25">
      <c r="A294" s="3" t="s">
        <v>347</v>
      </c>
      <c r="B294" s="3" t="s">
        <v>348</v>
      </c>
      <c r="C294" s="4">
        <v>3811.5</v>
      </c>
      <c r="D294" s="4">
        <v>0</v>
      </c>
      <c r="E294" s="4">
        <v>1064.71</v>
      </c>
      <c r="F294" s="4">
        <v>2746.79</v>
      </c>
      <c r="G294" s="4">
        <v>0</v>
      </c>
      <c r="H294" s="4">
        <v>0</v>
      </c>
      <c r="I294" s="4">
        <f>SUM(Tabela1[[#This Row],[Mão-de-obra (custo médio)]:[Materiais de troca (custo médio)]])</f>
        <v>3811.5</v>
      </c>
      <c r="J294" s="4">
        <f>Tabela1[[#This Row],[Custos da os]]-Tabela1[[#This Row],[Custo dos insumos]]</f>
        <v>0</v>
      </c>
      <c r="K294" s="4" t="str">
        <f>IF(ABS(Tabela1[[#This Row],[Dif. Insumo e OS]])&lt;=0.02,"ok ou um centavo","verificar")</f>
        <v>ok ou um centavo</v>
      </c>
    </row>
    <row r="295" spans="1:11" hidden="1" x14ac:dyDescent="0.25">
      <c r="A295" s="3" t="s">
        <v>347</v>
      </c>
      <c r="B295" s="3" t="s">
        <v>349</v>
      </c>
      <c r="C295" s="4">
        <v>1220.79</v>
      </c>
      <c r="D295" s="4">
        <v>0</v>
      </c>
      <c r="E295" s="4">
        <v>0</v>
      </c>
      <c r="F295" s="4">
        <v>0</v>
      </c>
      <c r="G295" s="4">
        <v>0</v>
      </c>
      <c r="H295" s="4">
        <v>1220.79</v>
      </c>
      <c r="I295" s="4">
        <f>SUM(Tabela1[[#This Row],[Mão-de-obra (custo médio)]:[Materiais de troca (custo médio)]])</f>
        <v>1220.79</v>
      </c>
      <c r="J295" s="4">
        <f>Tabela1[[#This Row],[Custos da os]]-Tabela1[[#This Row],[Custo dos insumos]]</f>
        <v>0</v>
      </c>
      <c r="K295" s="4" t="str">
        <f>IF(ABS(Tabela1[[#This Row],[Dif. Insumo e OS]])&lt;=0.02,"ok ou um centavo","verificar")</f>
        <v>ok ou um centavo</v>
      </c>
    </row>
    <row r="296" spans="1:11" hidden="1" x14ac:dyDescent="0.25">
      <c r="A296" s="3" t="s">
        <v>347</v>
      </c>
      <c r="B296" s="3" t="s">
        <v>350</v>
      </c>
      <c r="C296" s="4">
        <v>72.599999999999994</v>
      </c>
      <c r="D296" s="4">
        <v>0</v>
      </c>
      <c r="E296" s="4">
        <v>72.599999999999994</v>
      </c>
      <c r="F296" s="4">
        <v>0</v>
      </c>
      <c r="G296" s="4">
        <v>0</v>
      </c>
      <c r="H296" s="4">
        <v>0</v>
      </c>
      <c r="I296" s="4">
        <f>SUM(Tabela1[[#This Row],[Mão-de-obra (custo médio)]:[Materiais de troca (custo médio)]])</f>
        <v>72.599999999999994</v>
      </c>
      <c r="J296" s="4">
        <f>Tabela1[[#This Row],[Custos da os]]-Tabela1[[#This Row],[Custo dos insumos]]</f>
        <v>0</v>
      </c>
      <c r="K296" s="4" t="str">
        <f>IF(ABS(Tabela1[[#This Row],[Dif. Insumo e OS]])&lt;=0.02,"ok ou um centavo","verificar")</f>
        <v>ok ou um centavo</v>
      </c>
    </row>
    <row r="297" spans="1:11" hidden="1" x14ac:dyDescent="0.25">
      <c r="A297" s="3" t="s">
        <v>347</v>
      </c>
      <c r="B297" s="3" t="s">
        <v>351</v>
      </c>
      <c r="C297" s="4">
        <v>360.28</v>
      </c>
      <c r="D297" s="4">
        <v>0</v>
      </c>
      <c r="E297" s="4">
        <v>359.83</v>
      </c>
      <c r="F297" s="4">
        <v>0.45</v>
      </c>
      <c r="G297" s="4">
        <v>0</v>
      </c>
      <c r="H297" s="4">
        <v>0</v>
      </c>
      <c r="I297" s="4">
        <f>SUM(Tabela1[[#This Row],[Mão-de-obra (custo médio)]:[Materiais de troca (custo médio)]])</f>
        <v>360.28</v>
      </c>
      <c r="J297" s="4">
        <f>Tabela1[[#This Row],[Custos da os]]-Tabela1[[#This Row],[Custo dos insumos]]</f>
        <v>0</v>
      </c>
      <c r="K297" s="4" t="str">
        <f>IF(ABS(Tabela1[[#This Row],[Dif. Insumo e OS]])&lt;=0.02,"ok ou um centavo","verificar")</f>
        <v>ok ou um centavo</v>
      </c>
    </row>
    <row r="298" spans="1:11" hidden="1" x14ac:dyDescent="0.25">
      <c r="A298" s="3" t="s">
        <v>347</v>
      </c>
      <c r="B298" s="3" t="s">
        <v>352</v>
      </c>
      <c r="C298" s="4">
        <v>3.64</v>
      </c>
      <c r="D298" s="4">
        <v>3.64</v>
      </c>
      <c r="E298" s="4">
        <v>0</v>
      </c>
      <c r="F298" s="4">
        <v>0</v>
      </c>
      <c r="G298" s="4">
        <v>0</v>
      </c>
      <c r="H298" s="4">
        <v>0</v>
      </c>
      <c r="I298" s="4">
        <f>SUM(Tabela1[[#This Row],[Mão-de-obra (custo médio)]:[Materiais de troca (custo médio)]])</f>
        <v>3.64</v>
      </c>
      <c r="J298" s="4">
        <f>Tabela1[[#This Row],[Custos da os]]-Tabela1[[#This Row],[Custo dos insumos]]</f>
        <v>0</v>
      </c>
      <c r="K298" s="4" t="str">
        <f>IF(ABS(Tabela1[[#This Row],[Dif. Insumo e OS]])&lt;=0.02,"ok ou um centavo","verificar")</f>
        <v>ok ou um centavo</v>
      </c>
    </row>
    <row r="299" spans="1:11" hidden="1" x14ac:dyDescent="0.25">
      <c r="A299" s="3" t="s">
        <v>347</v>
      </c>
      <c r="B299" s="3" t="s">
        <v>353</v>
      </c>
      <c r="C299" s="4">
        <v>38.96</v>
      </c>
      <c r="D299" s="4">
        <v>38.97</v>
      </c>
      <c r="E299" s="4">
        <v>0</v>
      </c>
      <c r="F299" s="4">
        <v>0</v>
      </c>
      <c r="G299" s="4">
        <v>0</v>
      </c>
      <c r="H299" s="4">
        <v>0</v>
      </c>
      <c r="I299" s="4">
        <f>SUM(Tabela1[[#This Row],[Mão-de-obra (custo médio)]:[Materiais de troca (custo médio)]])</f>
        <v>38.97</v>
      </c>
      <c r="J299" s="4">
        <f>Tabela1[[#This Row],[Custos da os]]-Tabela1[[#This Row],[Custo dos insumos]]</f>
        <v>9.9999999999980105E-3</v>
      </c>
      <c r="K299" s="4" t="str">
        <f>IF(ABS(Tabela1[[#This Row],[Dif. Insumo e OS]])&lt;=0.02,"ok ou um centavo","verificar")</f>
        <v>ok ou um centavo</v>
      </c>
    </row>
    <row r="300" spans="1:11" x14ac:dyDescent="0.25">
      <c r="A300" s="1" t="s">
        <v>87</v>
      </c>
      <c r="B300" s="1" t="s">
        <v>90</v>
      </c>
      <c r="C300" s="2">
        <v>5385.99</v>
      </c>
      <c r="D300" s="2">
        <v>0</v>
      </c>
      <c r="E300" s="2">
        <v>0</v>
      </c>
      <c r="F300" s="2">
        <v>0</v>
      </c>
      <c r="G300" s="2">
        <v>529.22</v>
      </c>
      <c r="H300" s="2">
        <v>5106.93</v>
      </c>
      <c r="I300" s="2">
        <f>SUM(Tabela1[[#This Row],[Mão-de-obra (custo médio)]:[Materiais de troca (custo médio)]])</f>
        <v>5636.1500000000005</v>
      </c>
      <c r="J300" s="2">
        <f>Tabela1[[#This Row],[Custos da os]]-Tabela1[[#This Row],[Custo dos insumos]]</f>
        <v>250.16000000000076</v>
      </c>
      <c r="K300" s="2" t="str">
        <f>IF(ABS(Tabela1[[#This Row],[Dif. Insumo e OS]])&lt;=0.02,"ok ou um centavo","verificar")</f>
        <v>verificar</v>
      </c>
    </row>
    <row r="301" spans="1:11" hidden="1" x14ac:dyDescent="0.25">
      <c r="A301" s="3" t="s">
        <v>347</v>
      </c>
      <c r="B301" s="3" t="s">
        <v>355</v>
      </c>
      <c r="C301" s="4">
        <v>49.19</v>
      </c>
      <c r="D301" s="4">
        <v>32.47</v>
      </c>
      <c r="E301" s="4">
        <v>0</v>
      </c>
      <c r="F301" s="4">
        <v>0</v>
      </c>
      <c r="G301" s="4">
        <v>16.72</v>
      </c>
      <c r="H301" s="4">
        <v>0</v>
      </c>
      <c r="I301" s="4">
        <f>SUM(Tabela1[[#This Row],[Mão-de-obra (custo médio)]:[Materiais de troca (custo médio)]])</f>
        <v>49.19</v>
      </c>
      <c r="J301" s="4">
        <f>Tabela1[[#This Row],[Custos da os]]-Tabela1[[#This Row],[Custo dos insumos]]</f>
        <v>0</v>
      </c>
      <c r="K301" s="4" t="str">
        <f>IF(ABS(Tabela1[[#This Row],[Dif. Insumo e OS]])&lt;=0.02,"ok ou um centavo","verificar")</f>
        <v>ok ou um centavo</v>
      </c>
    </row>
    <row r="302" spans="1:11" hidden="1" x14ac:dyDescent="0.25">
      <c r="A302" s="3" t="s">
        <v>356</v>
      </c>
      <c r="B302" s="3" t="s">
        <v>357</v>
      </c>
      <c r="C302" s="4">
        <v>175.8</v>
      </c>
      <c r="D302" s="4">
        <v>175.81</v>
      </c>
      <c r="E302" s="4">
        <v>0</v>
      </c>
      <c r="F302" s="4">
        <v>0</v>
      </c>
      <c r="G302" s="4">
        <v>0</v>
      </c>
      <c r="H302" s="4">
        <v>0</v>
      </c>
      <c r="I302" s="4">
        <f>SUM(Tabela1[[#This Row],[Mão-de-obra (custo médio)]:[Materiais de troca (custo médio)]])</f>
        <v>175.81</v>
      </c>
      <c r="J302" s="4">
        <f>Tabela1[[#This Row],[Custos da os]]-Tabela1[[#This Row],[Custo dos insumos]]</f>
        <v>9.9999999999909051E-3</v>
      </c>
      <c r="K302" s="4" t="str">
        <f>IF(ABS(Tabela1[[#This Row],[Dif. Insumo e OS]])&lt;=0.02,"ok ou um centavo","verificar")</f>
        <v>ok ou um centavo</v>
      </c>
    </row>
    <row r="303" spans="1:11" hidden="1" x14ac:dyDescent="0.25">
      <c r="A303" s="3" t="s">
        <v>356</v>
      </c>
      <c r="B303" s="3" t="s">
        <v>358</v>
      </c>
      <c r="C303" s="4">
        <v>4.13</v>
      </c>
      <c r="D303" s="4">
        <v>4.13</v>
      </c>
      <c r="E303" s="4">
        <v>0</v>
      </c>
      <c r="F303" s="4">
        <v>0</v>
      </c>
      <c r="G303" s="4">
        <v>0</v>
      </c>
      <c r="H303" s="4">
        <v>0</v>
      </c>
      <c r="I303" s="4">
        <f>SUM(Tabela1[[#This Row],[Mão-de-obra (custo médio)]:[Materiais de troca (custo médio)]])</f>
        <v>4.13</v>
      </c>
      <c r="J303" s="4">
        <f>Tabela1[[#This Row],[Custos da os]]-Tabela1[[#This Row],[Custo dos insumos]]</f>
        <v>0</v>
      </c>
      <c r="K303" s="4" t="str">
        <f>IF(ABS(Tabela1[[#This Row],[Dif. Insumo e OS]])&lt;=0.02,"ok ou um centavo","verificar")</f>
        <v>ok ou um centavo</v>
      </c>
    </row>
    <row r="304" spans="1:11" hidden="1" x14ac:dyDescent="0.25">
      <c r="A304" s="3" t="s">
        <v>356</v>
      </c>
      <c r="B304" s="3" t="s">
        <v>359</v>
      </c>
      <c r="C304" s="4">
        <v>10089.23</v>
      </c>
      <c r="D304" s="4">
        <v>0</v>
      </c>
      <c r="E304" s="4">
        <v>6022.63</v>
      </c>
      <c r="F304" s="4">
        <v>4066.6</v>
      </c>
      <c r="G304" s="4">
        <v>0</v>
      </c>
      <c r="H304" s="4">
        <v>0</v>
      </c>
      <c r="I304" s="4">
        <f>SUM(Tabela1[[#This Row],[Mão-de-obra (custo médio)]:[Materiais de troca (custo médio)]])</f>
        <v>10089.23</v>
      </c>
      <c r="J304" s="4">
        <f>Tabela1[[#This Row],[Custos da os]]-Tabela1[[#This Row],[Custo dos insumos]]</f>
        <v>0</v>
      </c>
      <c r="K304" s="4" t="str">
        <f>IF(ABS(Tabela1[[#This Row],[Dif. Insumo e OS]])&lt;=0.02,"ok ou um centavo","verificar")</f>
        <v>ok ou um centavo</v>
      </c>
    </row>
    <row r="305" spans="1:11" hidden="1" x14ac:dyDescent="0.25">
      <c r="A305" s="3" t="s">
        <v>356</v>
      </c>
      <c r="B305" s="3" t="s">
        <v>360</v>
      </c>
      <c r="C305" s="4">
        <v>6.76</v>
      </c>
      <c r="D305" s="4">
        <v>6.76</v>
      </c>
      <c r="E305" s="4">
        <v>0</v>
      </c>
      <c r="F305" s="4">
        <v>0</v>
      </c>
      <c r="G305" s="4">
        <v>0</v>
      </c>
      <c r="H305" s="4">
        <v>0</v>
      </c>
      <c r="I305" s="4">
        <f>SUM(Tabela1[[#This Row],[Mão-de-obra (custo médio)]:[Materiais de troca (custo médio)]])</f>
        <v>6.76</v>
      </c>
      <c r="J305" s="4">
        <f>Tabela1[[#This Row],[Custos da os]]-Tabela1[[#This Row],[Custo dos insumos]]</f>
        <v>0</v>
      </c>
      <c r="K305" s="4" t="str">
        <f>IF(ABS(Tabela1[[#This Row],[Dif. Insumo e OS]])&lt;=0.02,"ok ou um centavo","verificar")</f>
        <v>ok ou um centavo</v>
      </c>
    </row>
    <row r="306" spans="1:11" hidden="1" x14ac:dyDescent="0.25">
      <c r="A306" s="3" t="s">
        <v>356</v>
      </c>
      <c r="B306" s="3" t="s">
        <v>361</v>
      </c>
      <c r="C306" s="4">
        <v>431.1</v>
      </c>
      <c r="D306" s="4">
        <v>0.46</v>
      </c>
      <c r="E306" s="4">
        <v>0</v>
      </c>
      <c r="F306" s="4">
        <v>0</v>
      </c>
      <c r="G306" s="4">
        <v>0</v>
      </c>
      <c r="H306" s="4">
        <v>430.64</v>
      </c>
      <c r="I306" s="4">
        <f>SUM(Tabela1[[#This Row],[Mão-de-obra (custo médio)]:[Materiais de troca (custo médio)]])</f>
        <v>431.09999999999997</v>
      </c>
      <c r="J306" s="4">
        <f>Tabela1[[#This Row],[Custos da os]]-Tabela1[[#This Row],[Custo dos insumos]]</f>
        <v>0</v>
      </c>
      <c r="K306" s="4" t="str">
        <f>IF(ABS(Tabela1[[#This Row],[Dif. Insumo e OS]])&lt;=0.02,"ok ou um centavo","verificar")</f>
        <v>ok ou um centavo</v>
      </c>
    </row>
    <row r="307" spans="1:11" hidden="1" x14ac:dyDescent="0.25">
      <c r="A307" s="3" t="s">
        <v>356</v>
      </c>
      <c r="B307" s="3" t="s">
        <v>362</v>
      </c>
      <c r="C307" s="4">
        <v>3.64</v>
      </c>
      <c r="D307" s="4">
        <v>3.64</v>
      </c>
      <c r="E307" s="4">
        <v>0</v>
      </c>
      <c r="F307" s="4">
        <v>0</v>
      </c>
      <c r="G307" s="4">
        <v>0</v>
      </c>
      <c r="H307" s="4">
        <v>0</v>
      </c>
      <c r="I307" s="4">
        <f>SUM(Tabela1[[#This Row],[Mão-de-obra (custo médio)]:[Materiais de troca (custo médio)]])</f>
        <v>3.64</v>
      </c>
      <c r="J307" s="4">
        <f>Tabela1[[#This Row],[Custos da os]]-Tabela1[[#This Row],[Custo dos insumos]]</f>
        <v>0</v>
      </c>
      <c r="K307" s="4" t="str">
        <f>IF(ABS(Tabela1[[#This Row],[Dif. Insumo e OS]])&lt;=0.02,"ok ou um centavo","verificar")</f>
        <v>ok ou um centavo</v>
      </c>
    </row>
    <row r="308" spans="1:11" hidden="1" x14ac:dyDescent="0.25">
      <c r="A308" s="3" t="s">
        <v>356</v>
      </c>
      <c r="B308" s="3" t="s">
        <v>363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f>SUM(Tabela1[[#This Row],[Mão-de-obra (custo médio)]:[Materiais de troca (custo médio)]])</f>
        <v>0</v>
      </c>
      <c r="J308" s="4">
        <f>Tabela1[[#This Row],[Custos da os]]-Tabela1[[#This Row],[Custo dos insumos]]</f>
        <v>0</v>
      </c>
      <c r="K308" s="4" t="str">
        <f>IF(ABS(Tabela1[[#This Row],[Dif. Insumo e OS]])&lt;=0.02,"ok ou um centavo","verificar")</f>
        <v>ok ou um centavo</v>
      </c>
    </row>
    <row r="309" spans="1:11" hidden="1" x14ac:dyDescent="0.25">
      <c r="A309" s="3" t="s">
        <v>356</v>
      </c>
      <c r="B309" s="3" t="s">
        <v>364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f>SUM(Tabela1[[#This Row],[Mão-de-obra (custo médio)]:[Materiais de troca (custo médio)]])</f>
        <v>0</v>
      </c>
      <c r="J309" s="4">
        <f>Tabela1[[#This Row],[Custos da os]]-Tabela1[[#This Row],[Custo dos insumos]]</f>
        <v>0</v>
      </c>
      <c r="K309" s="4" t="str">
        <f>IF(ABS(Tabela1[[#This Row],[Dif. Insumo e OS]])&lt;=0.02,"ok ou um centavo","verificar")</f>
        <v>ok ou um centavo</v>
      </c>
    </row>
    <row r="310" spans="1:11" hidden="1" x14ac:dyDescent="0.25">
      <c r="A310" s="3" t="s">
        <v>365</v>
      </c>
      <c r="B310" s="3" t="s">
        <v>366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f>SUM(Tabela1[[#This Row],[Mão-de-obra (custo médio)]:[Materiais de troca (custo médio)]])</f>
        <v>0</v>
      </c>
      <c r="J310" s="4">
        <f>Tabela1[[#This Row],[Custos da os]]-Tabela1[[#This Row],[Custo dos insumos]]</f>
        <v>0</v>
      </c>
      <c r="K310" s="4" t="str">
        <f>IF(ABS(Tabela1[[#This Row],[Dif. Insumo e OS]])&lt;=0.02,"ok ou um centavo","verificar")</f>
        <v>ok ou um centavo</v>
      </c>
    </row>
    <row r="311" spans="1:11" x14ac:dyDescent="0.25">
      <c r="A311" s="1" t="s">
        <v>28</v>
      </c>
      <c r="B311" s="1" t="s">
        <v>31</v>
      </c>
      <c r="C311" s="2">
        <v>2971.39</v>
      </c>
      <c r="D311" s="2">
        <v>39.61</v>
      </c>
      <c r="E311" s="2">
        <v>0</v>
      </c>
      <c r="F311" s="2">
        <v>0</v>
      </c>
      <c r="G311" s="2">
        <v>1462.67</v>
      </c>
      <c r="H311" s="2">
        <v>1735.31</v>
      </c>
      <c r="I311" s="2">
        <f>SUM(Tabela1[[#This Row],[Mão-de-obra (custo médio)]:[Materiais de troca (custo médio)]])</f>
        <v>3237.59</v>
      </c>
      <c r="J311" s="2">
        <f>Tabela1[[#This Row],[Custos da os]]-Tabela1[[#This Row],[Custo dos insumos]]</f>
        <v>266.20000000000027</v>
      </c>
      <c r="K311" s="2" t="str">
        <f>IF(ABS(Tabela1[[#This Row],[Dif. Insumo e OS]])&lt;=0.02,"ok ou um centavo","verificar")</f>
        <v>verificar</v>
      </c>
    </row>
    <row r="312" spans="1:11" hidden="1" x14ac:dyDescent="0.25">
      <c r="A312" s="3" t="s">
        <v>367</v>
      </c>
      <c r="B312" s="3" t="s">
        <v>369</v>
      </c>
      <c r="C312" s="4">
        <v>13786.63</v>
      </c>
      <c r="D312" s="4">
        <v>0</v>
      </c>
      <c r="E312" s="4">
        <v>4138.2700000000004</v>
      </c>
      <c r="F312" s="4">
        <v>9648.36</v>
      </c>
      <c r="G312" s="4">
        <v>0</v>
      </c>
      <c r="H312" s="4">
        <v>0</v>
      </c>
      <c r="I312" s="4">
        <f>SUM(Tabela1[[#This Row],[Mão-de-obra (custo médio)]:[Materiais de troca (custo médio)]])</f>
        <v>13786.630000000001</v>
      </c>
      <c r="J312" s="4">
        <f>Tabela1[[#This Row],[Custos da os]]-Tabela1[[#This Row],[Custo dos insumos]]</f>
        <v>0</v>
      </c>
      <c r="K312" s="4" t="str">
        <f>IF(ABS(Tabela1[[#This Row],[Dif. Insumo e OS]])&lt;=0.02,"ok ou um centavo","verificar")</f>
        <v>ok ou um centavo</v>
      </c>
    </row>
    <row r="313" spans="1:11" x14ac:dyDescent="0.25">
      <c r="A313" s="1" t="s">
        <v>257</v>
      </c>
      <c r="B313" s="1" t="s">
        <v>258</v>
      </c>
      <c r="C313" s="2">
        <v>865</v>
      </c>
      <c r="D313" s="2">
        <v>382.62</v>
      </c>
      <c r="E313" s="2">
        <v>0</v>
      </c>
      <c r="F313" s="2">
        <v>0</v>
      </c>
      <c r="G313" s="2">
        <v>0</v>
      </c>
      <c r="H313" s="2">
        <v>865</v>
      </c>
      <c r="I313" s="2">
        <f>SUM(Tabela1[[#This Row],[Mão-de-obra (custo médio)]:[Materiais de troca (custo médio)]])</f>
        <v>1247.6199999999999</v>
      </c>
      <c r="J313" s="2">
        <f>Tabela1[[#This Row],[Custos da os]]-Tabela1[[#This Row],[Custo dos insumos]]</f>
        <v>382.61999999999989</v>
      </c>
      <c r="K313" s="2" t="str">
        <f>IF(ABS(Tabela1[[#This Row],[Dif. Insumo e OS]])&lt;=0.02,"ok ou um centavo","verificar")</f>
        <v>verificar</v>
      </c>
    </row>
    <row r="314" spans="1:11" x14ac:dyDescent="0.25">
      <c r="A314" s="1" t="s">
        <v>428</v>
      </c>
      <c r="B314" s="1" t="s">
        <v>436</v>
      </c>
      <c r="C314" s="2">
        <v>546.84</v>
      </c>
      <c r="D314" s="2">
        <v>0</v>
      </c>
      <c r="E314" s="2">
        <v>0</v>
      </c>
      <c r="F314" s="2">
        <v>0</v>
      </c>
      <c r="G314" s="2">
        <v>935.93</v>
      </c>
      <c r="H314" s="2">
        <v>0</v>
      </c>
      <c r="I314" s="2">
        <f>SUM(Tabela1[[#This Row],[Mão-de-obra (custo médio)]:[Materiais de troca (custo médio)]])</f>
        <v>935.93</v>
      </c>
      <c r="J314" s="2">
        <f>Tabela1[[#This Row],[Custos da os]]-Tabela1[[#This Row],[Custo dos insumos]]</f>
        <v>389.08999999999992</v>
      </c>
      <c r="K314" s="2" t="str">
        <f>IF(ABS(Tabela1[[#This Row],[Dif. Insumo e OS]])&lt;=0.02,"ok ou um centavo","verificar")</f>
        <v>verificar</v>
      </c>
    </row>
    <row r="315" spans="1:11" hidden="1" x14ac:dyDescent="0.25">
      <c r="A315" s="3" t="s">
        <v>367</v>
      </c>
      <c r="B315" s="3" t="s">
        <v>372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f>SUM(Tabela1[[#This Row],[Mão-de-obra (custo médio)]:[Materiais de troca (custo médio)]])</f>
        <v>0</v>
      </c>
      <c r="J315" s="4">
        <f>Tabela1[[#This Row],[Custos da os]]-Tabela1[[#This Row],[Custo dos insumos]]</f>
        <v>0</v>
      </c>
      <c r="K315" s="4" t="str">
        <f>IF(ABS(Tabela1[[#This Row],[Dif. Insumo e OS]])&lt;=0.02,"ok ou um centavo","verificar")</f>
        <v>ok ou um centavo</v>
      </c>
    </row>
    <row r="316" spans="1:11" hidden="1" x14ac:dyDescent="0.25">
      <c r="A316" s="3" t="s">
        <v>367</v>
      </c>
      <c r="B316" s="3" t="s">
        <v>373</v>
      </c>
      <c r="C316" s="4">
        <v>11.7</v>
      </c>
      <c r="D316" s="4">
        <v>11.7</v>
      </c>
      <c r="E316" s="4">
        <v>0</v>
      </c>
      <c r="F316" s="4">
        <v>0</v>
      </c>
      <c r="G316" s="4">
        <v>0</v>
      </c>
      <c r="H316" s="4">
        <v>0</v>
      </c>
      <c r="I316" s="4">
        <f>SUM(Tabela1[[#This Row],[Mão-de-obra (custo médio)]:[Materiais de troca (custo médio)]])</f>
        <v>11.7</v>
      </c>
      <c r="J316" s="4">
        <f>Tabela1[[#This Row],[Custos da os]]-Tabela1[[#This Row],[Custo dos insumos]]</f>
        <v>0</v>
      </c>
      <c r="K316" s="4" t="str">
        <f>IF(ABS(Tabela1[[#This Row],[Dif. Insumo e OS]])&lt;=0.02,"ok ou um centavo","verificar")</f>
        <v>ok ou um centavo</v>
      </c>
    </row>
    <row r="317" spans="1:11" hidden="1" x14ac:dyDescent="0.25">
      <c r="A317" s="3" t="s">
        <v>367</v>
      </c>
      <c r="B317" s="3" t="s">
        <v>374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f>SUM(Tabela1[[#This Row],[Mão-de-obra (custo médio)]:[Materiais de troca (custo médio)]])</f>
        <v>0</v>
      </c>
      <c r="J317" s="4">
        <f>Tabela1[[#This Row],[Custos da os]]-Tabela1[[#This Row],[Custo dos insumos]]</f>
        <v>0</v>
      </c>
      <c r="K317" s="4" t="str">
        <f>IF(ABS(Tabela1[[#This Row],[Dif. Insumo e OS]])&lt;=0.02,"ok ou um centavo","verificar")</f>
        <v>ok ou um centavo</v>
      </c>
    </row>
    <row r="318" spans="1:11" hidden="1" x14ac:dyDescent="0.25">
      <c r="A318" s="3" t="s">
        <v>367</v>
      </c>
      <c r="B318" s="3" t="s">
        <v>375</v>
      </c>
      <c r="C318" s="4">
        <v>23.03</v>
      </c>
      <c r="D318" s="4">
        <v>23.03</v>
      </c>
      <c r="E318" s="4">
        <v>0</v>
      </c>
      <c r="F318" s="4">
        <v>0</v>
      </c>
      <c r="G318" s="4">
        <v>0</v>
      </c>
      <c r="H318" s="4">
        <v>0</v>
      </c>
      <c r="I318" s="4">
        <f>SUM(Tabela1[[#This Row],[Mão-de-obra (custo médio)]:[Materiais de troca (custo médio)]])</f>
        <v>23.03</v>
      </c>
      <c r="J318" s="4">
        <f>Tabela1[[#This Row],[Custos da os]]-Tabela1[[#This Row],[Custo dos insumos]]</f>
        <v>0</v>
      </c>
      <c r="K318" s="4" t="str">
        <f>IF(ABS(Tabela1[[#This Row],[Dif. Insumo e OS]])&lt;=0.02,"ok ou um centavo","verificar")</f>
        <v>ok ou um centavo</v>
      </c>
    </row>
    <row r="319" spans="1:11" hidden="1" x14ac:dyDescent="0.25">
      <c r="A319" s="3" t="s">
        <v>367</v>
      </c>
      <c r="B319" s="3" t="s">
        <v>376</v>
      </c>
      <c r="C319" s="4">
        <v>187.73</v>
      </c>
      <c r="D319" s="4">
        <v>8.17</v>
      </c>
      <c r="E319" s="4">
        <v>0</v>
      </c>
      <c r="F319" s="4">
        <v>0</v>
      </c>
      <c r="G319" s="4">
        <v>0</v>
      </c>
      <c r="H319" s="4">
        <v>179.56</v>
      </c>
      <c r="I319" s="4">
        <f>SUM(Tabela1[[#This Row],[Mão-de-obra (custo médio)]:[Materiais de troca (custo médio)]])</f>
        <v>187.73</v>
      </c>
      <c r="J319" s="4">
        <f>Tabela1[[#This Row],[Custos da os]]-Tabela1[[#This Row],[Custo dos insumos]]</f>
        <v>0</v>
      </c>
      <c r="K319" s="4" t="str">
        <f>IF(ABS(Tabela1[[#This Row],[Dif. Insumo e OS]])&lt;=0.02,"ok ou um centavo","verificar")</f>
        <v>ok ou um centavo</v>
      </c>
    </row>
    <row r="320" spans="1:11" hidden="1" x14ac:dyDescent="0.25">
      <c r="A320" s="3" t="s">
        <v>367</v>
      </c>
      <c r="B320" s="3" t="s">
        <v>377</v>
      </c>
      <c r="C320" s="4">
        <v>3196.06</v>
      </c>
      <c r="D320" s="4">
        <v>0.46</v>
      </c>
      <c r="E320" s="4">
        <v>0</v>
      </c>
      <c r="F320" s="4">
        <v>0</v>
      </c>
      <c r="G320" s="4">
        <v>0</v>
      </c>
      <c r="H320" s="4">
        <v>3195.6</v>
      </c>
      <c r="I320" s="4">
        <f>SUM(Tabela1[[#This Row],[Mão-de-obra (custo médio)]:[Materiais de troca (custo médio)]])</f>
        <v>3196.06</v>
      </c>
      <c r="J320" s="4">
        <f>Tabela1[[#This Row],[Custos da os]]-Tabela1[[#This Row],[Custo dos insumos]]</f>
        <v>0</v>
      </c>
      <c r="K320" s="4" t="str">
        <f>IF(ABS(Tabela1[[#This Row],[Dif. Insumo e OS]])&lt;=0.02,"ok ou um centavo","verificar")</f>
        <v>ok ou um centavo</v>
      </c>
    </row>
    <row r="321" spans="1:11" hidden="1" x14ac:dyDescent="0.25">
      <c r="A321" s="3" t="s">
        <v>378</v>
      </c>
      <c r="B321" s="3" t="s">
        <v>379</v>
      </c>
      <c r="C321" s="4">
        <v>72.599999999999994</v>
      </c>
      <c r="D321" s="4">
        <v>0</v>
      </c>
      <c r="E321" s="4">
        <v>72.599999999999994</v>
      </c>
      <c r="F321" s="4">
        <v>0</v>
      </c>
      <c r="G321" s="4">
        <v>0</v>
      </c>
      <c r="H321" s="4">
        <v>0</v>
      </c>
      <c r="I321" s="4">
        <f>SUM(Tabela1[[#This Row],[Mão-de-obra (custo médio)]:[Materiais de troca (custo médio)]])</f>
        <v>72.599999999999994</v>
      </c>
      <c r="J321" s="4">
        <f>Tabela1[[#This Row],[Custos da os]]-Tabela1[[#This Row],[Custo dos insumos]]</f>
        <v>0</v>
      </c>
      <c r="K321" s="4" t="str">
        <f>IF(ABS(Tabela1[[#This Row],[Dif. Insumo e OS]])&lt;=0.02,"ok ou um centavo","verificar")</f>
        <v>ok ou um centavo</v>
      </c>
    </row>
    <row r="322" spans="1:11" hidden="1" x14ac:dyDescent="0.25">
      <c r="A322" s="3" t="s">
        <v>378</v>
      </c>
      <c r="B322" s="3" t="s">
        <v>380</v>
      </c>
      <c r="C322" s="4">
        <v>950.66</v>
      </c>
      <c r="D322" s="4">
        <v>0</v>
      </c>
      <c r="E322" s="4">
        <v>0</v>
      </c>
      <c r="F322" s="4">
        <v>0</v>
      </c>
      <c r="G322" s="4">
        <v>0</v>
      </c>
      <c r="H322" s="4">
        <v>950.66</v>
      </c>
      <c r="I322" s="4">
        <f>SUM(Tabela1[[#This Row],[Mão-de-obra (custo médio)]:[Materiais de troca (custo médio)]])</f>
        <v>950.66</v>
      </c>
      <c r="J322" s="4">
        <f>Tabela1[[#This Row],[Custos da os]]-Tabela1[[#This Row],[Custo dos insumos]]</f>
        <v>0</v>
      </c>
      <c r="K322" s="4" t="str">
        <f>IF(ABS(Tabela1[[#This Row],[Dif. Insumo e OS]])&lt;=0.02,"ok ou um centavo","verificar")</f>
        <v>ok ou um centavo</v>
      </c>
    </row>
    <row r="323" spans="1:11" hidden="1" x14ac:dyDescent="0.25">
      <c r="A323" s="3" t="s">
        <v>381</v>
      </c>
      <c r="B323" s="3" t="s">
        <v>382</v>
      </c>
      <c r="C323" s="4">
        <v>1152.52</v>
      </c>
      <c r="D323" s="4">
        <v>0</v>
      </c>
      <c r="E323" s="4">
        <v>0</v>
      </c>
      <c r="F323" s="4">
        <v>0</v>
      </c>
      <c r="G323" s="4">
        <v>1152.52</v>
      </c>
      <c r="H323" s="4">
        <v>0</v>
      </c>
      <c r="I323" s="4">
        <f>SUM(Tabela1[[#This Row],[Mão-de-obra (custo médio)]:[Materiais de troca (custo médio)]])</f>
        <v>1152.52</v>
      </c>
      <c r="J323" s="4">
        <f>Tabela1[[#This Row],[Custos da os]]-Tabela1[[#This Row],[Custo dos insumos]]</f>
        <v>0</v>
      </c>
      <c r="K323" s="4" t="str">
        <f>IF(ABS(Tabela1[[#This Row],[Dif. Insumo e OS]])&lt;=0.02,"ok ou um centavo","verificar")</f>
        <v>ok ou um centavo</v>
      </c>
    </row>
    <row r="324" spans="1:11" hidden="1" x14ac:dyDescent="0.25">
      <c r="A324" s="3" t="s">
        <v>381</v>
      </c>
      <c r="B324" s="3" t="s">
        <v>383</v>
      </c>
      <c r="C324" s="4">
        <v>209.74</v>
      </c>
      <c r="D324" s="4">
        <v>0</v>
      </c>
      <c r="E324" s="4">
        <v>96.88</v>
      </c>
      <c r="F324" s="4">
        <v>112.86</v>
      </c>
      <c r="G324" s="4">
        <v>0</v>
      </c>
      <c r="H324" s="4">
        <v>0</v>
      </c>
      <c r="I324" s="4">
        <f>SUM(Tabela1[[#This Row],[Mão-de-obra (custo médio)]:[Materiais de troca (custo médio)]])</f>
        <v>209.74</v>
      </c>
      <c r="J324" s="4">
        <f>Tabela1[[#This Row],[Custos da os]]-Tabela1[[#This Row],[Custo dos insumos]]</f>
        <v>0</v>
      </c>
      <c r="K324" s="4" t="str">
        <f>IF(ABS(Tabela1[[#This Row],[Dif. Insumo e OS]])&lt;=0.02,"ok ou um centavo","verificar")</f>
        <v>ok ou um centavo</v>
      </c>
    </row>
    <row r="325" spans="1:11" hidden="1" x14ac:dyDescent="0.25">
      <c r="A325" s="3" t="s">
        <v>381</v>
      </c>
      <c r="B325" s="3" t="s">
        <v>384</v>
      </c>
      <c r="C325" s="4">
        <v>6.22</v>
      </c>
      <c r="D325" s="4">
        <v>6.22</v>
      </c>
      <c r="E325" s="4">
        <v>0</v>
      </c>
      <c r="F325" s="4">
        <v>0</v>
      </c>
      <c r="G325" s="4">
        <v>0</v>
      </c>
      <c r="H325" s="4">
        <v>0</v>
      </c>
      <c r="I325" s="4">
        <f>SUM(Tabela1[[#This Row],[Mão-de-obra (custo médio)]:[Materiais de troca (custo médio)]])</f>
        <v>6.22</v>
      </c>
      <c r="J325" s="4">
        <f>Tabela1[[#This Row],[Custos da os]]-Tabela1[[#This Row],[Custo dos insumos]]</f>
        <v>0</v>
      </c>
      <c r="K325" s="4" t="str">
        <f>IF(ABS(Tabela1[[#This Row],[Dif. Insumo e OS]])&lt;=0.02,"ok ou um centavo","verificar")</f>
        <v>ok ou um centavo</v>
      </c>
    </row>
    <row r="326" spans="1:11" hidden="1" x14ac:dyDescent="0.25">
      <c r="A326" s="3" t="s">
        <v>381</v>
      </c>
      <c r="B326" s="3" t="s">
        <v>385</v>
      </c>
      <c r="C326" s="4">
        <v>32.96</v>
      </c>
      <c r="D326" s="4">
        <v>6.76</v>
      </c>
      <c r="E326" s="4">
        <v>0</v>
      </c>
      <c r="F326" s="4">
        <v>0</v>
      </c>
      <c r="G326" s="4">
        <v>0</v>
      </c>
      <c r="H326" s="4">
        <v>26.2</v>
      </c>
      <c r="I326" s="4">
        <f>SUM(Tabela1[[#This Row],[Mão-de-obra (custo médio)]:[Materiais de troca (custo médio)]])</f>
        <v>32.96</v>
      </c>
      <c r="J326" s="4">
        <f>Tabela1[[#This Row],[Custos da os]]-Tabela1[[#This Row],[Custo dos insumos]]</f>
        <v>0</v>
      </c>
      <c r="K326" s="4" t="str">
        <f>IF(ABS(Tabela1[[#This Row],[Dif. Insumo e OS]])&lt;=0.02,"ok ou um centavo","verificar")</f>
        <v>ok ou um centavo</v>
      </c>
    </row>
    <row r="327" spans="1:11" hidden="1" x14ac:dyDescent="0.25">
      <c r="A327" s="3" t="s">
        <v>381</v>
      </c>
      <c r="B327" s="3" t="s">
        <v>386</v>
      </c>
      <c r="C327" s="4">
        <v>59.99</v>
      </c>
      <c r="D327" s="4">
        <v>59.99</v>
      </c>
      <c r="E327" s="4">
        <v>0</v>
      </c>
      <c r="F327" s="4">
        <v>0</v>
      </c>
      <c r="G327" s="4">
        <v>0</v>
      </c>
      <c r="H327" s="4">
        <v>0</v>
      </c>
      <c r="I327" s="4">
        <f>SUM(Tabela1[[#This Row],[Mão-de-obra (custo médio)]:[Materiais de troca (custo médio)]])</f>
        <v>59.99</v>
      </c>
      <c r="J327" s="4">
        <f>Tabela1[[#This Row],[Custos da os]]-Tabela1[[#This Row],[Custo dos insumos]]</f>
        <v>0</v>
      </c>
      <c r="K327" s="4" t="str">
        <f>IF(ABS(Tabela1[[#This Row],[Dif. Insumo e OS]])&lt;=0.02,"ok ou um centavo","verificar")</f>
        <v>ok ou um centavo</v>
      </c>
    </row>
    <row r="328" spans="1:11" hidden="1" x14ac:dyDescent="0.25">
      <c r="A328" s="3" t="s">
        <v>387</v>
      </c>
      <c r="B328" s="3" t="s">
        <v>388</v>
      </c>
      <c r="C328" s="4">
        <v>227.58</v>
      </c>
      <c r="D328" s="4">
        <v>32.47</v>
      </c>
      <c r="E328" s="4">
        <v>0</v>
      </c>
      <c r="F328" s="4">
        <v>0</v>
      </c>
      <c r="G328" s="4">
        <v>0</v>
      </c>
      <c r="H328" s="4">
        <v>195.11</v>
      </c>
      <c r="I328" s="4">
        <f>SUM(Tabela1[[#This Row],[Mão-de-obra (custo médio)]:[Materiais de troca (custo médio)]])</f>
        <v>227.58</v>
      </c>
      <c r="J328" s="4">
        <f>Tabela1[[#This Row],[Custos da os]]-Tabela1[[#This Row],[Custo dos insumos]]</f>
        <v>0</v>
      </c>
      <c r="K328" s="4" t="str">
        <f>IF(ABS(Tabela1[[#This Row],[Dif. Insumo e OS]])&lt;=0.02,"ok ou um centavo","verificar")</f>
        <v>ok ou um centavo</v>
      </c>
    </row>
    <row r="329" spans="1:11" x14ac:dyDescent="0.25">
      <c r="A329" s="1" t="s">
        <v>293</v>
      </c>
      <c r="B329" s="1" t="s">
        <v>300</v>
      </c>
      <c r="C329" s="2">
        <v>0</v>
      </c>
      <c r="D329" s="2">
        <v>0</v>
      </c>
      <c r="E329" s="2">
        <v>444.67</v>
      </c>
      <c r="F329" s="2">
        <v>0</v>
      </c>
      <c r="G329" s="2">
        <v>0</v>
      </c>
      <c r="H329" s="2">
        <v>0</v>
      </c>
      <c r="I329" s="2">
        <f>SUM(Tabela1[[#This Row],[Mão-de-obra (custo médio)]:[Materiais de troca (custo médio)]])</f>
        <v>444.67</v>
      </c>
      <c r="J329" s="2">
        <f>Tabela1[[#This Row],[Custos da os]]-Tabela1[[#This Row],[Custo dos insumos]]</f>
        <v>444.67</v>
      </c>
      <c r="K329" s="2" t="str">
        <f>IF(ABS(Tabela1[[#This Row],[Dif. Insumo e OS]])&lt;=0.02,"ok ou um centavo","verificar")</f>
        <v>verificar</v>
      </c>
    </row>
    <row r="330" spans="1:11" hidden="1" x14ac:dyDescent="0.25">
      <c r="A330" s="3" t="s">
        <v>390</v>
      </c>
      <c r="B330" s="3" t="s">
        <v>391</v>
      </c>
      <c r="C330" s="4">
        <v>10.199999999999999</v>
      </c>
      <c r="D330" s="4">
        <v>10.199999999999999</v>
      </c>
      <c r="E330" s="4">
        <v>0</v>
      </c>
      <c r="F330" s="4">
        <v>0</v>
      </c>
      <c r="G330" s="4">
        <v>0</v>
      </c>
      <c r="H330" s="4">
        <v>0</v>
      </c>
      <c r="I330" s="4">
        <f>SUM(Tabela1[[#This Row],[Mão-de-obra (custo médio)]:[Materiais de troca (custo médio)]])</f>
        <v>10.199999999999999</v>
      </c>
      <c r="J330" s="4">
        <f>Tabela1[[#This Row],[Custos da os]]-Tabela1[[#This Row],[Custo dos insumos]]</f>
        <v>0</v>
      </c>
      <c r="K330" s="4" t="str">
        <f>IF(ABS(Tabela1[[#This Row],[Dif. Insumo e OS]])&lt;=0.02,"ok ou um centavo","verificar")</f>
        <v>ok ou um centavo</v>
      </c>
    </row>
    <row r="331" spans="1:11" hidden="1" x14ac:dyDescent="0.25">
      <c r="A331" s="3" t="s">
        <v>390</v>
      </c>
      <c r="B331" s="3" t="s">
        <v>392</v>
      </c>
      <c r="C331" s="4">
        <v>483.28</v>
      </c>
      <c r="D331" s="4">
        <v>0</v>
      </c>
      <c r="E331" s="4">
        <v>435.6</v>
      </c>
      <c r="F331" s="4">
        <v>47.68</v>
      </c>
      <c r="G331" s="4">
        <v>0</v>
      </c>
      <c r="H331" s="4">
        <v>0</v>
      </c>
      <c r="I331" s="4">
        <f>SUM(Tabela1[[#This Row],[Mão-de-obra (custo médio)]:[Materiais de troca (custo médio)]])</f>
        <v>483.28000000000003</v>
      </c>
      <c r="J331" s="4">
        <f>Tabela1[[#This Row],[Custos da os]]-Tabela1[[#This Row],[Custo dos insumos]]</f>
        <v>0</v>
      </c>
      <c r="K331" s="4" t="str">
        <f>IF(ABS(Tabela1[[#This Row],[Dif. Insumo e OS]])&lt;=0.02,"ok ou um centavo","verificar")</f>
        <v>ok ou um centavo</v>
      </c>
    </row>
    <row r="332" spans="1:11" hidden="1" x14ac:dyDescent="0.25">
      <c r="A332" s="3" t="s">
        <v>390</v>
      </c>
      <c r="B332" s="3" t="s">
        <v>393</v>
      </c>
      <c r="C332" s="4">
        <v>30.23</v>
      </c>
      <c r="D332" s="4">
        <v>0</v>
      </c>
      <c r="E332" s="4">
        <v>0</v>
      </c>
      <c r="F332" s="4">
        <v>0</v>
      </c>
      <c r="G332" s="4">
        <v>0</v>
      </c>
      <c r="H332" s="4">
        <v>30.23</v>
      </c>
      <c r="I332" s="4">
        <f>SUM(Tabela1[[#This Row],[Mão-de-obra (custo médio)]:[Materiais de troca (custo médio)]])</f>
        <v>30.23</v>
      </c>
      <c r="J332" s="4">
        <f>Tabela1[[#This Row],[Custos da os]]-Tabela1[[#This Row],[Custo dos insumos]]</f>
        <v>0</v>
      </c>
      <c r="K332" s="4" t="str">
        <f>IF(ABS(Tabela1[[#This Row],[Dif. Insumo e OS]])&lt;=0.02,"ok ou um centavo","verificar")</f>
        <v>ok ou um centavo</v>
      </c>
    </row>
    <row r="333" spans="1:11" hidden="1" x14ac:dyDescent="0.25">
      <c r="A333" s="3" t="s">
        <v>390</v>
      </c>
      <c r="B333" s="3" t="s">
        <v>394</v>
      </c>
      <c r="C333" s="4">
        <v>1152.52</v>
      </c>
      <c r="D333" s="4">
        <v>0</v>
      </c>
      <c r="E333" s="4">
        <v>0</v>
      </c>
      <c r="F333" s="4">
        <v>0</v>
      </c>
      <c r="G333" s="4">
        <v>0</v>
      </c>
      <c r="H333" s="4">
        <v>1152.52</v>
      </c>
      <c r="I333" s="4">
        <f>SUM(Tabela1[[#This Row],[Mão-de-obra (custo médio)]:[Materiais de troca (custo médio)]])</f>
        <v>1152.52</v>
      </c>
      <c r="J333" s="4">
        <f>Tabela1[[#This Row],[Custos da os]]-Tabela1[[#This Row],[Custo dos insumos]]</f>
        <v>0</v>
      </c>
      <c r="K333" s="4" t="str">
        <f>IF(ABS(Tabela1[[#This Row],[Dif. Insumo e OS]])&lt;=0.02,"ok ou um centavo","verificar")</f>
        <v>ok ou um centavo</v>
      </c>
    </row>
    <row r="334" spans="1:11" hidden="1" x14ac:dyDescent="0.25">
      <c r="A334" s="3" t="s">
        <v>390</v>
      </c>
      <c r="B334" s="3" t="s">
        <v>395</v>
      </c>
      <c r="C334" s="4">
        <v>69.099999999999994</v>
      </c>
      <c r="D334" s="4">
        <v>8.36</v>
      </c>
      <c r="E334" s="4">
        <v>0</v>
      </c>
      <c r="F334" s="4">
        <v>0</v>
      </c>
      <c r="G334" s="4">
        <v>0</v>
      </c>
      <c r="H334" s="4">
        <v>60.74</v>
      </c>
      <c r="I334" s="4">
        <f>SUM(Tabela1[[#This Row],[Mão-de-obra (custo médio)]:[Materiais de troca (custo médio)]])</f>
        <v>69.099999999999994</v>
      </c>
      <c r="J334" s="4">
        <f>Tabela1[[#This Row],[Custos da os]]-Tabela1[[#This Row],[Custo dos insumos]]</f>
        <v>0</v>
      </c>
      <c r="K334" s="4" t="str">
        <f>IF(ABS(Tabela1[[#This Row],[Dif. Insumo e OS]])&lt;=0.02,"ok ou um centavo","verificar")</f>
        <v>ok ou um centavo</v>
      </c>
    </row>
    <row r="335" spans="1:11" hidden="1" x14ac:dyDescent="0.25">
      <c r="A335" s="3" t="s">
        <v>390</v>
      </c>
      <c r="B335" s="3" t="s">
        <v>396</v>
      </c>
      <c r="C335" s="4">
        <v>21.15</v>
      </c>
      <c r="D335" s="4">
        <v>18.02</v>
      </c>
      <c r="E335" s="4">
        <v>0</v>
      </c>
      <c r="F335" s="4">
        <v>0</v>
      </c>
      <c r="G335" s="4">
        <v>3.13</v>
      </c>
      <c r="H335" s="4">
        <v>0</v>
      </c>
      <c r="I335" s="4">
        <f>SUM(Tabela1[[#This Row],[Mão-de-obra (custo médio)]:[Materiais de troca (custo médio)]])</f>
        <v>21.15</v>
      </c>
      <c r="J335" s="4">
        <f>Tabela1[[#This Row],[Custos da os]]-Tabela1[[#This Row],[Custo dos insumos]]</f>
        <v>0</v>
      </c>
      <c r="K335" s="4" t="str">
        <f>IF(ABS(Tabela1[[#This Row],[Dif. Insumo e OS]])&lt;=0.02,"ok ou um centavo","verificar")</f>
        <v>ok ou um centavo</v>
      </c>
    </row>
    <row r="336" spans="1:11" hidden="1" x14ac:dyDescent="0.25">
      <c r="A336" s="3" t="s">
        <v>390</v>
      </c>
      <c r="B336" s="3" t="s">
        <v>397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f>SUM(Tabela1[[#This Row],[Mão-de-obra (custo médio)]:[Materiais de troca (custo médio)]])</f>
        <v>0</v>
      </c>
      <c r="J336" s="4">
        <f>Tabela1[[#This Row],[Custos da os]]-Tabela1[[#This Row],[Custo dos insumos]]</f>
        <v>0</v>
      </c>
      <c r="K336" s="4" t="str">
        <f>IF(ABS(Tabela1[[#This Row],[Dif. Insumo e OS]])&lt;=0.02,"ok ou um centavo","verificar")</f>
        <v>ok ou um centavo</v>
      </c>
    </row>
    <row r="337" spans="1:11" hidden="1" x14ac:dyDescent="0.25">
      <c r="A337" s="3" t="s">
        <v>390</v>
      </c>
      <c r="B337" s="3" t="s">
        <v>398</v>
      </c>
      <c r="C337" s="4">
        <v>711.81</v>
      </c>
      <c r="D337" s="4">
        <v>15.52</v>
      </c>
      <c r="E337" s="4">
        <v>0</v>
      </c>
      <c r="F337" s="4">
        <v>0</v>
      </c>
      <c r="G337" s="4">
        <v>696.29</v>
      </c>
      <c r="H337" s="4">
        <v>0</v>
      </c>
      <c r="I337" s="4">
        <f>SUM(Tabela1[[#This Row],[Mão-de-obra (custo médio)]:[Materiais de troca (custo médio)]])</f>
        <v>711.81</v>
      </c>
      <c r="J337" s="4">
        <f>Tabela1[[#This Row],[Custos da os]]-Tabela1[[#This Row],[Custo dos insumos]]</f>
        <v>0</v>
      </c>
      <c r="K337" s="4" t="str">
        <f>IF(ABS(Tabela1[[#This Row],[Dif. Insumo e OS]])&lt;=0.02,"ok ou um centavo","verificar")</f>
        <v>ok ou um centavo</v>
      </c>
    </row>
    <row r="338" spans="1:11" hidden="1" x14ac:dyDescent="0.25">
      <c r="A338" s="3" t="s">
        <v>390</v>
      </c>
      <c r="B338" s="3" t="s">
        <v>399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f>SUM(Tabela1[[#This Row],[Mão-de-obra (custo médio)]:[Materiais de troca (custo médio)]])</f>
        <v>0</v>
      </c>
      <c r="J338" s="4">
        <f>Tabela1[[#This Row],[Custos da os]]-Tabela1[[#This Row],[Custo dos insumos]]</f>
        <v>0</v>
      </c>
      <c r="K338" s="4" t="str">
        <f>IF(ABS(Tabela1[[#This Row],[Dif. Insumo e OS]])&lt;=0.02,"ok ou um centavo","verificar")</f>
        <v>ok ou um centavo</v>
      </c>
    </row>
    <row r="339" spans="1:11" hidden="1" x14ac:dyDescent="0.25">
      <c r="A339" s="3" t="s">
        <v>390</v>
      </c>
      <c r="B339" s="3" t="s">
        <v>400</v>
      </c>
      <c r="C339" s="4">
        <v>19.84</v>
      </c>
      <c r="D339" s="4">
        <v>19.84</v>
      </c>
      <c r="E339" s="4">
        <v>0</v>
      </c>
      <c r="F339" s="4">
        <v>0</v>
      </c>
      <c r="G339" s="4">
        <v>0</v>
      </c>
      <c r="H339" s="4">
        <v>0</v>
      </c>
      <c r="I339" s="4">
        <f>SUM(Tabela1[[#This Row],[Mão-de-obra (custo médio)]:[Materiais de troca (custo médio)]])</f>
        <v>19.84</v>
      </c>
      <c r="J339" s="4">
        <f>Tabela1[[#This Row],[Custos da os]]-Tabela1[[#This Row],[Custo dos insumos]]</f>
        <v>0</v>
      </c>
      <c r="K339" s="4" t="str">
        <f>IF(ABS(Tabela1[[#This Row],[Dif. Insumo e OS]])&lt;=0.02,"ok ou um centavo","verificar")</f>
        <v>ok ou um centavo</v>
      </c>
    </row>
    <row r="340" spans="1:11" hidden="1" x14ac:dyDescent="0.25">
      <c r="A340" s="3" t="s">
        <v>390</v>
      </c>
      <c r="B340" s="3" t="s">
        <v>401</v>
      </c>
      <c r="C340" s="4">
        <v>0.49</v>
      </c>
      <c r="D340" s="4">
        <v>0.49</v>
      </c>
      <c r="E340" s="4">
        <v>0</v>
      </c>
      <c r="F340" s="4">
        <v>0</v>
      </c>
      <c r="G340" s="4">
        <v>0</v>
      </c>
      <c r="H340" s="4">
        <v>0</v>
      </c>
      <c r="I340" s="4">
        <f>SUM(Tabela1[[#This Row],[Mão-de-obra (custo médio)]:[Materiais de troca (custo médio)]])</f>
        <v>0.49</v>
      </c>
      <c r="J340" s="4">
        <f>Tabela1[[#This Row],[Custos da os]]-Tabela1[[#This Row],[Custo dos insumos]]</f>
        <v>0</v>
      </c>
      <c r="K340" s="4" t="str">
        <f>IF(ABS(Tabela1[[#This Row],[Dif. Insumo e OS]])&lt;=0.02,"ok ou um centavo","verificar")</f>
        <v>ok ou um centavo</v>
      </c>
    </row>
    <row r="341" spans="1:11" hidden="1" x14ac:dyDescent="0.25">
      <c r="A341" s="3" t="s">
        <v>390</v>
      </c>
      <c r="B341" s="3" t="s">
        <v>402</v>
      </c>
      <c r="C341" s="4">
        <v>76.650000000000006</v>
      </c>
      <c r="D341" s="4">
        <v>47.3</v>
      </c>
      <c r="E341" s="4">
        <v>0</v>
      </c>
      <c r="F341" s="4">
        <v>0</v>
      </c>
      <c r="G341" s="4">
        <v>29.35</v>
      </c>
      <c r="H341" s="4">
        <v>0</v>
      </c>
      <c r="I341" s="4">
        <f>SUM(Tabela1[[#This Row],[Mão-de-obra (custo médio)]:[Materiais de troca (custo médio)]])</f>
        <v>76.650000000000006</v>
      </c>
      <c r="J341" s="4">
        <f>Tabela1[[#This Row],[Custos da os]]-Tabela1[[#This Row],[Custo dos insumos]]</f>
        <v>0</v>
      </c>
      <c r="K341" s="4" t="str">
        <f>IF(ABS(Tabela1[[#This Row],[Dif. Insumo e OS]])&lt;=0.02,"ok ou um centavo","verificar")</f>
        <v>ok ou um centavo</v>
      </c>
    </row>
    <row r="342" spans="1:11" hidden="1" x14ac:dyDescent="0.25">
      <c r="A342" s="3" t="s">
        <v>403</v>
      </c>
      <c r="B342" s="3" t="s">
        <v>404</v>
      </c>
      <c r="C342" s="4">
        <v>169.77</v>
      </c>
      <c r="D342" s="4">
        <v>25.04</v>
      </c>
      <c r="E342" s="4">
        <v>0</v>
      </c>
      <c r="F342" s="4">
        <v>0</v>
      </c>
      <c r="G342" s="4">
        <v>144.72</v>
      </c>
      <c r="H342" s="4">
        <v>0</v>
      </c>
      <c r="I342" s="4">
        <f>SUM(Tabela1[[#This Row],[Mão-de-obra (custo médio)]:[Materiais de troca (custo médio)]])</f>
        <v>169.76</v>
      </c>
      <c r="J342" s="4">
        <f>Tabela1[[#This Row],[Custos da os]]-Tabela1[[#This Row],[Custo dos insumos]]</f>
        <v>-1.0000000000019327E-2</v>
      </c>
      <c r="K342" s="4" t="str">
        <f>IF(ABS(Tabela1[[#This Row],[Dif. Insumo e OS]])&lt;=0.02,"ok ou um centavo","verificar")</f>
        <v>ok ou um centavo</v>
      </c>
    </row>
    <row r="343" spans="1:11" hidden="1" x14ac:dyDescent="0.25">
      <c r="A343" s="3" t="s">
        <v>403</v>
      </c>
      <c r="B343" s="3" t="s">
        <v>405</v>
      </c>
      <c r="C343" s="4">
        <v>127.35</v>
      </c>
      <c r="D343" s="4">
        <v>18.46</v>
      </c>
      <c r="E343" s="4">
        <v>0</v>
      </c>
      <c r="F343" s="4">
        <v>0</v>
      </c>
      <c r="G343" s="4">
        <v>0</v>
      </c>
      <c r="H343" s="4">
        <v>108.9</v>
      </c>
      <c r="I343" s="4">
        <f>SUM(Tabela1[[#This Row],[Mão-de-obra (custo médio)]:[Materiais de troca (custo médio)]])</f>
        <v>127.36000000000001</v>
      </c>
      <c r="J343" s="4">
        <f>Tabela1[[#This Row],[Custos da os]]-Tabela1[[#This Row],[Custo dos insumos]]</f>
        <v>1.0000000000019327E-2</v>
      </c>
      <c r="K343" s="4" t="str">
        <f>IF(ABS(Tabela1[[#This Row],[Dif. Insumo e OS]])&lt;=0.02,"ok ou um centavo","verificar")</f>
        <v>ok ou um centavo</v>
      </c>
    </row>
    <row r="344" spans="1:11" hidden="1" x14ac:dyDescent="0.25">
      <c r="A344" s="3" t="s">
        <v>403</v>
      </c>
      <c r="B344" s="3" t="s">
        <v>406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f>SUM(Tabela1[[#This Row],[Mão-de-obra (custo médio)]:[Materiais de troca (custo médio)]])</f>
        <v>0</v>
      </c>
      <c r="J344" s="4">
        <f>Tabela1[[#This Row],[Custos da os]]-Tabela1[[#This Row],[Custo dos insumos]]</f>
        <v>0</v>
      </c>
      <c r="K344" s="4" t="str">
        <f>IF(ABS(Tabela1[[#This Row],[Dif. Insumo e OS]])&lt;=0.02,"ok ou um centavo","verificar")</f>
        <v>ok ou um centavo</v>
      </c>
    </row>
    <row r="345" spans="1:11" hidden="1" x14ac:dyDescent="0.25">
      <c r="A345" s="3" t="s">
        <v>403</v>
      </c>
      <c r="B345" s="3" t="s">
        <v>407</v>
      </c>
      <c r="C345" s="4">
        <v>1.02</v>
      </c>
      <c r="D345" s="4">
        <v>1.02</v>
      </c>
      <c r="E345" s="4">
        <v>0</v>
      </c>
      <c r="F345" s="4">
        <v>0</v>
      </c>
      <c r="G345" s="4">
        <v>0</v>
      </c>
      <c r="H345" s="4">
        <v>0</v>
      </c>
      <c r="I345" s="4">
        <f>SUM(Tabela1[[#This Row],[Mão-de-obra (custo médio)]:[Materiais de troca (custo médio)]])</f>
        <v>1.02</v>
      </c>
      <c r="J345" s="4">
        <f>Tabela1[[#This Row],[Custos da os]]-Tabela1[[#This Row],[Custo dos insumos]]</f>
        <v>0</v>
      </c>
      <c r="K345" s="4" t="str">
        <f>IF(ABS(Tabela1[[#This Row],[Dif. Insumo e OS]])&lt;=0.02,"ok ou um centavo","verificar")</f>
        <v>ok ou um centavo</v>
      </c>
    </row>
    <row r="346" spans="1:11" hidden="1" x14ac:dyDescent="0.25">
      <c r="A346" s="3" t="s">
        <v>408</v>
      </c>
      <c r="B346" s="3" t="s">
        <v>409</v>
      </c>
      <c r="C346" s="4">
        <v>1043.6199999999999</v>
      </c>
      <c r="D346" s="4">
        <v>0</v>
      </c>
      <c r="E346" s="4">
        <v>0</v>
      </c>
      <c r="F346" s="4">
        <v>0</v>
      </c>
      <c r="G346" s="4">
        <v>1043.6199999999999</v>
      </c>
      <c r="H346" s="4">
        <v>0</v>
      </c>
      <c r="I346" s="4">
        <f>SUM(Tabela1[[#This Row],[Mão-de-obra (custo médio)]:[Materiais de troca (custo médio)]])</f>
        <v>1043.6199999999999</v>
      </c>
      <c r="J346" s="4">
        <f>Tabela1[[#This Row],[Custos da os]]-Tabela1[[#This Row],[Custo dos insumos]]</f>
        <v>0</v>
      </c>
      <c r="K346" s="4" t="str">
        <f>IF(ABS(Tabela1[[#This Row],[Dif. Insumo e OS]])&lt;=0.02,"ok ou um centavo","verificar")</f>
        <v>ok ou um centavo</v>
      </c>
    </row>
    <row r="347" spans="1:11" hidden="1" x14ac:dyDescent="0.25">
      <c r="A347" s="3" t="s">
        <v>408</v>
      </c>
      <c r="B347" s="3" t="s">
        <v>410</v>
      </c>
      <c r="C347" s="4">
        <v>1959.3</v>
      </c>
      <c r="D347" s="4">
        <v>0</v>
      </c>
      <c r="E347" s="4">
        <v>1959.3</v>
      </c>
      <c r="F347" s="4">
        <v>0</v>
      </c>
      <c r="G347" s="4">
        <v>0</v>
      </c>
      <c r="H347" s="4">
        <v>0</v>
      </c>
      <c r="I347" s="4">
        <f>SUM(Tabela1[[#This Row],[Mão-de-obra (custo médio)]:[Materiais de troca (custo médio)]])</f>
        <v>1959.3</v>
      </c>
      <c r="J347" s="4">
        <f>Tabela1[[#This Row],[Custos da os]]-Tabela1[[#This Row],[Custo dos insumos]]</f>
        <v>0</v>
      </c>
      <c r="K347" s="4" t="str">
        <f>IF(ABS(Tabela1[[#This Row],[Dif. Insumo e OS]])&lt;=0.02,"ok ou um centavo","verificar")</f>
        <v>ok ou um centavo</v>
      </c>
    </row>
    <row r="348" spans="1:11" hidden="1" x14ac:dyDescent="0.25">
      <c r="A348" s="3" t="s">
        <v>408</v>
      </c>
      <c r="B348" s="3" t="s">
        <v>411</v>
      </c>
      <c r="C348" s="4">
        <v>24.31</v>
      </c>
      <c r="D348" s="4">
        <v>24.3</v>
      </c>
      <c r="E348" s="4">
        <v>0</v>
      </c>
      <c r="F348" s="4">
        <v>0</v>
      </c>
      <c r="G348" s="4">
        <v>0</v>
      </c>
      <c r="H348" s="4">
        <v>0</v>
      </c>
      <c r="I348" s="4">
        <f>SUM(Tabela1[[#This Row],[Mão-de-obra (custo médio)]:[Materiais de troca (custo médio)]])</f>
        <v>24.3</v>
      </c>
      <c r="J348" s="4">
        <f>Tabela1[[#This Row],[Custos da os]]-Tabela1[[#This Row],[Custo dos insumos]]</f>
        <v>-9.9999999999980105E-3</v>
      </c>
      <c r="K348" s="4" t="str">
        <f>IF(ABS(Tabela1[[#This Row],[Dif. Insumo e OS]])&lt;=0.02,"ok ou um centavo","verificar")</f>
        <v>ok ou um centavo</v>
      </c>
    </row>
    <row r="349" spans="1:11" hidden="1" x14ac:dyDescent="0.25">
      <c r="A349" s="3" t="s">
        <v>412</v>
      </c>
      <c r="B349" s="3" t="s">
        <v>413</v>
      </c>
      <c r="C349" s="4">
        <v>181.5</v>
      </c>
      <c r="D349" s="4">
        <v>0</v>
      </c>
      <c r="E349" s="4">
        <v>181.5</v>
      </c>
      <c r="F349" s="4">
        <v>0</v>
      </c>
      <c r="G349" s="4">
        <v>0</v>
      </c>
      <c r="H349" s="4">
        <v>0</v>
      </c>
      <c r="I349" s="4">
        <f>SUM(Tabela1[[#This Row],[Mão-de-obra (custo médio)]:[Materiais de troca (custo médio)]])</f>
        <v>181.5</v>
      </c>
      <c r="J349" s="4">
        <f>Tabela1[[#This Row],[Custos da os]]-Tabela1[[#This Row],[Custo dos insumos]]</f>
        <v>0</v>
      </c>
      <c r="K349" s="4" t="str">
        <f>IF(ABS(Tabela1[[#This Row],[Dif. Insumo e OS]])&lt;=0.02,"ok ou um centavo","verificar")</f>
        <v>ok ou um centavo</v>
      </c>
    </row>
    <row r="350" spans="1:11" hidden="1" x14ac:dyDescent="0.25">
      <c r="A350" s="3" t="s">
        <v>412</v>
      </c>
      <c r="B350" s="3" t="s">
        <v>414</v>
      </c>
      <c r="C350" s="4">
        <v>447.1</v>
      </c>
      <c r="D350" s="4">
        <v>0</v>
      </c>
      <c r="E350" s="4">
        <v>442.86</v>
      </c>
      <c r="F350" s="4">
        <v>4.24</v>
      </c>
      <c r="G350" s="4">
        <v>0</v>
      </c>
      <c r="H350" s="4">
        <v>0</v>
      </c>
      <c r="I350" s="4">
        <f>SUM(Tabela1[[#This Row],[Mão-de-obra (custo médio)]:[Materiais de troca (custo médio)]])</f>
        <v>447.1</v>
      </c>
      <c r="J350" s="4">
        <f>Tabela1[[#This Row],[Custos da os]]-Tabela1[[#This Row],[Custo dos insumos]]</f>
        <v>0</v>
      </c>
      <c r="K350" s="4" t="str">
        <f>IF(ABS(Tabela1[[#This Row],[Dif. Insumo e OS]])&lt;=0.02,"ok ou um centavo","verificar")</f>
        <v>ok ou um centavo</v>
      </c>
    </row>
    <row r="351" spans="1:11" hidden="1" x14ac:dyDescent="0.25">
      <c r="A351" s="3" t="s">
        <v>412</v>
      </c>
      <c r="B351" s="3" t="s">
        <v>415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f>SUM(Tabela1[[#This Row],[Mão-de-obra (custo médio)]:[Materiais de troca (custo médio)]])</f>
        <v>0</v>
      </c>
      <c r="J351" s="4">
        <f>Tabela1[[#This Row],[Custos da os]]-Tabela1[[#This Row],[Custo dos insumos]]</f>
        <v>0</v>
      </c>
      <c r="K351" s="4" t="str">
        <f>IF(ABS(Tabela1[[#This Row],[Dif. Insumo e OS]])&lt;=0.02,"ok ou um centavo","verificar")</f>
        <v>ok ou um centavo</v>
      </c>
    </row>
    <row r="352" spans="1:11" hidden="1" x14ac:dyDescent="0.25">
      <c r="A352" s="3" t="s">
        <v>412</v>
      </c>
      <c r="B352" s="3" t="s">
        <v>416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f>SUM(Tabela1[[#This Row],[Mão-de-obra (custo médio)]:[Materiais de troca (custo médio)]])</f>
        <v>0</v>
      </c>
      <c r="J352" s="4">
        <f>Tabela1[[#This Row],[Custos da os]]-Tabela1[[#This Row],[Custo dos insumos]]</f>
        <v>0</v>
      </c>
      <c r="K352" s="4" t="str">
        <f>IF(ABS(Tabela1[[#This Row],[Dif. Insumo e OS]])&lt;=0.02,"ok ou um centavo","verificar")</f>
        <v>ok ou um centavo</v>
      </c>
    </row>
    <row r="353" spans="1:11" x14ac:dyDescent="0.25">
      <c r="A353" s="1" t="s">
        <v>335</v>
      </c>
      <c r="B353" s="1" t="s">
        <v>336</v>
      </c>
      <c r="C353" s="2">
        <v>2368.5700000000002</v>
      </c>
      <c r="D353" s="2">
        <v>6.85</v>
      </c>
      <c r="E353" s="2">
        <v>0</v>
      </c>
      <c r="F353" s="2">
        <v>0</v>
      </c>
      <c r="G353" s="2">
        <v>448.05</v>
      </c>
      <c r="H353" s="2">
        <v>2368.5700000000002</v>
      </c>
      <c r="I353" s="2">
        <f>SUM(Tabela1[[#This Row],[Mão-de-obra (custo médio)]:[Materiais de troca (custo médio)]])</f>
        <v>2823.4700000000003</v>
      </c>
      <c r="J353" s="2">
        <f>Tabela1[[#This Row],[Custos da os]]-Tabela1[[#This Row],[Custo dos insumos]]</f>
        <v>454.90000000000009</v>
      </c>
      <c r="K353" s="2" t="str">
        <f>IF(ABS(Tabela1[[#This Row],[Dif. Insumo e OS]])&lt;=0.02,"ok ou um centavo","verificar")</f>
        <v>verificar</v>
      </c>
    </row>
    <row r="354" spans="1:11" x14ac:dyDescent="0.25">
      <c r="A354" s="1" t="s">
        <v>257</v>
      </c>
      <c r="B354" s="1" t="s">
        <v>264</v>
      </c>
      <c r="C354" s="2">
        <v>62.41</v>
      </c>
      <c r="D354" s="2">
        <v>62.4</v>
      </c>
      <c r="E354" s="2">
        <v>0</v>
      </c>
      <c r="F354" s="2">
        <v>0</v>
      </c>
      <c r="G354" s="2">
        <v>0</v>
      </c>
      <c r="H354" s="2">
        <v>545.01</v>
      </c>
      <c r="I354" s="2">
        <f>SUM(Tabela1[[#This Row],[Mão-de-obra (custo médio)]:[Materiais de troca (custo médio)]])</f>
        <v>607.41</v>
      </c>
      <c r="J354" s="2">
        <f>Tabela1[[#This Row],[Custos da os]]-Tabela1[[#This Row],[Custo dos insumos]]</f>
        <v>545</v>
      </c>
      <c r="K354" s="2" t="str">
        <f>IF(ABS(Tabela1[[#This Row],[Dif. Insumo e OS]])&lt;=0.02,"ok ou um centavo","verificar")</f>
        <v>verificar</v>
      </c>
    </row>
    <row r="355" spans="1:11" hidden="1" x14ac:dyDescent="0.25">
      <c r="A355" s="3" t="s">
        <v>412</v>
      </c>
      <c r="B355" s="3" t="s">
        <v>419</v>
      </c>
      <c r="C355" s="4">
        <v>114.85</v>
      </c>
      <c r="D355" s="4">
        <v>10.87</v>
      </c>
      <c r="E355" s="4">
        <v>0</v>
      </c>
      <c r="F355" s="4">
        <v>0</v>
      </c>
      <c r="G355" s="4">
        <v>103.98</v>
      </c>
      <c r="H355" s="4">
        <v>0</v>
      </c>
      <c r="I355" s="4">
        <f>SUM(Tabela1[[#This Row],[Mão-de-obra (custo médio)]:[Materiais de troca (custo médio)]])</f>
        <v>114.85000000000001</v>
      </c>
      <c r="J355" s="4">
        <f>Tabela1[[#This Row],[Custos da os]]-Tabela1[[#This Row],[Custo dos insumos]]</f>
        <v>0</v>
      </c>
      <c r="K355" s="4" t="str">
        <f>IF(ABS(Tabela1[[#This Row],[Dif. Insumo e OS]])&lt;=0.02,"ok ou um centavo","verificar")</f>
        <v>ok ou um centavo</v>
      </c>
    </row>
    <row r="356" spans="1:11" hidden="1" x14ac:dyDescent="0.25">
      <c r="A356" s="3" t="s">
        <v>412</v>
      </c>
      <c r="B356" s="3" t="s">
        <v>420</v>
      </c>
      <c r="C356" s="4">
        <v>411.17</v>
      </c>
      <c r="D356" s="4">
        <v>72.680000000000007</v>
      </c>
      <c r="E356" s="4">
        <v>0</v>
      </c>
      <c r="F356" s="4">
        <v>0</v>
      </c>
      <c r="G356" s="4">
        <v>338.49</v>
      </c>
      <c r="H356" s="4">
        <v>0</v>
      </c>
      <c r="I356" s="4">
        <f>SUM(Tabela1[[#This Row],[Mão-de-obra (custo médio)]:[Materiais de troca (custo médio)]])</f>
        <v>411.17</v>
      </c>
      <c r="J356" s="4">
        <f>Tabela1[[#This Row],[Custos da os]]-Tabela1[[#This Row],[Custo dos insumos]]</f>
        <v>0</v>
      </c>
      <c r="K356" s="4" t="str">
        <f>IF(ABS(Tabela1[[#This Row],[Dif. Insumo e OS]])&lt;=0.02,"ok ou um centavo","verificar")</f>
        <v>ok ou um centavo</v>
      </c>
    </row>
    <row r="357" spans="1:11" x14ac:dyDescent="0.25">
      <c r="A357" s="1" t="s">
        <v>412</v>
      </c>
      <c r="B357" s="1" t="s">
        <v>421</v>
      </c>
      <c r="C357" s="2">
        <v>0</v>
      </c>
      <c r="D357" s="2">
        <v>0</v>
      </c>
      <c r="E357" s="2">
        <v>525.9</v>
      </c>
      <c r="F357" s="2">
        <v>35.25</v>
      </c>
      <c r="G357" s="2">
        <v>0</v>
      </c>
      <c r="H357" s="2">
        <v>0</v>
      </c>
      <c r="I357" s="2">
        <f>SUM(Tabela1[[#This Row],[Mão-de-obra (custo médio)]:[Materiais de troca (custo médio)]])</f>
        <v>561.15</v>
      </c>
      <c r="J357" s="2">
        <f>Tabela1[[#This Row],[Custos da os]]-Tabela1[[#This Row],[Custo dos insumos]]</f>
        <v>561.15</v>
      </c>
      <c r="K357" s="2" t="str">
        <f>IF(ABS(Tabela1[[#This Row],[Dif. Insumo e OS]])&lt;=0.02,"ok ou um centavo","verificar")</f>
        <v>verificar</v>
      </c>
    </row>
    <row r="358" spans="1:11" hidden="1" x14ac:dyDescent="0.25">
      <c r="A358" s="3" t="s">
        <v>422</v>
      </c>
      <c r="B358" s="3" t="s">
        <v>423</v>
      </c>
      <c r="C358" s="4">
        <v>70.72</v>
      </c>
      <c r="D358" s="4">
        <v>70.72</v>
      </c>
      <c r="E358" s="4">
        <v>0</v>
      </c>
      <c r="F358" s="4">
        <v>0</v>
      </c>
      <c r="G358" s="4">
        <v>0</v>
      </c>
      <c r="H358" s="4">
        <v>0</v>
      </c>
      <c r="I358" s="4">
        <f>SUM(Tabela1[[#This Row],[Mão-de-obra (custo médio)]:[Materiais de troca (custo médio)]])</f>
        <v>70.72</v>
      </c>
      <c r="J358" s="4">
        <f>Tabela1[[#This Row],[Custos da os]]-Tabela1[[#This Row],[Custo dos insumos]]</f>
        <v>0</v>
      </c>
      <c r="K358" s="4" t="str">
        <f>IF(ABS(Tabela1[[#This Row],[Dif. Insumo e OS]])&lt;=0.02,"ok ou um centavo","verificar")</f>
        <v>ok ou um centavo</v>
      </c>
    </row>
    <row r="359" spans="1:11" hidden="1" x14ac:dyDescent="0.25">
      <c r="A359" s="3" t="s">
        <v>422</v>
      </c>
      <c r="B359" s="3" t="s">
        <v>424</v>
      </c>
      <c r="C359" s="4">
        <v>0.85</v>
      </c>
      <c r="D359" s="4">
        <v>0.85</v>
      </c>
      <c r="E359" s="4">
        <v>0</v>
      </c>
      <c r="F359" s="4">
        <v>0</v>
      </c>
      <c r="G359" s="4">
        <v>0</v>
      </c>
      <c r="H359" s="4">
        <v>0</v>
      </c>
      <c r="I359" s="4">
        <f>SUM(Tabela1[[#This Row],[Mão-de-obra (custo médio)]:[Materiais de troca (custo médio)]])</f>
        <v>0.85</v>
      </c>
      <c r="J359" s="4">
        <f>Tabela1[[#This Row],[Custos da os]]-Tabela1[[#This Row],[Custo dos insumos]]</f>
        <v>0</v>
      </c>
      <c r="K359" s="4" t="str">
        <f>IF(ABS(Tabela1[[#This Row],[Dif. Insumo e OS]])&lt;=0.02,"ok ou um centavo","verificar")</f>
        <v>ok ou um centavo</v>
      </c>
    </row>
    <row r="360" spans="1:11" hidden="1" x14ac:dyDescent="0.25">
      <c r="A360" s="3" t="s">
        <v>422</v>
      </c>
      <c r="B360" s="3" t="s">
        <v>425</v>
      </c>
      <c r="C360" s="4">
        <v>433.07</v>
      </c>
      <c r="D360" s="4">
        <v>260.48</v>
      </c>
      <c r="E360" s="4">
        <v>0</v>
      </c>
      <c r="F360" s="4">
        <v>0</v>
      </c>
      <c r="G360" s="4">
        <v>0</v>
      </c>
      <c r="H360" s="4">
        <v>172.58</v>
      </c>
      <c r="I360" s="4">
        <f>SUM(Tabela1[[#This Row],[Mão-de-obra (custo médio)]:[Materiais de troca (custo médio)]])</f>
        <v>433.06000000000006</v>
      </c>
      <c r="J360" s="4">
        <f>Tabela1[[#This Row],[Custos da os]]-Tabela1[[#This Row],[Custo dos insumos]]</f>
        <v>-9.9999999999340616E-3</v>
      </c>
      <c r="K360" s="4" t="str">
        <f>IF(ABS(Tabela1[[#This Row],[Dif. Insumo e OS]])&lt;=0.02,"ok ou um centavo","verificar")</f>
        <v>ok ou um centavo</v>
      </c>
    </row>
    <row r="361" spans="1:11" x14ac:dyDescent="0.25">
      <c r="A361" s="1" t="s">
        <v>442</v>
      </c>
      <c r="B361" s="1" t="s">
        <v>449</v>
      </c>
      <c r="C361" s="2">
        <v>0</v>
      </c>
      <c r="D361" s="2">
        <v>0</v>
      </c>
      <c r="E361" s="2">
        <v>525.9</v>
      </c>
      <c r="F361" s="2">
        <v>35.25</v>
      </c>
      <c r="G361" s="2">
        <v>0</v>
      </c>
      <c r="H361" s="2">
        <v>0</v>
      </c>
      <c r="I361" s="2">
        <f>SUM(Tabela1[[#This Row],[Mão-de-obra (custo médio)]:[Materiais de troca (custo médio)]])</f>
        <v>561.15</v>
      </c>
      <c r="J361" s="2">
        <f>Tabela1[[#This Row],[Custos da os]]-Tabela1[[#This Row],[Custo dos insumos]]</f>
        <v>561.15</v>
      </c>
      <c r="K361" s="2" t="str">
        <f>IF(ABS(Tabela1[[#This Row],[Dif. Insumo e OS]])&lt;=0.02,"ok ou um centavo","verificar")</f>
        <v>verificar</v>
      </c>
    </row>
    <row r="362" spans="1:11" x14ac:dyDescent="0.25">
      <c r="A362" s="1" t="s">
        <v>422</v>
      </c>
      <c r="B362" s="1" t="s">
        <v>426</v>
      </c>
      <c r="C362" s="2">
        <v>0</v>
      </c>
      <c r="D362" s="2">
        <v>0</v>
      </c>
      <c r="E362" s="2">
        <v>553.57000000000005</v>
      </c>
      <c r="F362" s="2">
        <v>27.77</v>
      </c>
      <c r="G362" s="2">
        <v>0</v>
      </c>
      <c r="H362" s="2">
        <v>0</v>
      </c>
      <c r="I362" s="2">
        <f>SUM(Tabela1[[#This Row],[Mão-de-obra (custo médio)]:[Materiais de troca (custo médio)]])</f>
        <v>581.34</v>
      </c>
      <c r="J362" s="2">
        <f>Tabela1[[#This Row],[Custos da os]]-Tabela1[[#This Row],[Custo dos insumos]]</f>
        <v>581.34</v>
      </c>
      <c r="K362" s="2" t="str">
        <f>IF(ABS(Tabela1[[#This Row],[Dif. Insumo e OS]])&lt;=0.02,"ok ou um centavo","verificar")</f>
        <v>verificar</v>
      </c>
    </row>
    <row r="363" spans="1:11" hidden="1" x14ac:dyDescent="0.25">
      <c r="A363" s="3" t="s">
        <v>428</v>
      </c>
      <c r="B363" s="3" t="s">
        <v>429</v>
      </c>
      <c r="C363" s="4">
        <v>726</v>
      </c>
      <c r="D363" s="4">
        <v>0</v>
      </c>
      <c r="E363" s="4">
        <v>726</v>
      </c>
      <c r="F363" s="4">
        <v>0</v>
      </c>
      <c r="G363" s="4">
        <v>0</v>
      </c>
      <c r="H363" s="4">
        <v>0</v>
      </c>
      <c r="I363" s="4">
        <f>SUM(Tabela1[[#This Row],[Mão-de-obra (custo médio)]:[Materiais de troca (custo médio)]])</f>
        <v>726</v>
      </c>
      <c r="J363" s="4">
        <f>Tabela1[[#This Row],[Custos da os]]-Tabela1[[#This Row],[Custo dos insumos]]</f>
        <v>0</v>
      </c>
      <c r="K363" s="4" t="str">
        <f>IF(ABS(Tabela1[[#This Row],[Dif. Insumo e OS]])&lt;=0.02,"ok ou um centavo","verificar")</f>
        <v>ok ou um centavo</v>
      </c>
    </row>
    <row r="364" spans="1:11" hidden="1" x14ac:dyDescent="0.25">
      <c r="A364" s="3" t="s">
        <v>428</v>
      </c>
      <c r="B364" s="3" t="s">
        <v>430</v>
      </c>
      <c r="C364" s="4">
        <v>746.08</v>
      </c>
      <c r="D364" s="4">
        <v>6.47</v>
      </c>
      <c r="E364" s="4">
        <v>0</v>
      </c>
      <c r="F364" s="4">
        <v>0</v>
      </c>
      <c r="G364" s="4">
        <v>0</v>
      </c>
      <c r="H364" s="4">
        <v>739.61</v>
      </c>
      <c r="I364" s="4">
        <f>SUM(Tabela1[[#This Row],[Mão-de-obra (custo médio)]:[Materiais de troca (custo médio)]])</f>
        <v>746.08</v>
      </c>
      <c r="J364" s="4">
        <f>Tabela1[[#This Row],[Custos da os]]-Tabela1[[#This Row],[Custo dos insumos]]</f>
        <v>0</v>
      </c>
      <c r="K364" s="4" t="str">
        <f>IF(ABS(Tabela1[[#This Row],[Dif. Insumo e OS]])&lt;=0.02,"ok ou um centavo","verificar")</f>
        <v>ok ou um centavo</v>
      </c>
    </row>
    <row r="365" spans="1:11" hidden="1" x14ac:dyDescent="0.25">
      <c r="A365" s="3" t="s">
        <v>428</v>
      </c>
      <c r="B365" s="3" t="s">
        <v>431</v>
      </c>
      <c r="C365" s="4">
        <v>5.36</v>
      </c>
      <c r="D365" s="4">
        <v>5.36</v>
      </c>
      <c r="E365" s="4">
        <v>0</v>
      </c>
      <c r="F365" s="4">
        <v>0</v>
      </c>
      <c r="G365" s="4">
        <v>0</v>
      </c>
      <c r="H365" s="4">
        <v>0</v>
      </c>
      <c r="I365" s="4">
        <f>SUM(Tabela1[[#This Row],[Mão-de-obra (custo médio)]:[Materiais de troca (custo médio)]])</f>
        <v>5.36</v>
      </c>
      <c r="J365" s="4">
        <f>Tabela1[[#This Row],[Custos da os]]-Tabela1[[#This Row],[Custo dos insumos]]</f>
        <v>0</v>
      </c>
      <c r="K365" s="4" t="str">
        <f>IF(ABS(Tabela1[[#This Row],[Dif. Insumo e OS]])&lt;=0.02,"ok ou um centavo","verificar")</f>
        <v>ok ou um centavo</v>
      </c>
    </row>
    <row r="366" spans="1:11" hidden="1" x14ac:dyDescent="0.25">
      <c r="A366" s="3" t="s">
        <v>428</v>
      </c>
      <c r="B366" s="3" t="s">
        <v>432</v>
      </c>
      <c r="C366" s="4">
        <v>920.42</v>
      </c>
      <c r="D366" s="4">
        <v>0</v>
      </c>
      <c r="E366" s="4">
        <v>0</v>
      </c>
      <c r="F366" s="4">
        <v>0</v>
      </c>
      <c r="G366" s="4">
        <v>0</v>
      </c>
      <c r="H366" s="4">
        <v>920.42</v>
      </c>
      <c r="I366" s="4">
        <f>SUM(Tabela1[[#This Row],[Mão-de-obra (custo médio)]:[Materiais de troca (custo médio)]])</f>
        <v>920.42</v>
      </c>
      <c r="J366" s="4">
        <f>Tabela1[[#This Row],[Custos da os]]-Tabela1[[#This Row],[Custo dos insumos]]</f>
        <v>0</v>
      </c>
      <c r="K366" s="4" t="str">
        <f>IF(ABS(Tabela1[[#This Row],[Dif. Insumo e OS]])&lt;=0.02,"ok ou um centavo","verificar")</f>
        <v>ok ou um centavo</v>
      </c>
    </row>
    <row r="367" spans="1:11" hidden="1" x14ac:dyDescent="0.25">
      <c r="A367" s="3" t="s">
        <v>428</v>
      </c>
      <c r="B367" s="3" t="s">
        <v>433</v>
      </c>
      <c r="C367" s="4">
        <v>64</v>
      </c>
      <c r="D367" s="4">
        <v>0</v>
      </c>
      <c r="E367" s="4">
        <v>0</v>
      </c>
      <c r="F367" s="4">
        <v>0</v>
      </c>
      <c r="G367" s="4">
        <v>0</v>
      </c>
      <c r="H367" s="4">
        <v>64</v>
      </c>
      <c r="I367" s="4">
        <f>SUM(Tabela1[[#This Row],[Mão-de-obra (custo médio)]:[Materiais de troca (custo médio)]])</f>
        <v>64</v>
      </c>
      <c r="J367" s="4">
        <f>Tabela1[[#This Row],[Custos da os]]-Tabela1[[#This Row],[Custo dos insumos]]</f>
        <v>0</v>
      </c>
      <c r="K367" s="4" t="str">
        <f>IF(ABS(Tabela1[[#This Row],[Dif. Insumo e OS]])&lt;=0.02,"ok ou um centavo","verificar")</f>
        <v>ok ou um centavo</v>
      </c>
    </row>
    <row r="368" spans="1:11" hidden="1" x14ac:dyDescent="0.25">
      <c r="A368" s="3" t="s">
        <v>428</v>
      </c>
      <c r="B368" s="3" t="s">
        <v>434</v>
      </c>
      <c r="C368" s="4">
        <v>4.8600000000000003</v>
      </c>
      <c r="D368" s="4">
        <v>4.8600000000000003</v>
      </c>
      <c r="E368" s="4">
        <v>0</v>
      </c>
      <c r="F368" s="4">
        <v>0</v>
      </c>
      <c r="G368" s="4">
        <v>0</v>
      </c>
      <c r="H368" s="4">
        <v>0</v>
      </c>
      <c r="I368" s="4">
        <f>SUM(Tabela1[[#This Row],[Mão-de-obra (custo médio)]:[Materiais de troca (custo médio)]])</f>
        <v>4.8600000000000003</v>
      </c>
      <c r="J368" s="4">
        <f>Tabela1[[#This Row],[Custos da os]]-Tabela1[[#This Row],[Custo dos insumos]]</f>
        <v>0</v>
      </c>
      <c r="K368" s="4" t="str">
        <f>IF(ABS(Tabela1[[#This Row],[Dif. Insumo e OS]])&lt;=0.02,"ok ou um centavo","verificar")</f>
        <v>ok ou um centavo</v>
      </c>
    </row>
    <row r="369" spans="1:11" hidden="1" x14ac:dyDescent="0.25">
      <c r="A369" s="3" t="s">
        <v>428</v>
      </c>
      <c r="B369" s="3" t="s">
        <v>435</v>
      </c>
      <c r="C369" s="4">
        <v>0.46</v>
      </c>
      <c r="D369" s="4">
        <v>0.46</v>
      </c>
      <c r="E369" s="4">
        <v>0</v>
      </c>
      <c r="F369" s="4">
        <v>0</v>
      </c>
      <c r="G369" s="4">
        <v>0</v>
      </c>
      <c r="H369" s="4">
        <v>0</v>
      </c>
      <c r="I369" s="4">
        <f>SUM(Tabela1[[#This Row],[Mão-de-obra (custo médio)]:[Materiais de troca (custo médio)]])</f>
        <v>0.46</v>
      </c>
      <c r="J369" s="4">
        <f>Tabela1[[#This Row],[Custos da os]]-Tabela1[[#This Row],[Custo dos insumos]]</f>
        <v>0</v>
      </c>
      <c r="K369" s="4" t="str">
        <f>IF(ABS(Tabela1[[#This Row],[Dif. Insumo e OS]])&lt;=0.02,"ok ou um centavo","verificar")</f>
        <v>ok ou um centavo</v>
      </c>
    </row>
    <row r="370" spans="1:11" x14ac:dyDescent="0.25">
      <c r="A370" s="1" t="s">
        <v>450</v>
      </c>
      <c r="B370" s="1" t="s">
        <v>454</v>
      </c>
      <c r="C370" s="2">
        <v>0</v>
      </c>
      <c r="D370" s="2">
        <v>0</v>
      </c>
      <c r="E370" s="2">
        <v>553.57000000000005</v>
      </c>
      <c r="F370" s="2">
        <v>35.25</v>
      </c>
      <c r="G370" s="2">
        <v>0</v>
      </c>
      <c r="H370" s="2">
        <v>0</v>
      </c>
      <c r="I370" s="2">
        <f>SUM(Tabela1[[#This Row],[Mão-de-obra (custo médio)]:[Materiais de troca (custo médio)]])</f>
        <v>588.82000000000005</v>
      </c>
      <c r="J370" s="2">
        <f>Tabela1[[#This Row],[Custos da os]]-Tabela1[[#This Row],[Custo dos insumos]]</f>
        <v>588.82000000000005</v>
      </c>
      <c r="K370" s="2" t="str">
        <f>IF(ABS(Tabela1[[#This Row],[Dif. Insumo e OS]])&lt;=0.02,"ok ou um centavo","verificar")</f>
        <v>verificar</v>
      </c>
    </row>
    <row r="371" spans="1:11" hidden="1" x14ac:dyDescent="0.25">
      <c r="A371" s="3" t="s">
        <v>437</v>
      </c>
      <c r="B371" s="3" t="s">
        <v>438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f>SUM(Tabela1[[#This Row],[Mão-de-obra (custo médio)]:[Materiais de troca (custo médio)]])</f>
        <v>0</v>
      </c>
      <c r="J371" s="4">
        <f>Tabela1[[#This Row],[Custos da os]]-Tabela1[[#This Row],[Custo dos insumos]]</f>
        <v>0</v>
      </c>
      <c r="K371" s="4" t="str">
        <f>IF(ABS(Tabela1[[#This Row],[Dif. Insumo e OS]])&lt;=0.02,"ok ou um centavo","verificar")</f>
        <v>ok ou um centavo</v>
      </c>
    </row>
    <row r="372" spans="1:11" x14ac:dyDescent="0.25">
      <c r="A372" s="1" t="s">
        <v>133</v>
      </c>
      <c r="B372" s="1" t="s">
        <v>136</v>
      </c>
      <c r="C372" s="2">
        <v>0</v>
      </c>
      <c r="D372" s="2">
        <v>0</v>
      </c>
      <c r="E372" s="2">
        <v>490.05</v>
      </c>
      <c r="F372" s="2">
        <v>177.87</v>
      </c>
      <c r="G372" s="2">
        <v>0</v>
      </c>
      <c r="H372" s="2">
        <v>0</v>
      </c>
      <c r="I372" s="2">
        <f>SUM(Tabela1[[#This Row],[Mão-de-obra (custo médio)]:[Materiais de troca (custo médio)]])</f>
        <v>667.92000000000007</v>
      </c>
      <c r="J372" s="2">
        <f>Tabela1[[#This Row],[Custos da os]]-Tabela1[[#This Row],[Custo dos insumos]]</f>
        <v>667.92000000000007</v>
      </c>
      <c r="K372" s="2" t="str">
        <f>IF(ABS(Tabela1[[#This Row],[Dif. Insumo e OS]])&lt;=0.02,"ok ou um centavo","verificar")</f>
        <v>verificar</v>
      </c>
    </row>
    <row r="373" spans="1:11" hidden="1" x14ac:dyDescent="0.25">
      <c r="A373" s="3" t="s">
        <v>437</v>
      </c>
      <c r="B373" s="3" t="s">
        <v>440</v>
      </c>
      <c r="C373" s="4">
        <v>64</v>
      </c>
      <c r="D373" s="4">
        <v>0</v>
      </c>
      <c r="E373" s="4">
        <v>0</v>
      </c>
      <c r="F373" s="4">
        <v>0</v>
      </c>
      <c r="G373" s="4">
        <v>0</v>
      </c>
      <c r="H373" s="4">
        <v>64</v>
      </c>
      <c r="I373" s="4">
        <f>SUM(Tabela1[[#This Row],[Mão-de-obra (custo médio)]:[Materiais de troca (custo médio)]])</f>
        <v>64</v>
      </c>
      <c r="J373" s="4">
        <f>Tabela1[[#This Row],[Custos da os]]-Tabela1[[#This Row],[Custo dos insumos]]</f>
        <v>0</v>
      </c>
      <c r="K373" s="4" t="str">
        <f>IF(ABS(Tabela1[[#This Row],[Dif. Insumo e OS]])&lt;=0.02,"ok ou um centavo","verificar")</f>
        <v>ok ou um centavo</v>
      </c>
    </row>
    <row r="374" spans="1:11" hidden="1" x14ac:dyDescent="0.25">
      <c r="A374" s="3" t="s">
        <v>437</v>
      </c>
      <c r="B374" s="3" t="s">
        <v>441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f>SUM(Tabela1[[#This Row],[Mão-de-obra (custo médio)]:[Materiais de troca (custo médio)]])</f>
        <v>0</v>
      </c>
      <c r="J374" s="4">
        <f>Tabela1[[#This Row],[Custos da os]]-Tabela1[[#This Row],[Custo dos insumos]]</f>
        <v>0</v>
      </c>
      <c r="K374" s="4" t="str">
        <f>IF(ABS(Tabela1[[#This Row],[Dif. Insumo e OS]])&lt;=0.02,"ok ou um centavo","verificar")</f>
        <v>ok ou um centavo</v>
      </c>
    </row>
    <row r="375" spans="1:11" hidden="1" x14ac:dyDescent="0.25">
      <c r="A375" s="3" t="s">
        <v>442</v>
      </c>
      <c r="B375" s="3" t="s">
        <v>443</v>
      </c>
      <c r="C375" s="4">
        <v>1392.95</v>
      </c>
      <c r="D375" s="4">
        <v>13.55</v>
      </c>
      <c r="E375" s="4">
        <v>0</v>
      </c>
      <c r="F375" s="4">
        <v>0</v>
      </c>
      <c r="G375" s="4">
        <v>0</v>
      </c>
      <c r="H375" s="4">
        <v>1379.4</v>
      </c>
      <c r="I375" s="4">
        <f>SUM(Tabela1[[#This Row],[Mão-de-obra (custo médio)]:[Materiais de troca (custo médio)]])</f>
        <v>1392.95</v>
      </c>
      <c r="J375" s="4">
        <f>Tabela1[[#This Row],[Custos da os]]-Tabela1[[#This Row],[Custo dos insumos]]</f>
        <v>0</v>
      </c>
      <c r="K375" s="4" t="str">
        <f>IF(ABS(Tabela1[[#This Row],[Dif. Insumo e OS]])&lt;=0.02,"ok ou um centavo","verificar")</f>
        <v>ok ou um centavo</v>
      </c>
    </row>
    <row r="376" spans="1:11" x14ac:dyDescent="0.25">
      <c r="A376" s="1" t="s">
        <v>340</v>
      </c>
      <c r="B376" s="1" t="s">
        <v>341</v>
      </c>
      <c r="C376" s="2">
        <v>15.28</v>
      </c>
      <c r="D376" s="2">
        <v>0</v>
      </c>
      <c r="E376" s="2">
        <v>0</v>
      </c>
      <c r="F376" s="2">
        <v>15.28</v>
      </c>
      <c r="G376" s="2">
        <v>0</v>
      </c>
      <c r="H376" s="2">
        <v>914.82</v>
      </c>
      <c r="I376" s="2">
        <f>SUM(Tabela1[[#This Row],[Mão-de-obra (custo médio)]:[Materiais de troca (custo médio)]])</f>
        <v>930.1</v>
      </c>
      <c r="J376" s="2">
        <f>Tabela1[[#This Row],[Custos da os]]-Tabela1[[#This Row],[Custo dos insumos]]</f>
        <v>914.82</v>
      </c>
      <c r="K376" s="2" t="str">
        <f>IF(ABS(Tabela1[[#This Row],[Dif. Insumo e OS]])&lt;=0.02,"ok ou um centavo","verificar")</f>
        <v>verificar</v>
      </c>
    </row>
    <row r="377" spans="1:11" hidden="1" x14ac:dyDescent="0.25">
      <c r="A377" s="3" t="s">
        <v>442</v>
      </c>
      <c r="B377" s="3" t="s">
        <v>445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f>SUM(Tabela1[[#This Row],[Mão-de-obra (custo médio)]:[Materiais de troca (custo médio)]])</f>
        <v>0</v>
      </c>
      <c r="J377" s="4">
        <f>Tabela1[[#This Row],[Custos da os]]-Tabela1[[#This Row],[Custo dos insumos]]</f>
        <v>0</v>
      </c>
      <c r="K377" s="4" t="str">
        <f>IF(ABS(Tabela1[[#This Row],[Dif. Insumo e OS]])&lt;=0.02,"ok ou um centavo","verificar")</f>
        <v>ok ou um centavo</v>
      </c>
    </row>
    <row r="378" spans="1:11" x14ac:dyDescent="0.25">
      <c r="A378" s="1" t="s">
        <v>87</v>
      </c>
      <c r="B378" s="1" t="s">
        <v>89</v>
      </c>
      <c r="C378" s="2">
        <v>1927.05</v>
      </c>
      <c r="D378" s="2">
        <v>0</v>
      </c>
      <c r="E378" s="2">
        <v>0</v>
      </c>
      <c r="F378" s="2">
        <v>0</v>
      </c>
      <c r="G378" s="2">
        <v>2850.36</v>
      </c>
      <c r="H378" s="2">
        <v>0.2</v>
      </c>
      <c r="I378" s="2">
        <f>SUM(Tabela1[[#This Row],[Mão-de-obra (custo médio)]:[Materiais de troca (custo médio)]])</f>
        <v>2850.56</v>
      </c>
      <c r="J378" s="2">
        <f>Tabela1[[#This Row],[Custos da os]]-Tabela1[[#This Row],[Custo dos insumos]]</f>
        <v>923.51</v>
      </c>
      <c r="K378" s="2" t="str">
        <f>IF(ABS(Tabela1[[#This Row],[Dif. Insumo e OS]])&lt;=0.02,"ok ou um centavo","verificar")</f>
        <v>verificar</v>
      </c>
    </row>
    <row r="379" spans="1:11" hidden="1" x14ac:dyDescent="0.25">
      <c r="A379" s="3" t="s">
        <v>442</v>
      </c>
      <c r="B379" s="3" t="s">
        <v>447</v>
      </c>
      <c r="C379" s="4">
        <v>98.31</v>
      </c>
      <c r="D379" s="4">
        <v>14.18</v>
      </c>
      <c r="E379" s="4">
        <v>0</v>
      </c>
      <c r="F379" s="4">
        <v>0</v>
      </c>
      <c r="G379" s="4">
        <v>84.13</v>
      </c>
      <c r="H379" s="4">
        <v>0</v>
      </c>
      <c r="I379" s="4">
        <f>SUM(Tabela1[[#This Row],[Mão-de-obra (custo médio)]:[Materiais de troca (custo médio)]])</f>
        <v>98.31</v>
      </c>
      <c r="J379" s="4">
        <f>Tabela1[[#This Row],[Custos da os]]-Tabela1[[#This Row],[Custo dos insumos]]</f>
        <v>0</v>
      </c>
      <c r="K379" s="4" t="str">
        <f>IF(ABS(Tabela1[[#This Row],[Dif. Insumo e OS]])&lt;=0.02,"ok ou um centavo","verificar")</f>
        <v>ok ou um centavo</v>
      </c>
    </row>
    <row r="380" spans="1:11" hidden="1" x14ac:dyDescent="0.25">
      <c r="A380" s="3" t="s">
        <v>442</v>
      </c>
      <c r="B380" s="3" t="s">
        <v>448</v>
      </c>
      <c r="C380" s="4">
        <v>1.64</v>
      </c>
      <c r="D380" s="4">
        <v>1.64</v>
      </c>
      <c r="E380" s="4">
        <v>0</v>
      </c>
      <c r="F380" s="4">
        <v>0</v>
      </c>
      <c r="G380" s="4">
        <v>0</v>
      </c>
      <c r="H380" s="4">
        <v>0</v>
      </c>
      <c r="I380" s="4">
        <f>SUM(Tabela1[[#This Row],[Mão-de-obra (custo médio)]:[Materiais de troca (custo médio)]])</f>
        <v>1.64</v>
      </c>
      <c r="J380" s="4">
        <f>Tabela1[[#This Row],[Custos da os]]-Tabela1[[#This Row],[Custo dos insumos]]</f>
        <v>0</v>
      </c>
      <c r="K380" s="4" t="str">
        <f>IF(ABS(Tabela1[[#This Row],[Dif. Insumo e OS]])&lt;=0.02,"ok ou um centavo","verificar")</f>
        <v>ok ou um centavo</v>
      </c>
    </row>
    <row r="381" spans="1:11" x14ac:dyDescent="0.25">
      <c r="A381" s="1" t="s">
        <v>54</v>
      </c>
      <c r="B381" s="1" t="s">
        <v>65</v>
      </c>
      <c r="C381" s="2">
        <v>0</v>
      </c>
      <c r="D381" s="2">
        <v>0</v>
      </c>
      <c r="E381" s="2">
        <v>490.05</v>
      </c>
      <c r="F381" s="2">
        <v>744.15</v>
      </c>
      <c r="G381" s="2">
        <v>0</v>
      </c>
      <c r="H381" s="2">
        <v>0</v>
      </c>
      <c r="I381" s="2">
        <f>SUM(Tabela1[[#This Row],[Mão-de-obra (custo médio)]:[Materiais de troca (custo médio)]])</f>
        <v>1234.2</v>
      </c>
      <c r="J381" s="2">
        <f>Tabela1[[#This Row],[Custos da os]]-Tabela1[[#This Row],[Custo dos insumos]]</f>
        <v>1234.2</v>
      </c>
      <c r="K381" s="2" t="str">
        <f>IF(ABS(Tabela1[[#This Row],[Dif. Insumo e OS]])&lt;=0.02,"ok ou um centavo","verificar")</f>
        <v>verificar</v>
      </c>
    </row>
    <row r="382" spans="1:11" hidden="1" x14ac:dyDescent="0.25">
      <c r="A382" s="3" t="s">
        <v>450</v>
      </c>
      <c r="B382" s="3" t="s">
        <v>451</v>
      </c>
      <c r="C382" s="4">
        <v>666.01</v>
      </c>
      <c r="D382" s="4">
        <v>0.22</v>
      </c>
      <c r="E382" s="4">
        <v>0</v>
      </c>
      <c r="F382" s="4">
        <v>0</v>
      </c>
      <c r="G382" s="4">
        <v>0</v>
      </c>
      <c r="H382" s="4">
        <v>665.79</v>
      </c>
      <c r="I382" s="4">
        <f>SUM(Tabela1[[#This Row],[Mão-de-obra (custo médio)]:[Materiais de troca (custo médio)]])</f>
        <v>666.01</v>
      </c>
      <c r="J382" s="4">
        <f>Tabela1[[#This Row],[Custos da os]]-Tabela1[[#This Row],[Custo dos insumos]]</f>
        <v>0</v>
      </c>
      <c r="K382" s="4" t="str">
        <f>IF(ABS(Tabela1[[#This Row],[Dif. Insumo e OS]])&lt;=0.02,"ok ou um centavo","verificar")</f>
        <v>ok ou um centavo</v>
      </c>
    </row>
    <row r="383" spans="1:11" hidden="1" x14ac:dyDescent="0.25">
      <c r="A383" s="3" t="s">
        <v>450</v>
      </c>
      <c r="B383" s="3" t="s">
        <v>452</v>
      </c>
      <c r="C383" s="4">
        <v>233.25</v>
      </c>
      <c r="D383" s="4">
        <v>6.38</v>
      </c>
      <c r="E383" s="4">
        <v>0</v>
      </c>
      <c r="F383" s="4">
        <v>0</v>
      </c>
      <c r="G383" s="4">
        <v>0</v>
      </c>
      <c r="H383" s="4">
        <v>226.87</v>
      </c>
      <c r="I383" s="4">
        <f>SUM(Tabela1[[#This Row],[Mão-de-obra (custo médio)]:[Materiais de troca (custo médio)]])</f>
        <v>233.25</v>
      </c>
      <c r="J383" s="4">
        <f>Tabela1[[#This Row],[Custos da os]]-Tabela1[[#This Row],[Custo dos insumos]]</f>
        <v>0</v>
      </c>
      <c r="K383" s="4" t="str">
        <f>IF(ABS(Tabela1[[#This Row],[Dif. Insumo e OS]])&lt;=0.02,"ok ou um centavo","verificar")</f>
        <v>ok ou um centavo</v>
      </c>
    </row>
    <row r="384" spans="1:11" hidden="1" x14ac:dyDescent="0.25">
      <c r="A384" s="3" t="s">
        <v>450</v>
      </c>
      <c r="B384" s="3" t="s">
        <v>453</v>
      </c>
      <c r="C384" s="4">
        <v>0.46</v>
      </c>
      <c r="D384" s="4">
        <v>0.46</v>
      </c>
      <c r="E384" s="4">
        <v>0</v>
      </c>
      <c r="F384" s="4">
        <v>0</v>
      </c>
      <c r="G384" s="4">
        <v>0</v>
      </c>
      <c r="H384" s="4">
        <v>0</v>
      </c>
      <c r="I384" s="4">
        <f>SUM(Tabela1[[#This Row],[Mão-de-obra (custo médio)]:[Materiais de troca (custo médio)]])</f>
        <v>0.46</v>
      </c>
      <c r="J384" s="4">
        <f>Tabela1[[#This Row],[Custos da os]]-Tabela1[[#This Row],[Custo dos insumos]]</f>
        <v>0</v>
      </c>
      <c r="K384" s="4" t="str">
        <f>IF(ABS(Tabela1[[#This Row],[Dif. Insumo e OS]])&lt;=0.02,"ok ou um centavo","verificar")</f>
        <v>ok ou um centavo</v>
      </c>
    </row>
    <row r="385" spans="1:11" x14ac:dyDescent="0.25">
      <c r="A385" s="1" t="s">
        <v>28</v>
      </c>
      <c r="B385" s="1" t="s">
        <v>33</v>
      </c>
      <c r="C385" s="2">
        <v>0</v>
      </c>
      <c r="D385" s="2">
        <v>0</v>
      </c>
      <c r="E385" s="2">
        <v>1532.41</v>
      </c>
      <c r="F385" s="2">
        <v>112.53</v>
      </c>
      <c r="G385" s="2">
        <v>0</v>
      </c>
      <c r="H385" s="2">
        <v>0</v>
      </c>
      <c r="I385" s="2">
        <f>SUM(Tabela1[[#This Row],[Mão-de-obra (custo médio)]:[Materiais de troca (custo médio)]])</f>
        <v>1644.94</v>
      </c>
      <c r="J385" s="2">
        <f>Tabela1[[#This Row],[Custos da os]]-Tabela1[[#This Row],[Custo dos insumos]]</f>
        <v>1644.94</v>
      </c>
      <c r="K385" s="2" t="str">
        <f>IF(ABS(Tabela1[[#This Row],[Dif. Insumo e OS]])&lt;=0.02,"ok ou um centavo","verificar")</f>
        <v>verificar</v>
      </c>
    </row>
    <row r="386" spans="1:11" hidden="1" x14ac:dyDescent="0.25">
      <c r="A386" s="3" t="s">
        <v>455</v>
      </c>
      <c r="B386" s="3" t="s">
        <v>456</v>
      </c>
      <c r="C386" s="4">
        <v>0.22</v>
      </c>
      <c r="D386" s="4">
        <v>0.22</v>
      </c>
      <c r="E386" s="4">
        <v>0</v>
      </c>
      <c r="F386" s="4">
        <v>0</v>
      </c>
      <c r="G386" s="4">
        <v>0</v>
      </c>
      <c r="H386" s="4">
        <v>0</v>
      </c>
      <c r="I386" s="4">
        <f>SUM(Tabela1[[#This Row],[Mão-de-obra (custo médio)]:[Materiais de troca (custo médio)]])</f>
        <v>0.22</v>
      </c>
      <c r="J386" s="4">
        <f>Tabela1[[#This Row],[Custos da os]]-Tabela1[[#This Row],[Custo dos insumos]]</f>
        <v>0</v>
      </c>
      <c r="K386" s="4" t="str">
        <f>IF(ABS(Tabela1[[#This Row],[Dif. Insumo e OS]])&lt;=0.02,"ok ou um centavo","verificar")</f>
        <v>ok ou um centavo</v>
      </c>
    </row>
    <row r="387" spans="1:11" hidden="1" x14ac:dyDescent="0.25">
      <c r="A387" s="3" t="s">
        <v>455</v>
      </c>
      <c r="B387" s="3" t="s">
        <v>457</v>
      </c>
      <c r="C387" s="4">
        <v>31.38</v>
      </c>
      <c r="D387" s="4">
        <v>5.0599999999999996</v>
      </c>
      <c r="E387" s="4">
        <v>0</v>
      </c>
      <c r="F387" s="4">
        <v>0</v>
      </c>
      <c r="G387" s="4">
        <v>26.32</v>
      </c>
      <c r="H387" s="4">
        <v>0</v>
      </c>
      <c r="I387" s="4">
        <f>SUM(Tabela1[[#This Row],[Mão-de-obra (custo médio)]:[Materiais de troca (custo médio)]])</f>
        <v>31.38</v>
      </c>
      <c r="J387" s="4">
        <f>Tabela1[[#This Row],[Custos da os]]-Tabela1[[#This Row],[Custo dos insumos]]</f>
        <v>0</v>
      </c>
      <c r="K387" s="4" t="str">
        <f>IF(ABS(Tabela1[[#This Row],[Dif. Insumo e OS]])&lt;=0.02,"ok ou um centavo","verificar")</f>
        <v>ok ou um centavo</v>
      </c>
    </row>
    <row r="388" spans="1:11" hidden="1" x14ac:dyDescent="0.25">
      <c r="A388" s="3" t="s">
        <v>455</v>
      </c>
      <c r="B388" s="3" t="s">
        <v>458</v>
      </c>
      <c r="C388" s="4">
        <v>0.11</v>
      </c>
      <c r="D388" s="4">
        <v>0.11</v>
      </c>
      <c r="E388" s="4">
        <v>0</v>
      </c>
      <c r="F388" s="4">
        <v>0</v>
      </c>
      <c r="G388" s="4">
        <v>0</v>
      </c>
      <c r="H388" s="4">
        <v>0</v>
      </c>
      <c r="I388" s="4">
        <f>SUM(Tabela1[[#This Row],[Mão-de-obra (custo médio)]:[Materiais de troca (custo médio)]])</f>
        <v>0.11</v>
      </c>
      <c r="J388" s="4">
        <f>Tabela1[[#This Row],[Custos da os]]-Tabela1[[#This Row],[Custo dos insumos]]</f>
        <v>0</v>
      </c>
      <c r="K388" s="4" t="str">
        <f>IF(ABS(Tabela1[[#This Row],[Dif. Insumo e OS]])&lt;=0.02,"ok ou um centavo","verificar")</f>
        <v>ok ou um centavo</v>
      </c>
    </row>
    <row r="389" spans="1:11" hidden="1" x14ac:dyDescent="0.25">
      <c r="A389" s="3" t="s">
        <v>459</v>
      </c>
      <c r="B389" s="3" t="s">
        <v>460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f>SUM(Tabela1[[#This Row],[Mão-de-obra (custo médio)]:[Materiais de troca (custo médio)]])</f>
        <v>0</v>
      </c>
      <c r="J389" s="4">
        <f>Tabela1[[#This Row],[Custos da os]]-Tabela1[[#This Row],[Custo dos insumos]]</f>
        <v>0</v>
      </c>
      <c r="K389" s="4" t="str">
        <f>IF(ABS(Tabela1[[#This Row],[Dif. Insumo e OS]])&lt;=0.02,"ok ou um centavo","verificar")</f>
        <v>ok ou um centavo</v>
      </c>
    </row>
    <row r="390" spans="1:11" hidden="1" x14ac:dyDescent="0.25">
      <c r="A390" s="3" t="s">
        <v>459</v>
      </c>
      <c r="B390" s="3" t="s">
        <v>461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f>SUM(Tabela1[[#This Row],[Mão-de-obra (custo médio)]:[Materiais de troca (custo médio)]])</f>
        <v>0</v>
      </c>
      <c r="J390" s="4">
        <f>Tabela1[[#This Row],[Custos da os]]-Tabela1[[#This Row],[Custo dos insumos]]</f>
        <v>0</v>
      </c>
      <c r="K390" s="4" t="str">
        <f>IF(ABS(Tabela1[[#This Row],[Dif. Insumo e OS]])&lt;=0.02,"ok ou um centavo","verificar")</f>
        <v>ok ou um centavo</v>
      </c>
    </row>
    <row r="391" spans="1:11" hidden="1" x14ac:dyDescent="0.25">
      <c r="A391" s="3" t="s">
        <v>459</v>
      </c>
      <c r="B391" s="3" t="s">
        <v>462</v>
      </c>
      <c r="C391" s="4">
        <v>15.7</v>
      </c>
      <c r="D391" s="4">
        <v>15.7</v>
      </c>
      <c r="E391" s="4">
        <v>0</v>
      </c>
      <c r="F391" s="4">
        <v>0</v>
      </c>
      <c r="G391" s="4">
        <v>0</v>
      </c>
      <c r="H391" s="4">
        <v>0</v>
      </c>
      <c r="I391" s="4">
        <f>SUM(Tabela1[[#This Row],[Mão-de-obra (custo médio)]:[Materiais de troca (custo médio)]])</f>
        <v>15.7</v>
      </c>
      <c r="J391" s="4">
        <f>Tabela1[[#This Row],[Custos da os]]-Tabela1[[#This Row],[Custo dos insumos]]</f>
        <v>0</v>
      </c>
      <c r="K391" s="4" t="str">
        <f>IF(ABS(Tabela1[[#This Row],[Dif. Insumo e OS]])&lt;=0.02,"ok ou um centavo","verificar")</f>
        <v>ok ou um centavo</v>
      </c>
    </row>
    <row r="392" spans="1:11" hidden="1" x14ac:dyDescent="0.25">
      <c r="A392" s="3" t="s">
        <v>459</v>
      </c>
      <c r="B392" s="3" t="s">
        <v>463</v>
      </c>
      <c r="C392" s="4">
        <v>67.739999999999995</v>
      </c>
      <c r="D392" s="4">
        <v>22.74</v>
      </c>
      <c r="E392" s="4">
        <v>0</v>
      </c>
      <c r="F392" s="4">
        <v>0</v>
      </c>
      <c r="G392" s="4">
        <v>45</v>
      </c>
      <c r="H392" s="4">
        <v>0</v>
      </c>
      <c r="I392" s="4">
        <f>SUM(Tabela1[[#This Row],[Mão-de-obra (custo médio)]:[Materiais de troca (custo médio)]])</f>
        <v>67.739999999999995</v>
      </c>
      <c r="J392" s="4">
        <f>Tabela1[[#This Row],[Custos da os]]-Tabela1[[#This Row],[Custo dos insumos]]</f>
        <v>0</v>
      </c>
      <c r="K392" s="4" t="str">
        <f>IF(ABS(Tabela1[[#This Row],[Dif. Insumo e OS]])&lt;=0.02,"ok ou um centavo","verificar")</f>
        <v>ok ou um centavo</v>
      </c>
    </row>
    <row r="393" spans="1:11" x14ac:dyDescent="0.25">
      <c r="A393" s="1" t="s">
        <v>98</v>
      </c>
      <c r="B393" s="1" t="s">
        <v>101</v>
      </c>
      <c r="C393" s="2">
        <v>34315.57</v>
      </c>
      <c r="D393" s="2">
        <v>0</v>
      </c>
      <c r="E393" s="2">
        <v>0</v>
      </c>
      <c r="F393" s="2">
        <v>21780</v>
      </c>
      <c r="G393" s="2">
        <v>0</v>
      </c>
      <c r="H393" s="2">
        <v>14237.49</v>
      </c>
      <c r="I393" s="2">
        <f>SUM(Tabela1[[#This Row],[Mão-de-obra (custo médio)]:[Materiais de troca (custo médio)]])</f>
        <v>36017.49</v>
      </c>
      <c r="J393" s="2">
        <f>Tabela1[[#This Row],[Custos da os]]-Tabela1[[#This Row],[Custo dos insumos]]</f>
        <v>1701.9199999999983</v>
      </c>
      <c r="K393" s="2" t="str">
        <f>IF(ABS(Tabela1[[#This Row],[Dif. Insumo e OS]])&lt;=0.02,"ok ou um centavo","verificar")</f>
        <v>verificar</v>
      </c>
    </row>
    <row r="394" spans="1:11" hidden="1" x14ac:dyDescent="0.25">
      <c r="A394" s="3" t="s">
        <v>459</v>
      </c>
      <c r="B394" s="3" t="s">
        <v>465</v>
      </c>
      <c r="C394" s="4">
        <v>1.8</v>
      </c>
      <c r="D394" s="4">
        <v>1.8</v>
      </c>
      <c r="E394" s="4">
        <v>0</v>
      </c>
      <c r="F394" s="4">
        <v>0</v>
      </c>
      <c r="G394" s="4">
        <v>0</v>
      </c>
      <c r="H394" s="4">
        <v>0</v>
      </c>
      <c r="I394" s="4">
        <f>SUM(Tabela1[[#This Row],[Mão-de-obra (custo médio)]:[Materiais de troca (custo médio)]])</f>
        <v>1.8</v>
      </c>
      <c r="J394" s="4">
        <f>Tabela1[[#This Row],[Custos da os]]-Tabela1[[#This Row],[Custo dos insumos]]</f>
        <v>0</v>
      </c>
      <c r="K394" s="4" t="str">
        <f>IF(ABS(Tabela1[[#This Row],[Dif. Insumo e OS]])&lt;=0.02,"ok ou um centavo","verificar")</f>
        <v>ok ou um centavo</v>
      </c>
    </row>
    <row r="395" spans="1:11" hidden="1" x14ac:dyDescent="0.25">
      <c r="A395" s="3" t="s">
        <v>466</v>
      </c>
      <c r="B395" s="3" t="s">
        <v>467</v>
      </c>
      <c r="C395" s="4">
        <v>717.57</v>
      </c>
      <c r="D395" s="4">
        <v>4.45</v>
      </c>
      <c r="E395" s="4">
        <v>0</v>
      </c>
      <c r="F395" s="4">
        <v>0</v>
      </c>
      <c r="G395" s="4">
        <v>0</v>
      </c>
      <c r="H395" s="4">
        <v>713.12</v>
      </c>
      <c r="I395" s="4">
        <f>SUM(Tabela1[[#This Row],[Mão-de-obra (custo médio)]:[Materiais de troca (custo médio)]])</f>
        <v>717.57</v>
      </c>
      <c r="J395" s="4">
        <f>Tabela1[[#This Row],[Custos da os]]-Tabela1[[#This Row],[Custo dos insumos]]</f>
        <v>0</v>
      </c>
      <c r="K395" s="4" t="str">
        <f>IF(ABS(Tabela1[[#This Row],[Dif. Insumo e OS]])&lt;=0.02,"ok ou um centavo","verificar")</f>
        <v>ok ou um centavo</v>
      </c>
    </row>
    <row r="396" spans="1:11" hidden="1" x14ac:dyDescent="0.25">
      <c r="A396" s="3" t="s">
        <v>466</v>
      </c>
      <c r="B396" s="3" t="s">
        <v>468</v>
      </c>
      <c r="C396" s="4">
        <v>120.67</v>
      </c>
      <c r="D396" s="4">
        <v>47.3</v>
      </c>
      <c r="E396" s="4">
        <v>0</v>
      </c>
      <c r="F396" s="4">
        <v>0</v>
      </c>
      <c r="G396" s="4">
        <v>0</v>
      </c>
      <c r="H396" s="4">
        <v>73.37</v>
      </c>
      <c r="I396" s="4">
        <f>SUM(Tabela1[[#This Row],[Mão-de-obra (custo médio)]:[Materiais de troca (custo médio)]])</f>
        <v>120.67</v>
      </c>
      <c r="J396" s="4">
        <f>Tabela1[[#This Row],[Custos da os]]-Tabela1[[#This Row],[Custo dos insumos]]</f>
        <v>0</v>
      </c>
      <c r="K396" s="4" t="str">
        <f>IF(ABS(Tabela1[[#This Row],[Dif. Insumo e OS]])&lt;=0.02,"ok ou um centavo","verificar")</f>
        <v>ok ou um centavo</v>
      </c>
    </row>
    <row r="397" spans="1:11" hidden="1" x14ac:dyDescent="0.25">
      <c r="A397" s="3" t="s">
        <v>466</v>
      </c>
      <c r="B397" s="3" t="s">
        <v>469</v>
      </c>
      <c r="C397" s="4">
        <v>18.95</v>
      </c>
      <c r="D397" s="4">
        <v>18.95</v>
      </c>
      <c r="E397" s="4">
        <v>0</v>
      </c>
      <c r="F397" s="4">
        <v>0</v>
      </c>
      <c r="G397" s="4">
        <v>0</v>
      </c>
      <c r="H397" s="4">
        <v>0</v>
      </c>
      <c r="I397" s="4">
        <f>SUM(Tabela1[[#This Row],[Mão-de-obra (custo médio)]:[Materiais de troca (custo médio)]])</f>
        <v>18.95</v>
      </c>
      <c r="J397" s="4">
        <f>Tabela1[[#This Row],[Custos da os]]-Tabela1[[#This Row],[Custo dos insumos]]</f>
        <v>0</v>
      </c>
      <c r="K397" s="4" t="str">
        <f>IF(ABS(Tabela1[[#This Row],[Dif. Insumo e OS]])&lt;=0.02,"ok ou um centavo","verificar")</f>
        <v>ok ou um centavo</v>
      </c>
    </row>
    <row r="398" spans="1:11" hidden="1" x14ac:dyDescent="0.25">
      <c r="A398" s="3" t="s">
        <v>466</v>
      </c>
      <c r="B398" s="3" t="s">
        <v>470</v>
      </c>
      <c r="C398" s="4">
        <v>235.08</v>
      </c>
      <c r="D398" s="4">
        <v>8.2100000000000009</v>
      </c>
      <c r="E398" s="4">
        <v>0</v>
      </c>
      <c r="F398" s="4">
        <v>0</v>
      </c>
      <c r="G398" s="4">
        <v>0</v>
      </c>
      <c r="H398" s="4">
        <v>226.87</v>
      </c>
      <c r="I398" s="4">
        <f>SUM(Tabela1[[#This Row],[Mão-de-obra (custo médio)]:[Materiais de troca (custo médio)]])</f>
        <v>235.08</v>
      </c>
      <c r="J398" s="4">
        <f>Tabela1[[#This Row],[Custos da os]]-Tabela1[[#This Row],[Custo dos insumos]]</f>
        <v>0</v>
      </c>
      <c r="K398" s="4" t="str">
        <f>IF(ABS(Tabela1[[#This Row],[Dif. Insumo e OS]])&lt;=0.02,"ok ou um centavo","verificar")</f>
        <v>ok ou um centavo</v>
      </c>
    </row>
    <row r="399" spans="1:11" x14ac:dyDescent="0.25">
      <c r="A399" s="1" t="s">
        <v>123</v>
      </c>
      <c r="B399" s="1" t="s">
        <v>125</v>
      </c>
      <c r="C399" s="2">
        <v>654.34</v>
      </c>
      <c r="D399" s="2">
        <v>306.33</v>
      </c>
      <c r="E399" s="2">
        <v>0</v>
      </c>
      <c r="F399" s="2">
        <v>0</v>
      </c>
      <c r="G399" s="2">
        <v>1417.78</v>
      </c>
      <c r="H399" s="2">
        <v>1087.08</v>
      </c>
      <c r="I399" s="2">
        <f>SUM(Tabela1[[#This Row],[Mão-de-obra (custo médio)]:[Materiais de troca (custo médio)]])</f>
        <v>2811.1899999999996</v>
      </c>
      <c r="J399" s="2">
        <f>Tabela1[[#This Row],[Custos da os]]-Tabela1[[#This Row],[Custo dos insumos]]</f>
        <v>2156.8499999999995</v>
      </c>
      <c r="K399" s="2" t="str">
        <f>IF(ABS(Tabela1[[#This Row],[Dif. Insumo e OS]])&lt;=0.02,"ok ou um centavo","verificar")</f>
        <v>verificar</v>
      </c>
    </row>
    <row r="400" spans="1:11" hidden="1" x14ac:dyDescent="0.25">
      <c r="A400" s="3" t="s">
        <v>466</v>
      </c>
      <c r="B400" s="3" t="s">
        <v>472</v>
      </c>
      <c r="C400" s="4">
        <v>25.46</v>
      </c>
      <c r="D400" s="4">
        <v>25.46</v>
      </c>
      <c r="E400" s="4">
        <v>0</v>
      </c>
      <c r="F400" s="4">
        <v>0</v>
      </c>
      <c r="G400" s="4">
        <v>0</v>
      </c>
      <c r="H400" s="4">
        <v>0</v>
      </c>
      <c r="I400" s="4">
        <f>SUM(Tabela1[[#This Row],[Mão-de-obra (custo médio)]:[Materiais de troca (custo médio)]])</f>
        <v>25.46</v>
      </c>
      <c r="J400" s="4">
        <f>Tabela1[[#This Row],[Custos da os]]-Tabela1[[#This Row],[Custo dos insumos]]</f>
        <v>0</v>
      </c>
      <c r="K400" s="4" t="str">
        <f>IF(ABS(Tabela1[[#This Row],[Dif. Insumo e OS]])&lt;=0.02,"ok ou um centavo","verificar")</f>
        <v>ok ou um centavo</v>
      </c>
    </row>
    <row r="401" spans="1:11" hidden="1" x14ac:dyDescent="0.25">
      <c r="A401" s="3" t="s">
        <v>466</v>
      </c>
      <c r="B401" s="3" t="s">
        <v>473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f>SUM(Tabela1[[#This Row],[Mão-de-obra (custo médio)]:[Materiais de troca (custo médio)]])</f>
        <v>0</v>
      </c>
      <c r="J401" s="4">
        <f>Tabela1[[#This Row],[Custos da os]]-Tabela1[[#This Row],[Custo dos insumos]]</f>
        <v>0</v>
      </c>
      <c r="K401" s="4" t="str">
        <f>IF(ABS(Tabela1[[#This Row],[Dif. Insumo e OS]])&lt;=0.02,"ok ou um centavo","verificar")</f>
        <v>ok ou um centavo</v>
      </c>
    </row>
    <row r="402" spans="1:11" hidden="1" x14ac:dyDescent="0.25">
      <c r="A402" s="3" t="s">
        <v>474</v>
      </c>
      <c r="B402" s="3" t="s">
        <v>475</v>
      </c>
      <c r="C402" s="4">
        <v>4.8600000000000003</v>
      </c>
      <c r="D402" s="4">
        <v>4.8600000000000003</v>
      </c>
      <c r="E402" s="4">
        <v>0</v>
      </c>
      <c r="F402" s="4">
        <v>0</v>
      </c>
      <c r="G402" s="4">
        <v>0</v>
      </c>
      <c r="H402" s="4">
        <v>0</v>
      </c>
      <c r="I402" s="4">
        <f>SUM(Tabela1[[#This Row],[Mão-de-obra (custo médio)]:[Materiais de troca (custo médio)]])</f>
        <v>4.8600000000000003</v>
      </c>
      <c r="J402" s="4">
        <f>Tabela1[[#This Row],[Custos da os]]-Tabela1[[#This Row],[Custo dos insumos]]</f>
        <v>0</v>
      </c>
      <c r="K402" s="4" t="str">
        <f>IF(ABS(Tabela1[[#This Row],[Dif. Insumo e OS]])&lt;=0.02,"ok ou um centavo","verificar")</f>
        <v>ok ou um centavo</v>
      </c>
    </row>
    <row r="403" spans="1:11" hidden="1" x14ac:dyDescent="0.25">
      <c r="A403" s="3" t="s">
        <v>476</v>
      </c>
      <c r="B403" s="3" t="s">
        <v>477</v>
      </c>
      <c r="C403" s="4">
        <v>72.599999999999994</v>
      </c>
      <c r="D403" s="4">
        <v>0</v>
      </c>
      <c r="E403" s="4">
        <v>72.599999999999994</v>
      </c>
      <c r="F403" s="4">
        <v>0</v>
      </c>
      <c r="G403" s="4">
        <v>0</v>
      </c>
      <c r="H403" s="4">
        <v>0</v>
      </c>
      <c r="I403" s="4">
        <f>SUM(Tabela1[[#This Row],[Mão-de-obra (custo médio)]:[Materiais de troca (custo médio)]])</f>
        <v>72.599999999999994</v>
      </c>
      <c r="J403" s="4">
        <f>Tabela1[[#This Row],[Custos da os]]-Tabela1[[#This Row],[Custo dos insumos]]</f>
        <v>0</v>
      </c>
      <c r="K403" s="4" t="str">
        <f>IF(ABS(Tabela1[[#This Row],[Dif. Insumo e OS]])&lt;=0.02,"ok ou um centavo","verificar")</f>
        <v>ok ou um centavo</v>
      </c>
    </row>
    <row r="404" spans="1:11" hidden="1" x14ac:dyDescent="0.25">
      <c r="A404" s="3" t="s">
        <v>476</v>
      </c>
      <c r="B404" s="3" t="s">
        <v>478</v>
      </c>
      <c r="C404" s="4">
        <v>95.19</v>
      </c>
      <c r="D404" s="4">
        <v>95.19</v>
      </c>
      <c r="E404" s="4">
        <v>0</v>
      </c>
      <c r="F404" s="4">
        <v>0</v>
      </c>
      <c r="G404" s="4">
        <v>0</v>
      </c>
      <c r="H404" s="4">
        <v>0</v>
      </c>
      <c r="I404" s="4">
        <f>SUM(Tabela1[[#This Row],[Mão-de-obra (custo médio)]:[Materiais de troca (custo médio)]])</f>
        <v>95.19</v>
      </c>
      <c r="J404" s="4">
        <f>Tabela1[[#This Row],[Custos da os]]-Tabela1[[#This Row],[Custo dos insumos]]</f>
        <v>0</v>
      </c>
      <c r="K404" s="4" t="str">
        <f>IF(ABS(Tabela1[[#This Row],[Dif. Insumo e OS]])&lt;=0.02,"ok ou um centavo","verificar")</f>
        <v>ok ou um centavo</v>
      </c>
    </row>
    <row r="405" spans="1:11" hidden="1" x14ac:dyDescent="0.25">
      <c r="A405" s="3" t="s">
        <v>476</v>
      </c>
      <c r="B405" s="3" t="s">
        <v>479</v>
      </c>
      <c r="C405" s="4">
        <v>64.11</v>
      </c>
      <c r="D405" s="4">
        <v>13.28</v>
      </c>
      <c r="E405" s="4">
        <v>0</v>
      </c>
      <c r="F405" s="4">
        <v>0</v>
      </c>
      <c r="G405" s="4">
        <v>50.83</v>
      </c>
      <c r="H405" s="4">
        <v>0</v>
      </c>
      <c r="I405" s="4">
        <f>SUM(Tabela1[[#This Row],[Mão-de-obra (custo médio)]:[Materiais de troca (custo médio)]])</f>
        <v>64.11</v>
      </c>
      <c r="J405" s="4">
        <f>Tabela1[[#This Row],[Custos da os]]-Tabela1[[#This Row],[Custo dos insumos]]</f>
        <v>0</v>
      </c>
      <c r="K405" s="4" t="str">
        <f>IF(ABS(Tabela1[[#This Row],[Dif. Insumo e OS]])&lt;=0.02,"ok ou um centavo","verificar")</f>
        <v>ok ou um centavo</v>
      </c>
    </row>
    <row r="406" spans="1:11" hidden="1" x14ac:dyDescent="0.25">
      <c r="A406" s="3" t="s">
        <v>480</v>
      </c>
      <c r="B406" s="3" t="s">
        <v>481</v>
      </c>
      <c r="C406" s="4">
        <v>10.199999999999999</v>
      </c>
      <c r="D406" s="4">
        <v>10.199999999999999</v>
      </c>
      <c r="E406" s="4">
        <v>0</v>
      </c>
      <c r="F406" s="4">
        <v>0</v>
      </c>
      <c r="G406" s="4">
        <v>0</v>
      </c>
      <c r="H406" s="4">
        <v>0</v>
      </c>
      <c r="I406" s="4">
        <f>SUM(Tabela1[[#This Row],[Mão-de-obra (custo médio)]:[Materiais de troca (custo médio)]])</f>
        <v>10.199999999999999</v>
      </c>
      <c r="J406" s="4">
        <f>Tabela1[[#This Row],[Custos da os]]-Tabela1[[#This Row],[Custo dos insumos]]</f>
        <v>0</v>
      </c>
      <c r="K406" s="4" t="str">
        <f>IF(ABS(Tabela1[[#This Row],[Dif. Insumo e OS]])&lt;=0.02,"ok ou um centavo","verificar")</f>
        <v>ok ou um centavo</v>
      </c>
    </row>
    <row r="407" spans="1:11" hidden="1" x14ac:dyDescent="0.25">
      <c r="A407" s="3" t="s">
        <v>480</v>
      </c>
      <c r="B407" s="3" t="s">
        <v>482</v>
      </c>
      <c r="C407" s="4">
        <v>63.99</v>
      </c>
      <c r="D407" s="4">
        <v>0</v>
      </c>
      <c r="E407" s="4">
        <v>0</v>
      </c>
      <c r="F407" s="4">
        <v>0</v>
      </c>
      <c r="G407" s="4">
        <v>0</v>
      </c>
      <c r="H407" s="4">
        <v>63.99</v>
      </c>
      <c r="I407" s="4">
        <f>SUM(Tabela1[[#This Row],[Mão-de-obra (custo médio)]:[Materiais de troca (custo médio)]])</f>
        <v>63.99</v>
      </c>
      <c r="J407" s="4">
        <f>Tabela1[[#This Row],[Custos da os]]-Tabela1[[#This Row],[Custo dos insumos]]</f>
        <v>0</v>
      </c>
      <c r="K407" s="4" t="str">
        <f>IF(ABS(Tabela1[[#This Row],[Dif. Insumo e OS]])&lt;=0.02,"ok ou um centavo","verificar")</f>
        <v>ok ou um centavo</v>
      </c>
    </row>
    <row r="408" spans="1:11" hidden="1" x14ac:dyDescent="0.25">
      <c r="A408" s="3" t="s">
        <v>480</v>
      </c>
      <c r="B408" s="3" t="s">
        <v>483</v>
      </c>
      <c r="C408" s="4">
        <v>30</v>
      </c>
      <c r="D408" s="4">
        <v>14.01</v>
      </c>
      <c r="E408" s="4">
        <v>0</v>
      </c>
      <c r="F408" s="4">
        <v>0</v>
      </c>
      <c r="G408" s="4">
        <v>15.99</v>
      </c>
      <c r="H408" s="4">
        <v>0</v>
      </c>
      <c r="I408" s="4">
        <f>SUM(Tabela1[[#This Row],[Mão-de-obra (custo médio)]:[Materiais de troca (custo médio)]])</f>
        <v>30</v>
      </c>
      <c r="J408" s="4">
        <f>Tabela1[[#This Row],[Custos da os]]-Tabela1[[#This Row],[Custo dos insumos]]</f>
        <v>0</v>
      </c>
      <c r="K408" s="4" t="str">
        <f>IF(ABS(Tabela1[[#This Row],[Dif. Insumo e OS]])&lt;=0.02,"ok ou um centavo","verificar")</f>
        <v>ok ou um centavo</v>
      </c>
    </row>
    <row r="409" spans="1:11" hidden="1" x14ac:dyDescent="0.25">
      <c r="A409" s="3" t="s">
        <v>484</v>
      </c>
      <c r="B409" s="3" t="s">
        <v>485</v>
      </c>
      <c r="C409" s="4">
        <v>72.599999999999994</v>
      </c>
      <c r="D409" s="4">
        <v>0</v>
      </c>
      <c r="E409" s="4">
        <v>72.599999999999994</v>
      </c>
      <c r="F409" s="4">
        <v>0</v>
      </c>
      <c r="G409" s="4">
        <v>0</v>
      </c>
      <c r="H409" s="4">
        <v>0</v>
      </c>
      <c r="I409" s="4">
        <f>SUM(Tabela1[[#This Row],[Mão-de-obra (custo médio)]:[Materiais de troca (custo médio)]])</f>
        <v>72.599999999999994</v>
      </c>
      <c r="J409" s="4">
        <f>Tabela1[[#This Row],[Custos da os]]-Tabela1[[#This Row],[Custo dos insumos]]</f>
        <v>0</v>
      </c>
      <c r="K409" s="4" t="str">
        <f>IF(ABS(Tabela1[[#This Row],[Dif. Insumo e OS]])&lt;=0.02,"ok ou um centavo","verificar")</f>
        <v>ok ou um centavo</v>
      </c>
    </row>
    <row r="410" spans="1:11" hidden="1" x14ac:dyDescent="0.25">
      <c r="A410" s="3" t="s">
        <v>484</v>
      </c>
      <c r="B410" s="3" t="s">
        <v>486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f>SUM(Tabela1[[#This Row],[Mão-de-obra (custo médio)]:[Materiais de troca (custo médio)]])</f>
        <v>0</v>
      </c>
      <c r="J410" s="4">
        <f>Tabela1[[#This Row],[Custos da os]]-Tabela1[[#This Row],[Custo dos insumos]]</f>
        <v>0</v>
      </c>
      <c r="K410" s="4" t="str">
        <f>IF(ABS(Tabela1[[#This Row],[Dif. Insumo e OS]])&lt;=0.02,"ok ou um centavo","verificar")</f>
        <v>ok ou um centavo</v>
      </c>
    </row>
    <row r="411" spans="1:11" hidden="1" x14ac:dyDescent="0.25">
      <c r="A411" s="3" t="s">
        <v>484</v>
      </c>
      <c r="B411" s="3" t="s">
        <v>487</v>
      </c>
      <c r="C411" s="4">
        <v>26.2</v>
      </c>
      <c r="D411" s="4">
        <v>0</v>
      </c>
      <c r="E411" s="4">
        <v>0</v>
      </c>
      <c r="F411" s="4">
        <v>0</v>
      </c>
      <c r="G411" s="4">
        <v>0</v>
      </c>
      <c r="H411" s="4">
        <v>26.2</v>
      </c>
      <c r="I411" s="4">
        <f>SUM(Tabela1[[#This Row],[Mão-de-obra (custo médio)]:[Materiais de troca (custo médio)]])</f>
        <v>26.2</v>
      </c>
      <c r="J411" s="4">
        <f>Tabela1[[#This Row],[Custos da os]]-Tabela1[[#This Row],[Custo dos insumos]]</f>
        <v>0</v>
      </c>
      <c r="K411" s="4" t="str">
        <f>IF(ABS(Tabela1[[#This Row],[Dif. Insumo e OS]])&lt;=0.02,"ok ou um centavo","verificar")</f>
        <v>ok ou um centavo</v>
      </c>
    </row>
    <row r="412" spans="1:11" hidden="1" x14ac:dyDescent="0.25">
      <c r="A412" s="3" t="s">
        <v>488</v>
      </c>
      <c r="B412" s="3" t="s">
        <v>489</v>
      </c>
      <c r="C412" s="4">
        <v>18.95</v>
      </c>
      <c r="D412" s="4">
        <v>18.95</v>
      </c>
      <c r="E412" s="4">
        <v>0</v>
      </c>
      <c r="F412" s="4">
        <v>0</v>
      </c>
      <c r="G412" s="4">
        <v>0</v>
      </c>
      <c r="H412" s="4">
        <v>0</v>
      </c>
      <c r="I412" s="4">
        <f>SUM(Tabela1[[#This Row],[Mão-de-obra (custo médio)]:[Materiais de troca (custo médio)]])</f>
        <v>18.95</v>
      </c>
      <c r="J412" s="4">
        <f>Tabela1[[#This Row],[Custos da os]]-Tabela1[[#This Row],[Custo dos insumos]]</f>
        <v>0</v>
      </c>
      <c r="K412" s="4" t="str">
        <f>IF(ABS(Tabela1[[#This Row],[Dif. Insumo e OS]])&lt;=0.02,"ok ou um centavo","verificar")</f>
        <v>ok ou um centavo</v>
      </c>
    </row>
    <row r="413" spans="1:11" hidden="1" x14ac:dyDescent="0.25">
      <c r="A413" s="3" t="s">
        <v>488</v>
      </c>
      <c r="B413" s="3" t="s">
        <v>490</v>
      </c>
      <c r="C413" s="4">
        <v>0.46</v>
      </c>
      <c r="D413" s="4">
        <v>0.46</v>
      </c>
      <c r="E413" s="4">
        <v>0</v>
      </c>
      <c r="F413" s="4">
        <v>0</v>
      </c>
      <c r="G413" s="4">
        <v>0</v>
      </c>
      <c r="H413" s="4">
        <v>0</v>
      </c>
      <c r="I413" s="4">
        <f>SUM(Tabela1[[#This Row],[Mão-de-obra (custo médio)]:[Materiais de troca (custo médio)]])</f>
        <v>0.46</v>
      </c>
      <c r="J413" s="4">
        <f>Tabela1[[#This Row],[Custos da os]]-Tabela1[[#This Row],[Custo dos insumos]]</f>
        <v>0</v>
      </c>
      <c r="K413" s="4" t="str">
        <f>IF(ABS(Tabela1[[#This Row],[Dif. Insumo e OS]])&lt;=0.02,"ok ou um centavo","verificar")</f>
        <v>ok ou um centavo</v>
      </c>
    </row>
    <row r="414" spans="1:11" hidden="1" x14ac:dyDescent="0.25">
      <c r="A414" s="3" t="s">
        <v>488</v>
      </c>
      <c r="B414" s="3" t="s">
        <v>491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f>SUM(Tabela1[[#This Row],[Mão-de-obra (custo médio)]:[Materiais de troca (custo médio)]])</f>
        <v>0</v>
      </c>
      <c r="J414" s="4">
        <f>Tabela1[[#This Row],[Custos da os]]-Tabela1[[#This Row],[Custo dos insumos]]</f>
        <v>0</v>
      </c>
      <c r="K414" s="4" t="str">
        <f>IF(ABS(Tabela1[[#This Row],[Dif. Insumo e OS]])&lt;=0.02,"ok ou um centavo","verificar")</f>
        <v>ok ou um centavo</v>
      </c>
    </row>
    <row r="415" spans="1:11" hidden="1" x14ac:dyDescent="0.25">
      <c r="A415" s="3" t="s">
        <v>492</v>
      </c>
      <c r="B415" s="3" t="s">
        <v>493</v>
      </c>
      <c r="C415" s="4">
        <v>53.99</v>
      </c>
      <c r="D415" s="4">
        <v>43.01</v>
      </c>
      <c r="E415" s="4">
        <v>0</v>
      </c>
      <c r="F415" s="4">
        <v>0</v>
      </c>
      <c r="G415" s="4">
        <v>0.01</v>
      </c>
      <c r="H415" s="4">
        <v>10.97</v>
      </c>
      <c r="I415" s="4">
        <f>SUM(Tabela1[[#This Row],[Mão-de-obra (custo médio)]:[Materiais de troca (custo médio)]])</f>
        <v>53.989999999999995</v>
      </c>
      <c r="J415" s="4">
        <f>Tabela1[[#This Row],[Custos da os]]-Tabela1[[#This Row],[Custo dos insumos]]</f>
        <v>0</v>
      </c>
      <c r="K415" s="4" t="str">
        <f>IF(ABS(Tabela1[[#This Row],[Dif. Insumo e OS]])&lt;=0.02,"ok ou um centavo","verificar")</f>
        <v>ok ou um centavo</v>
      </c>
    </row>
    <row r="416" spans="1:11" hidden="1" x14ac:dyDescent="0.25">
      <c r="A416" s="3" t="s">
        <v>494</v>
      </c>
      <c r="B416" s="3" t="s">
        <v>495</v>
      </c>
      <c r="C416" s="4">
        <v>13.99</v>
      </c>
      <c r="D416" s="4">
        <v>13.99</v>
      </c>
      <c r="E416" s="4">
        <v>0</v>
      </c>
      <c r="F416" s="4">
        <v>0</v>
      </c>
      <c r="G416" s="4">
        <v>0</v>
      </c>
      <c r="H416" s="4">
        <v>0</v>
      </c>
      <c r="I416" s="4">
        <f>SUM(Tabela1[[#This Row],[Mão-de-obra (custo médio)]:[Materiais de troca (custo médio)]])</f>
        <v>13.99</v>
      </c>
      <c r="J416" s="4">
        <f>Tabela1[[#This Row],[Custos da os]]-Tabela1[[#This Row],[Custo dos insumos]]</f>
        <v>0</v>
      </c>
      <c r="K416" s="4" t="str">
        <f>IF(ABS(Tabela1[[#This Row],[Dif. Insumo e OS]])&lt;=0.02,"ok ou um centavo","verificar")</f>
        <v>ok ou um centavo</v>
      </c>
    </row>
    <row r="417" spans="1:11" hidden="1" x14ac:dyDescent="0.25">
      <c r="A417" s="3" t="s">
        <v>494</v>
      </c>
      <c r="B417" s="3" t="s">
        <v>496</v>
      </c>
      <c r="C417" s="4">
        <v>393.14</v>
      </c>
      <c r="D417" s="4">
        <v>32.96</v>
      </c>
      <c r="E417" s="4">
        <v>0</v>
      </c>
      <c r="F417" s="4">
        <v>0</v>
      </c>
      <c r="G417" s="4">
        <v>5.72</v>
      </c>
      <c r="H417" s="4">
        <v>354.46</v>
      </c>
      <c r="I417" s="4">
        <f>SUM(Tabela1[[#This Row],[Mão-de-obra (custo médio)]:[Materiais de troca (custo médio)]])</f>
        <v>393.14</v>
      </c>
      <c r="J417" s="4">
        <f>Tabela1[[#This Row],[Custos da os]]-Tabela1[[#This Row],[Custo dos insumos]]</f>
        <v>0</v>
      </c>
      <c r="K417" s="4" t="str">
        <f>IF(ABS(Tabela1[[#This Row],[Dif. Insumo e OS]])&lt;=0.02,"ok ou um centavo","verificar")</f>
        <v>ok ou um centavo</v>
      </c>
    </row>
    <row r="418" spans="1:11" hidden="1" x14ac:dyDescent="0.25">
      <c r="A418" s="3" t="s">
        <v>497</v>
      </c>
      <c r="B418" s="3" t="s">
        <v>498</v>
      </c>
      <c r="C418" s="4">
        <v>544.5</v>
      </c>
      <c r="D418" s="4">
        <v>0</v>
      </c>
      <c r="E418" s="4">
        <v>0</v>
      </c>
      <c r="F418" s="4">
        <v>544.5</v>
      </c>
      <c r="G418" s="4">
        <v>0</v>
      </c>
      <c r="H418" s="4">
        <v>0</v>
      </c>
      <c r="I418" s="4">
        <f>SUM(Tabela1[[#This Row],[Mão-de-obra (custo médio)]:[Materiais de troca (custo médio)]])</f>
        <v>544.5</v>
      </c>
      <c r="J418" s="4">
        <f>Tabela1[[#This Row],[Custos da os]]-Tabela1[[#This Row],[Custo dos insumos]]</f>
        <v>0</v>
      </c>
      <c r="K418" s="4" t="str">
        <f>IF(ABS(Tabela1[[#This Row],[Dif. Insumo e OS]])&lt;=0.02,"ok ou um centavo","verificar")</f>
        <v>ok ou um centavo</v>
      </c>
    </row>
    <row r="419" spans="1:11" hidden="1" x14ac:dyDescent="0.25">
      <c r="A419" s="3" t="s">
        <v>497</v>
      </c>
      <c r="B419" s="3" t="s">
        <v>499</v>
      </c>
      <c r="C419" s="4">
        <v>21.4</v>
      </c>
      <c r="D419" s="4">
        <v>21.4</v>
      </c>
      <c r="E419" s="4">
        <v>0</v>
      </c>
      <c r="F419" s="4">
        <v>0</v>
      </c>
      <c r="G419" s="4">
        <v>0</v>
      </c>
      <c r="H419" s="4">
        <v>0</v>
      </c>
      <c r="I419" s="4">
        <f>SUM(Tabela1[[#This Row],[Mão-de-obra (custo médio)]:[Materiais de troca (custo médio)]])</f>
        <v>21.4</v>
      </c>
      <c r="J419" s="4">
        <f>Tabela1[[#This Row],[Custos da os]]-Tabela1[[#This Row],[Custo dos insumos]]</f>
        <v>0</v>
      </c>
      <c r="K419" s="4" t="str">
        <f>IF(ABS(Tabela1[[#This Row],[Dif. Insumo e OS]])&lt;=0.02,"ok ou um centavo","verificar")</f>
        <v>ok ou um centavo</v>
      </c>
    </row>
    <row r="420" spans="1:11" hidden="1" x14ac:dyDescent="0.25">
      <c r="A420" s="3" t="s">
        <v>497</v>
      </c>
      <c r="B420" s="3" t="s">
        <v>500</v>
      </c>
      <c r="C420" s="4">
        <v>13.99</v>
      </c>
      <c r="D420" s="4">
        <v>13.99</v>
      </c>
      <c r="E420" s="4">
        <v>0</v>
      </c>
      <c r="F420" s="4">
        <v>0</v>
      </c>
      <c r="G420" s="4">
        <v>0</v>
      </c>
      <c r="H420" s="4">
        <v>0</v>
      </c>
      <c r="I420" s="4">
        <f>SUM(Tabela1[[#This Row],[Mão-de-obra (custo médio)]:[Materiais de troca (custo médio)]])</f>
        <v>13.99</v>
      </c>
      <c r="J420" s="4">
        <f>Tabela1[[#This Row],[Custos da os]]-Tabela1[[#This Row],[Custo dos insumos]]</f>
        <v>0</v>
      </c>
      <c r="K420" s="4" t="str">
        <f>IF(ABS(Tabela1[[#This Row],[Dif. Insumo e OS]])&lt;=0.02,"ok ou um centavo","verificar")</f>
        <v>ok ou um centavo</v>
      </c>
    </row>
    <row r="421" spans="1:11" x14ac:dyDescent="0.25">
      <c r="A421" s="1" t="s">
        <v>277</v>
      </c>
      <c r="B421" s="1" t="s">
        <v>279</v>
      </c>
      <c r="C421" s="2">
        <v>35.5</v>
      </c>
      <c r="D421" s="2">
        <v>0</v>
      </c>
      <c r="E421" s="2">
        <v>0</v>
      </c>
      <c r="F421" s="2">
        <v>82.21</v>
      </c>
      <c r="G421" s="2">
        <v>1701.8</v>
      </c>
      <c r="H421" s="2">
        <v>453.74</v>
      </c>
      <c r="I421" s="2">
        <f>SUM(Tabela1[[#This Row],[Mão-de-obra (custo médio)]:[Materiais de troca (custo médio)]])</f>
        <v>2237.75</v>
      </c>
      <c r="J421" s="2">
        <f>Tabela1[[#This Row],[Custos da os]]-Tabela1[[#This Row],[Custo dos insumos]]</f>
        <v>2202.25</v>
      </c>
      <c r="K421" s="2" t="str">
        <f>IF(ABS(Tabela1[[#This Row],[Dif. Insumo e OS]])&lt;=0.02,"ok ou um centavo","verificar")</f>
        <v>verificar</v>
      </c>
    </row>
    <row r="422" spans="1:11" x14ac:dyDescent="0.25">
      <c r="A422" s="1" t="s">
        <v>28</v>
      </c>
      <c r="B422" s="1" t="s">
        <v>29</v>
      </c>
      <c r="C422" s="2">
        <v>195.96</v>
      </c>
      <c r="D422" s="2">
        <v>216.11</v>
      </c>
      <c r="E422" s="2">
        <v>0</v>
      </c>
      <c r="F422" s="2">
        <v>0</v>
      </c>
      <c r="G422" s="2">
        <v>537.47</v>
      </c>
      <c r="H422" s="2">
        <v>1994.17</v>
      </c>
      <c r="I422" s="2">
        <f>SUM(Tabela1[[#This Row],[Mão-de-obra (custo médio)]:[Materiais de troca (custo médio)]])</f>
        <v>2747.75</v>
      </c>
      <c r="J422" s="2">
        <f>Tabela1[[#This Row],[Custos da os]]-Tabela1[[#This Row],[Custo dos insumos]]</f>
        <v>2551.79</v>
      </c>
      <c r="K422" s="2" t="str">
        <f>IF(ABS(Tabela1[[#This Row],[Dif. Insumo e OS]])&lt;=0.02,"ok ou um centavo","verificar")</f>
        <v>verificar</v>
      </c>
    </row>
    <row r="423" spans="1:11" hidden="1" x14ac:dyDescent="0.25">
      <c r="A423" s="3" t="s">
        <v>502</v>
      </c>
      <c r="B423" s="3" t="s">
        <v>504</v>
      </c>
      <c r="C423" s="4">
        <v>1152.53</v>
      </c>
      <c r="D423" s="4">
        <v>0</v>
      </c>
      <c r="E423" s="4">
        <v>0</v>
      </c>
      <c r="F423" s="4">
        <v>0</v>
      </c>
      <c r="G423" s="4">
        <v>0</v>
      </c>
      <c r="H423" s="4">
        <v>1152.53</v>
      </c>
      <c r="I423" s="4">
        <f>SUM(Tabela1[[#This Row],[Mão-de-obra (custo médio)]:[Materiais de troca (custo médio)]])</f>
        <v>1152.53</v>
      </c>
      <c r="J423" s="4">
        <f>Tabela1[[#This Row],[Custos da os]]-Tabela1[[#This Row],[Custo dos insumos]]</f>
        <v>0</v>
      </c>
      <c r="K423" s="4" t="str">
        <f>IF(ABS(Tabela1[[#This Row],[Dif. Insumo e OS]])&lt;=0.02,"ok ou um centavo","verificar")</f>
        <v>ok ou um centavo</v>
      </c>
    </row>
    <row r="424" spans="1:11" hidden="1" x14ac:dyDescent="0.25">
      <c r="A424" s="3" t="s">
        <v>502</v>
      </c>
      <c r="B424" s="3" t="s">
        <v>505</v>
      </c>
      <c r="C424" s="4">
        <v>306.35000000000002</v>
      </c>
      <c r="D424" s="4">
        <v>19.059999999999999</v>
      </c>
      <c r="E424" s="4">
        <v>0</v>
      </c>
      <c r="F424" s="4">
        <v>0</v>
      </c>
      <c r="G424" s="4">
        <v>287.29000000000002</v>
      </c>
      <c r="H424" s="4">
        <v>0</v>
      </c>
      <c r="I424" s="4">
        <f>SUM(Tabela1[[#This Row],[Mão-de-obra (custo médio)]:[Materiais de troca (custo médio)]])</f>
        <v>306.35000000000002</v>
      </c>
      <c r="J424" s="4">
        <f>Tabela1[[#This Row],[Custos da os]]-Tabela1[[#This Row],[Custo dos insumos]]</f>
        <v>0</v>
      </c>
      <c r="K424" s="4" t="str">
        <f>IF(ABS(Tabela1[[#This Row],[Dif. Insumo e OS]])&lt;=0.02,"ok ou um centavo","verificar")</f>
        <v>ok ou um centavo</v>
      </c>
    </row>
    <row r="425" spans="1:11" x14ac:dyDescent="0.25">
      <c r="A425" s="1" t="s">
        <v>118</v>
      </c>
      <c r="B425" s="1" t="s">
        <v>119</v>
      </c>
      <c r="C425" s="2">
        <v>363</v>
      </c>
      <c r="D425" s="2">
        <v>12.17</v>
      </c>
      <c r="E425" s="2">
        <v>0</v>
      </c>
      <c r="F425" s="2">
        <v>0</v>
      </c>
      <c r="G425" s="2">
        <v>0</v>
      </c>
      <c r="H425" s="2">
        <v>2943.52</v>
      </c>
      <c r="I425" s="2">
        <f>SUM(Tabela1[[#This Row],[Mão-de-obra (custo médio)]:[Materiais de troca (custo médio)]])</f>
        <v>2955.69</v>
      </c>
      <c r="J425" s="2">
        <f>Tabela1[[#This Row],[Custos da os]]-Tabela1[[#This Row],[Custo dos insumos]]</f>
        <v>2592.69</v>
      </c>
      <c r="K425" s="2" t="str">
        <f>IF(ABS(Tabela1[[#This Row],[Dif. Insumo e OS]])&lt;=0.02,"ok ou um centavo","verificar")</f>
        <v>verificar</v>
      </c>
    </row>
    <row r="426" spans="1:11" x14ac:dyDescent="0.25">
      <c r="A426" s="1" t="s">
        <v>123</v>
      </c>
      <c r="B426" s="1" t="s">
        <v>124</v>
      </c>
      <c r="C426" s="2">
        <v>453.47</v>
      </c>
      <c r="D426" s="2">
        <v>330.82</v>
      </c>
      <c r="E426" s="2">
        <v>0</v>
      </c>
      <c r="F426" s="2">
        <v>0</v>
      </c>
      <c r="G426" s="2">
        <v>465.79</v>
      </c>
      <c r="H426" s="2">
        <v>2783.73</v>
      </c>
      <c r="I426" s="2">
        <f>SUM(Tabela1[[#This Row],[Mão-de-obra (custo médio)]:[Materiais de troca (custo médio)]])</f>
        <v>3580.34</v>
      </c>
      <c r="J426" s="2">
        <f>Tabela1[[#This Row],[Custos da os]]-Tabela1[[#This Row],[Custo dos insumos]]</f>
        <v>3126.87</v>
      </c>
      <c r="K426" s="2" t="str">
        <f>IF(ABS(Tabela1[[#This Row],[Dif. Insumo e OS]])&lt;=0.02,"ok ou um centavo","verificar")</f>
        <v>verificar</v>
      </c>
    </row>
    <row r="427" spans="1:11" hidden="1" x14ac:dyDescent="0.25">
      <c r="A427" s="3" t="s">
        <v>507</v>
      </c>
      <c r="B427" s="3" t="s">
        <v>509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f>SUM(Tabela1[[#This Row],[Mão-de-obra (custo médio)]:[Materiais de troca (custo médio)]])</f>
        <v>0</v>
      </c>
      <c r="J427" s="4">
        <f>Tabela1[[#This Row],[Custos da os]]-Tabela1[[#This Row],[Custo dos insumos]]</f>
        <v>0</v>
      </c>
      <c r="K427" s="4" t="str">
        <f>IF(ABS(Tabela1[[#This Row],[Dif. Insumo e OS]])&lt;=0.02,"ok ou um centavo","verificar")</f>
        <v>ok ou um centavo</v>
      </c>
    </row>
    <row r="428" spans="1:11" hidden="1" x14ac:dyDescent="0.25">
      <c r="A428" s="3" t="s">
        <v>507</v>
      </c>
      <c r="B428" s="3" t="s">
        <v>510</v>
      </c>
      <c r="C428" s="4">
        <v>1152.52</v>
      </c>
      <c r="D428" s="4">
        <v>0</v>
      </c>
      <c r="E428" s="4">
        <v>0</v>
      </c>
      <c r="F428" s="4">
        <v>0</v>
      </c>
      <c r="G428" s="4">
        <v>0</v>
      </c>
      <c r="H428" s="4">
        <v>1152.52</v>
      </c>
      <c r="I428" s="4">
        <f>SUM(Tabela1[[#This Row],[Mão-de-obra (custo médio)]:[Materiais de troca (custo médio)]])</f>
        <v>1152.52</v>
      </c>
      <c r="J428" s="4">
        <f>Tabela1[[#This Row],[Custos da os]]-Tabela1[[#This Row],[Custo dos insumos]]</f>
        <v>0</v>
      </c>
      <c r="K428" s="4" t="str">
        <f>IF(ABS(Tabela1[[#This Row],[Dif. Insumo e OS]])&lt;=0.02,"ok ou um centavo","verificar")</f>
        <v>ok ou um centavo</v>
      </c>
    </row>
    <row r="429" spans="1:11" x14ac:dyDescent="0.25">
      <c r="A429" s="1" t="s">
        <v>289</v>
      </c>
      <c r="B429" s="1" t="s">
        <v>291</v>
      </c>
      <c r="C429" s="2">
        <v>0.04</v>
      </c>
      <c r="D429" s="2">
        <v>0</v>
      </c>
      <c r="E429" s="2">
        <v>0</v>
      </c>
      <c r="F429" s="2">
        <v>0</v>
      </c>
      <c r="G429" s="2">
        <v>1646.39</v>
      </c>
      <c r="H429" s="2">
        <v>1519.39</v>
      </c>
      <c r="I429" s="2">
        <f>SUM(Tabela1[[#This Row],[Mão-de-obra (custo médio)]:[Materiais de troca (custo médio)]])</f>
        <v>3165.78</v>
      </c>
      <c r="J429" s="2">
        <f>Tabela1[[#This Row],[Custos da os]]-Tabela1[[#This Row],[Custo dos insumos]]</f>
        <v>3165.7400000000002</v>
      </c>
      <c r="K429" s="2" t="str">
        <f>IF(ABS(Tabela1[[#This Row],[Dif. Insumo e OS]])&lt;=0.02,"ok ou um centavo","verificar")</f>
        <v>verificar</v>
      </c>
    </row>
    <row r="430" spans="1:11" hidden="1" x14ac:dyDescent="0.25">
      <c r="A430" s="3" t="s">
        <v>513</v>
      </c>
      <c r="B430" s="3" t="s">
        <v>514</v>
      </c>
      <c r="C430" s="4">
        <v>476.91</v>
      </c>
      <c r="D430" s="4">
        <v>0</v>
      </c>
      <c r="E430" s="4">
        <v>476.91</v>
      </c>
      <c r="F430" s="4">
        <v>0</v>
      </c>
      <c r="G430" s="4">
        <v>0</v>
      </c>
      <c r="H430" s="4">
        <v>0</v>
      </c>
      <c r="I430" s="4">
        <f>SUM(Tabela1[[#This Row],[Mão-de-obra (custo médio)]:[Materiais de troca (custo médio)]])</f>
        <v>476.91</v>
      </c>
      <c r="J430" s="4">
        <f>Tabela1[[#This Row],[Custos da os]]-Tabela1[[#This Row],[Custo dos insumos]]</f>
        <v>0</v>
      </c>
      <c r="K430" s="4" t="str">
        <f>IF(ABS(Tabela1[[#This Row],[Dif. Insumo e OS]])&lt;=0.02,"ok ou um centavo","verificar")</f>
        <v>ok ou um centavo</v>
      </c>
    </row>
    <row r="431" spans="1:11" hidden="1" x14ac:dyDescent="0.25">
      <c r="A431" s="3" t="s">
        <v>513</v>
      </c>
      <c r="B431" s="3" t="s">
        <v>515</v>
      </c>
      <c r="C431" s="4">
        <v>10.8</v>
      </c>
      <c r="D431" s="4">
        <v>8.6</v>
      </c>
      <c r="E431" s="4">
        <v>0</v>
      </c>
      <c r="F431" s="4">
        <v>0</v>
      </c>
      <c r="G431" s="4">
        <v>2.2000000000000002</v>
      </c>
      <c r="H431" s="4">
        <v>0</v>
      </c>
      <c r="I431" s="4">
        <f>SUM(Tabela1[[#This Row],[Mão-de-obra (custo médio)]:[Materiais de troca (custo médio)]])</f>
        <v>10.8</v>
      </c>
      <c r="J431" s="4">
        <f>Tabela1[[#This Row],[Custos da os]]-Tabela1[[#This Row],[Custo dos insumos]]</f>
        <v>0</v>
      </c>
      <c r="K431" s="4" t="str">
        <f>IF(ABS(Tabela1[[#This Row],[Dif. Insumo e OS]])&lt;=0.02,"ok ou um centavo","verificar")</f>
        <v>ok ou um centavo</v>
      </c>
    </row>
    <row r="432" spans="1:11" hidden="1" x14ac:dyDescent="0.25">
      <c r="A432" s="3" t="s">
        <v>513</v>
      </c>
      <c r="B432" s="3" t="s">
        <v>516</v>
      </c>
      <c r="C432" s="4">
        <v>0.46</v>
      </c>
      <c r="D432" s="4">
        <v>0.46</v>
      </c>
      <c r="E432" s="4">
        <v>0</v>
      </c>
      <c r="F432" s="4">
        <v>0</v>
      </c>
      <c r="G432" s="4">
        <v>0</v>
      </c>
      <c r="H432" s="4">
        <v>0</v>
      </c>
      <c r="I432" s="4">
        <f>SUM(Tabela1[[#This Row],[Mão-de-obra (custo médio)]:[Materiais de troca (custo médio)]])</f>
        <v>0.46</v>
      </c>
      <c r="J432" s="4">
        <f>Tabela1[[#This Row],[Custos da os]]-Tabela1[[#This Row],[Custo dos insumos]]</f>
        <v>0</v>
      </c>
      <c r="K432" s="4" t="str">
        <f>IF(ABS(Tabela1[[#This Row],[Dif. Insumo e OS]])&lt;=0.02,"ok ou um centavo","verificar")</f>
        <v>ok ou um centavo</v>
      </c>
    </row>
    <row r="433" spans="1:11" hidden="1" x14ac:dyDescent="0.25">
      <c r="A433" s="3" t="s">
        <v>517</v>
      </c>
      <c r="B433" s="3" t="s">
        <v>518</v>
      </c>
      <c r="C433" s="4">
        <v>363</v>
      </c>
      <c r="D433" s="4">
        <v>0</v>
      </c>
      <c r="E433" s="4">
        <v>363</v>
      </c>
      <c r="F433" s="4">
        <v>0</v>
      </c>
      <c r="G433" s="4">
        <v>0</v>
      </c>
      <c r="H433" s="4">
        <v>0</v>
      </c>
      <c r="I433" s="4">
        <f>SUM(Tabela1[[#This Row],[Mão-de-obra (custo médio)]:[Materiais de troca (custo médio)]])</f>
        <v>363</v>
      </c>
      <c r="J433" s="4">
        <f>Tabela1[[#This Row],[Custos da os]]-Tabela1[[#This Row],[Custo dos insumos]]</f>
        <v>0</v>
      </c>
      <c r="K433" s="4" t="str">
        <f>IF(ABS(Tabela1[[#This Row],[Dif. Insumo e OS]])&lt;=0.02,"ok ou um centavo","verificar")</f>
        <v>ok ou um centavo</v>
      </c>
    </row>
    <row r="434" spans="1:11" x14ac:dyDescent="0.25">
      <c r="A434" s="1" t="s">
        <v>502</v>
      </c>
      <c r="B434" s="1" t="s">
        <v>506</v>
      </c>
      <c r="C434" s="2">
        <v>0</v>
      </c>
      <c r="D434" s="2">
        <v>0</v>
      </c>
      <c r="E434" s="2">
        <v>0</v>
      </c>
      <c r="F434" s="2">
        <v>0</v>
      </c>
      <c r="G434" s="2">
        <v>3290.55</v>
      </c>
      <c r="H434" s="2">
        <v>0</v>
      </c>
      <c r="I434" s="2">
        <f>SUM(Tabela1[[#This Row],[Mão-de-obra (custo médio)]:[Materiais de troca (custo médio)]])</f>
        <v>3290.55</v>
      </c>
      <c r="J434" s="2">
        <f>Tabela1[[#This Row],[Custos da os]]-Tabela1[[#This Row],[Custo dos insumos]]</f>
        <v>3290.55</v>
      </c>
      <c r="K434" s="2" t="str">
        <f>IF(ABS(Tabela1[[#This Row],[Dif. Insumo e OS]])&lt;=0.02,"ok ou um centavo","verificar")</f>
        <v>verificar</v>
      </c>
    </row>
    <row r="435" spans="1:11" x14ac:dyDescent="0.25">
      <c r="A435" s="1" t="s">
        <v>103</v>
      </c>
      <c r="B435" s="1" t="s">
        <v>112</v>
      </c>
      <c r="C435" s="2">
        <v>0</v>
      </c>
      <c r="D435" s="2">
        <v>0</v>
      </c>
      <c r="E435" s="2">
        <v>1324.95</v>
      </c>
      <c r="F435" s="2">
        <v>2124.02</v>
      </c>
      <c r="G435" s="2">
        <v>0</v>
      </c>
      <c r="H435" s="2">
        <v>0</v>
      </c>
      <c r="I435" s="2">
        <f>SUM(Tabela1[[#This Row],[Mão-de-obra (custo médio)]:[Materiais de troca (custo médio)]])</f>
        <v>3448.9700000000003</v>
      </c>
      <c r="J435" s="2">
        <f>Tabela1[[#This Row],[Custos da os]]-Tabela1[[#This Row],[Custo dos insumos]]</f>
        <v>3448.9700000000003</v>
      </c>
      <c r="K435" s="2" t="str">
        <f>IF(ABS(Tabela1[[#This Row],[Dif. Insumo e OS]])&lt;=0.02,"ok ou um centavo","verificar")</f>
        <v>verificar</v>
      </c>
    </row>
    <row r="436" spans="1:11" hidden="1" x14ac:dyDescent="0.25">
      <c r="A436" s="3" t="s">
        <v>520</v>
      </c>
      <c r="B436" s="3" t="s">
        <v>522</v>
      </c>
      <c r="C436" s="4">
        <v>181.5</v>
      </c>
      <c r="D436" s="4">
        <v>0</v>
      </c>
      <c r="E436" s="4">
        <v>181.5</v>
      </c>
      <c r="F436" s="4">
        <v>0</v>
      </c>
      <c r="G436" s="4">
        <v>0</v>
      </c>
      <c r="H436" s="4">
        <v>0</v>
      </c>
      <c r="I436" s="4">
        <f>SUM(Tabela1[[#This Row],[Mão-de-obra (custo médio)]:[Materiais de troca (custo médio)]])</f>
        <v>181.5</v>
      </c>
      <c r="J436" s="4">
        <f>Tabela1[[#This Row],[Custos da os]]-Tabela1[[#This Row],[Custo dos insumos]]</f>
        <v>0</v>
      </c>
      <c r="K436" s="4" t="str">
        <f>IF(ABS(Tabela1[[#This Row],[Dif. Insumo e OS]])&lt;=0.02,"ok ou um centavo","verificar")</f>
        <v>ok ou um centavo</v>
      </c>
    </row>
    <row r="437" spans="1:11" hidden="1" x14ac:dyDescent="0.25">
      <c r="A437" s="3" t="s">
        <v>520</v>
      </c>
      <c r="B437" s="3" t="s">
        <v>523</v>
      </c>
      <c r="C437" s="4">
        <v>72.599999999999994</v>
      </c>
      <c r="D437" s="4">
        <v>0</v>
      </c>
      <c r="E437" s="4">
        <v>72.599999999999994</v>
      </c>
      <c r="F437" s="4">
        <v>0</v>
      </c>
      <c r="G437" s="4">
        <v>0</v>
      </c>
      <c r="H437" s="4">
        <v>0</v>
      </c>
      <c r="I437" s="4">
        <f>SUM(Tabela1[[#This Row],[Mão-de-obra (custo médio)]:[Materiais de troca (custo médio)]])</f>
        <v>72.599999999999994</v>
      </c>
      <c r="J437" s="4">
        <f>Tabela1[[#This Row],[Custos da os]]-Tabela1[[#This Row],[Custo dos insumos]]</f>
        <v>0</v>
      </c>
      <c r="K437" s="4" t="str">
        <f>IF(ABS(Tabela1[[#This Row],[Dif. Insumo e OS]])&lt;=0.02,"ok ou um centavo","verificar")</f>
        <v>ok ou um centavo</v>
      </c>
    </row>
    <row r="438" spans="1:11" hidden="1" x14ac:dyDescent="0.25">
      <c r="A438" s="3" t="s">
        <v>524</v>
      </c>
      <c r="B438" s="3" t="s">
        <v>525</v>
      </c>
      <c r="C438" s="4">
        <v>82.44</v>
      </c>
      <c r="D438" s="4">
        <v>9.06</v>
      </c>
      <c r="E438" s="4">
        <v>0</v>
      </c>
      <c r="F438" s="4">
        <v>0</v>
      </c>
      <c r="G438" s="4">
        <v>0</v>
      </c>
      <c r="H438" s="4">
        <v>73.38</v>
      </c>
      <c r="I438" s="4">
        <f>SUM(Tabela1[[#This Row],[Mão-de-obra (custo médio)]:[Materiais de troca (custo médio)]])</f>
        <v>82.44</v>
      </c>
      <c r="J438" s="4">
        <f>Tabela1[[#This Row],[Custos da os]]-Tabela1[[#This Row],[Custo dos insumos]]</f>
        <v>0</v>
      </c>
      <c r="K438" s="4" t="str">
        <f>IF(ABS(Tabela1[[#This Row],[Dif. Insumo e OS]])&lt;=0.02,"ok ou um centavo","verificar")</f>
        <v>ok ou um centavo</v>
      </c>
    </row>
    <row r="439" spans="1:11" hidden="1" x14ac:dyDescent="0.25">
      <c r="A439" s="3" t="s">
        <v>524</v>
      </c>
      <c r="B439" s="3" t="s">
        <v>526</v>
      </c>
      <c r="C439" s="4">
        <v>3.64</v>
      </c>
      <c r="D439" s="4">
        <v>3.64</v>
      </c>
      <c r="E439" s="4">
        <v>0</v>
      </c>
      <c r="F439" s="4">
        <v>0</v>
      </c>
      <c r="G439" s="4">
        <v>0</v>
      </c>
      <c r="H439" s="4">
        <v>0</v>
      </c>
      <c r="I439" s="4">
        <f>SUM(Tabela1[[#This Row],[Mão-de-obra (custo médio)]:[Materiais de troca (custo médio)]])</f>
        <v>3.64</v>
      </c>
      <c r="J439" s="4">
        <f>Tabela1[[#This Row],[Custos da os]]-Tabela1[[#This Row],[Custo dos insumos]]</f>
        <v>0</v>
      </c>
      <c r="K439" s="4" t="str">
        <f>IF(ABS(Tabela1[[#This Row],[Dif. Insumo e OS]])&lt;=0.02,"ok ou um centavo","verificar")</f>
        <v>ok ou um centavo</v>
      </c>
    </row>
    <row r="440" spans="1:11" hidden="1" x14ac:dyDescent="0.25">
      <c r="A440" s="3" t="s">
        <v>524</v>
      </c>
      <c r="B440" s="3" t="s">
        <v>527</v>
      </c>
      <c r="C440" s="4">
        <v>62.63</v>
      </c>
      <c r="D440" s="4">
        <v>10.28</v>
      </c>
      <c r="E440" s="4">
        <v>0</v>
      </c>
      <c r="F440" s="4">
        <v>0</v>
      </c>
      <c r="G440" s="4">
        <v>52.35</v>
      </c>
      <c r="H440" s="4">
        <v>0</v>
      </c>
      <c r="I440" s="4">
        <f>SUM(Tabela1[[#This Row],[Mão-de-obra (custo médio)]:[Materiais de troca (custo médio)]])</f>
        <v>62.63</v>
      </c>
      <c r="J440" s="4">
        <f>Tabela1[[#This Row],[Custos da os]]-Tabela1[[#This Row],[Custo dos insumos]]</f>
        <v>0</v>
      </c>
      <c r="K440" s="4" t="str">
        <f>IF(ABS(Tabela1[[#This Row],[Dif. Insumo e OS]])&lt;=0.02,"ok ou um centavo","verificar")</f>
        <v>ok ou um centavo</v>
      </c>
    </row>
    <row r="441" spans="1:11" hidden="1" x14ac:dyDescent="0.25">
      <c r="A441" s="3" t="s">
        <v>528</v>
      </c>
      <c r="B441" s="3" t="s">
        <v>529</v>
      </c>
      <c r="C441" s="4">
        <v>0.85</v>
      </c>
      <c r="D441" s="4">
        <v>0.85</v>
      </c>
      <c r="E441" s="4">
        <v>0</v>
      </c>
      <c r="F441" s="4">
        <v>0</v>
      </c>
      <c r="G441" s="4">
        <v>0</v>
      </c>
      <c r="H441" s="4">
        <v>0</v>
      </c>
      <c r="I441" s="4">
        <f>SUM(Tabela1[[#This Row],[Mão-de-obra (custo médio)]:[Materiais de troca (custo médio)]])</f>
        <v>0.85</v>
      </c>
      <c r="J441" s="4">
        <f>Tabela1[[#This Row],[Custos da os]]-Tabela1[[#This Row],[Custo dos insumos]]</f>
        <v>0</v>
      </c>
      <c r="K441" s="4" t="str">
        <f>IF(ABS(Tabela1[[#This Row],[Dif. Insumo e OS]])&lt;=0.02,"ok ou um centavo","verificar")</f>
        <v>ok ou um centavo</v>
      </c>
    </row>
    <row r="442" spans="1:11" hidden="1" x14ac:dyDescent="0.25">
      <c r="A442" s="3" t="s">
        <v>528</v>
      </c>
      <c r="B442" s="3" t="s">
        <v>530</v>
      </c>
      <c r="C442" s="4">
        <v>72.599999999999994</v>
      </c>
      <c r="D442" s="4">
        <v>0</v>
      </c>
      <c r="E442" s="4">
        <v>72.599999999999994</v>
      </c>
      <c r="F442" s="4">
        <v>0</v>
      </c>
      <c r="G442" s="4">
        <v>0</v>
      </c>
      <c r="H442" s="4">
        <v>0</v>
      </c>
      <c r="I442" s="4">
        <f>SUM(Tabela1[[#This Row],[Mão-de-obra (custo médio)]:[Materiais de troca (custo médio)]])</f>
        <v>72.599999999999994</v>
      </c>
      <c r="J442" s="4">
        <f>Tabela1[[#This Row],[Custos da os]]-Tabela1[[#This Row],[Custo dos insumos]]</f>
        <v>0</v>
      </c>
      <c r="K442" s="4" t="str">
        <f>IF(ABS(Tabela1[[#This Row],[Dif. Insumo e OS]])&lt;=0.02,"ok ou um centavo","verificar")</f>
        <v>ok ou um centavo</v>
      </c>
    </row>
    <row r="443" spans="1:11" hidden="1" x14ac:dyDescent="0.25">
      <c r="A443" s="3" t="s">
        <v>531</v>
      </c>
      <c r="B443" s="3" t="s">
        <v>532</v>
      </c>
      <c r="C443" s="4">
        <v>317.62</v>
      </c>
      <c r="D443" s="4">
        <v>0</v>
      </c>
      <c r="E443" s="4">
        <v>317.62</v>
      </c>
      <c r="F443" s="4">
        <v>0</v>
      </c>
      <c r="G443" s="4">
        <v>0</v>
      </c>
      <c r="H443" s="4">
        <v>0</v>
      </c>
      <c r="I443" s="4">
        <f>SUM(Tabela1[[#This Row],[Mão-de-obra (custo médio)]:[Materiais de troca (custo médio)]])</f>
        <v>317.62</v>
      </c>
      <c r="J443" s="4">
        <f>Tabela1[[#This Row],[Custos da os]]-Tabela1[[#This Row],[Custo dos insumos]]</f>
        <v>0</v>
      </c>
      <c r="K443" s="4" t="str">
        <f>IF(ABS(Tabela1[[#This Row],[Dif. Insumo e OS]])&lt;=0.02,"ok ou um centavo","verificar")</f>
        <v>ok ou um centavo</v>
      </c>
    </row>
    <row r="444" spans="1:11" hidden="1" x14ac:dyDescent="0.25">
      <c r="A444" s="3" t="s">
        <v>531</v>
      </c>
      <c r="B444" s="3" t="s">
        <v>533</v>
      </c>
      <c r="C444" s="4">
        <v>92.82</v>
      </c>
      <c r="D444" s="4">
        <v>19.45</v>
      </c>
      <c r="E444" s="4">
        <v>0</v>
      </c>
      <c r="F444" s="4">
        <v>0</v>
      </c>
      <c r="G444" s="4">
        <v>0</v>
      </c>
      <c r="H444" s="4">
        <v>73.37</v>
      </c>
      <c r="I444" s="4">
        <f>SUM(Tabela1[[#This Row],[Mão-de-obra (custo médio)]:[Materiais de troca (custo médio)]])</f>
        <v>92.820000000000007</v>
      </c>
      <c r="J444" s="4">
        <f>Tabela1[[#This Row],[Custos da os]]-Tabela1[[#This Row],[Custo dos insumos]]</f>
        <v>0</v>
      </c>
      <c r="K444" s="4" t="str">
        <f>IF(ABS(Tabela1[[#This Row],[Dif. Insumo e OS]])&lt;=0.02,"ok ou um centavo","verificar")</f>
        <v>ok ou um centavo</v>
      </c>
    </row>
    <row r="445" spans="1:11" hidden="1" x14ac:dyDescent="0.25">
      <c r="A445" s="3" t="s">
        <v>531</v>
      </c>
      <c r="B445" s="3" t="s">
        <v>534</v>
      </c>
      <c r="C445" s="4">
        <v>907.5</v>
      </c>
      <c r="D445" s="4">
        <v>0</v>
      </c>
      <c r="E445" s="4">
        <v>907.5</v>
      </c>
      <c r="F445" s="4">
        <v>0</v>
      </c>
      <c r="G445" s="4">
        <v>0</v>
      </c>
      <c r="H445" s="4">
        <v>0</v>
      </c>
      <c r="I445" s="4">
        <f>SUM(Tabela1[[#This Row],[Mão-de-obra (custo médio)]:[Materiais de troca (custo médio)]])</f>
        <v>907.5</v>
      </c>
      <c r="J445" s="4">
        <f>Tabela1[[#This Row],[Custos da os]]-Tabela1[[#This Row],[Custo dos insumos]]</f>
        <v>0</v>
      </c>
      <c r="K445" s="4" t="str">
        <f>IF(ABS(Tabela1[[#This Row],[Dif. Insumo e OS]])&lt;=0.02,"ok ou um centavo","verificar")</f>
        <v>ok ou um centavo</v>
      </c>
    </row>
    <row r="446" spans="1:11" hidden="1" x14ac:dyDescent="0.25">
      <c r="A446" s="3" t="s">
        <v>531</v>
      </c>
      <c r="B446" s="3" t="s">
        <v>535</v>
      </c>
      <c r="C446" s="4">
        <v>0.46</v>
      </c>
      <c r="D446" s="4">
        <v>0.46</v>
      </c>
      <c r="E446" s="4">
        <v>0</v>
      </c>
      <c r="F446" s="4">
        <v>0</v>
      </c>
      <c r="G446" s="4">
        <v>0</v>
      </c>
      <c r="H446" s="4">
        <v>0</v>
      </c>
      <c r="I446" s="4">
        <f>SUM(Tabela1[[#This Row],[Mão-de-obra (custo médio)]:[Materiais de troca (custo médio)]])</f>
        <v>0.46</v>
      </c>
      <c r="J446" s="4">
        <f>Tabela1[[#This Row],[Custos da os]]-Tabela1[[#This Row],[Custo dos insumos]]</f>
        <v>0</v>
      </c>
      <c r="K446" s="4" t="str">
        <f>IF(ABS(Tabela1[[#This Row],[Dif. Insumo e OS]])&lt;=0.02,"ok ou um centavo","verificar")</f>
        <v>ok ou um centavo</v>
      </c>
    </row>
    <row r="447" spans="1:11" hidden="1" x14ac:dyDescent="0.25">
      <c r="A447" s="3" t="s">
        <v>531</v>
      </c>
      <c r="B447" s="3" t="s">
        <v>536</v>
      </c>
      <c r="C447" s="4">
        <v>0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f>SUM(Tabela1[[#This Row],[Mão-de-obra (custo médio)]:[Materiais de troca (custo médio)]])</f>
        <v>0</v>
      </c>
      <c r="J447" s="4">
        <f>Tabela1[[#This Row],[Custos da os]]-Tabela1[[#This Row],[Custo dos insumos]]</f>
        <v>0</v>
      </c>
      <c r="K447" s="4" t="str">
        <f>IF(ABS(Tabela1[[#This Row],[Dif. Insumo e OS]])&lt;=0.02,"ok ou um centavo","verificar")</f>
        <v>ok ou um centavo</v>
      </c>
    </row>
    <row r="448" spans="1:11" x14ac:dyDescent="0.25">
      <c r="A448" s="1" t="s">
        <v>293</v>
      </c>
      <c r="B448" s="1" t="s">
        <v>294</v>
      </c>
      <c r="C448" s="2">
        <v>4233.07</v>
      </c>
      <c r="D448" s="2">
        <v>0</v>
      </c>
      <c r="E448" s="2">
        <v>0</v>
      </c>
      <c r="F448" s="2">
        <v>0</v>
      </c>
      <c r="G448" s="2">
        <v>498.07</v>
      </c>
      <c r="H448" s="2">
        <v>7376.66</v>
      </c>
      <c r="I448" s="2">
        <f>SUM(Tabela1[[#This Row],[Mão-de-obra (custo médio)]:[Materiais de troca (custo médio)]])</f>
        <v>7874.73</v>
      </c>
      <c r="J448" s="2">
        <f>Tabela1[[#This Row],[Custos da os]]-Tabela1[[#This Row],[Custo dos insumos]]</f>
        <v>3641.66</v>
      </c>
      <c r="K448" s="2" t="str">
        <f>IF(ABS(Tabela1[[#This Row],[Dif. Insumo e OS]])&lt;=0.02,"ok ou um centavo","verificar")</f>
        <v>verificar</v>
      </c>
    </row>
    <row r="449" spans="1:11" hidden="1" x14ac:dyDescent="0.25">
      <c r="A449" s="3" t="s">
        <v>539</v>
      </c>
      <c r="B449" s="3" t="s">
        <v>540</v>
      </c>
      <c r="C449" s="4">
        <v>0.46</v>
      </c>
      <c r="D449" s="4">
        <v>0.46</v>
      </c>
      <c r="E449" s="4">
        <v>0</v>
      </c>
      <c r="F449" s="4">
        <v>0</v>
      </c>
      <c r="G449" s="4">
        <v>0</v>
      </c>
      <c r="H449" s="4">
        <v>0</v>
      </c>
      <c r="I449" s="4">
        <f>SUM(Tabela1[[#This Row],[Mão-de-obra (custo médio)]:[Materiais de troca (custo médio)]])</f>
        <v>0.46</v>
      </c>
      <c r="J449" s="4">
        <f>Tabela1[[#This Row],[Custos da os]]-Tabela1[[#This Row],[Custo dos insumos]]</f>
        <v>0</v>
      </c>
      <c r="K449" s="4" t="str">
        <f>IF(ABS(Tabela1[[#This Row],[Dif. Insumo e OS]])&lt;=0.02,"ok ou um centavo","verificar")</f>
        <v>ok ou um centavo</v>
      </c>
    </row>
    <row r="450" spans="1:11" hidden="1" x14ac:dyDescent="0.25">
      <c r="A450" s="3" t="s">
        <v>539</v>
      </c>
      <c r="B450" s="3" t="s">
        <v>541</v>
      </c>
      <c r="C450" s="4">
        <v>52.25</v>
      </c>
      <c r="D450" s="4">
        <v>23.26</v>
      </c>
      <c r="E450" s="4">
        <v>0</v>
      </c>
      <c r="F450" s="4">
        <v>0</v>
      </c>
      <c r="G450" s="4">
        <v>28.99</v>
      </c>
      <c r="H450" s="4">
        <v>0</v>
      </c>
      <c r="I450" s="4">
        <f>SUM(Tabela1[[#This Row],[Mão-de-obra (custo médio)]:[Materiais de troca (custo médio)]])</f>
        <v>52.25</v>
      </c>
      <c r="J450" s="4">
        <f>Tabela1[[#This Row],[Custos da os]]-Tabela1[[#This Row],[Custo dos insumos]]</f>
        <v>0</v>
      </c>
      <c r="K450" s="4" t="str">
        <f>IF(ABS(Tabela1[[#This Row],[Dif. Insumo e OS]])&lt;=0.02,"ok ou um centavo","verificar")</f>
        <v>ok ou um centavo</v>
      </c>
    </row>
    <row r="451" spans="1:11" hidden="1" x14ac:dyDescent="0.25">
      <c r="A451" s="3" t="s">
        <v>542</v>
      </c>
      <c r="B451" s="3" t="s">
        <v>543</v>
      </c>
      <c r="C451" s="4">
        <v>25.33</v>
      </c>
      <c r="D451" s="4">
        <v>12.36</v>
      </c>
      <c r="E451" s="4">
        <v>0</v>
      </c>
      <c r="F451" s="4">
        <v>0</v>
      </c>
      <c r="G451" s="4">
        <v>0</v>
      </c>
      <c r="H451" s="4">
        <v>12.97</v>
      </c>
      <c r="I451" s="4">
        <f>SUM(Tabela1[[#This Row],[Mão-de-obra (custo médio)]:[Materiais de troca (custo médio)]])</f>
        <v>25.33</v>
      </c>
      <c r="J451" s="4">
        <f>Tabela1[[#This Row],[Custos da os]]-Tabela1[[#This Row],[Custo dos insumos]]</f>
        <v>0</v>
      </c>
      <c r="K451" s="4" t="str">
        <f>IF(ABS(Tabela1[[#This Row],[Dif. Insumo e OS]])&lt;=0.02,"ok ou um centavo","verificar")</f>
        <v>ok ou um centavo</v>
      </c>
    </row>
    <row r="452" spans="1:11" hidden="1" x14ac:dyDescent="0.25">
      <c r="A452" s="3" t="s">
        <v>544</v>
      </c>
      <c r="B452" s="3" t="s">
        <v>545</v>
      </c>
      <c r="C452" s="4">
        <v>215.71</v>
      </c>
      <c r="D452" s="4">
        <v>107.52</v>
      </c>
      <c r="E452" s="4">
        <v>0</v>
      </c>
      <c r="F452" s="4">
        <v>0</v>
      </c>
      <c r="G452" s="4">
        <v>0</v>
      </c>
      <c r="H452" s="4">
        <v>108.19</v>
      </c>
      <c r="I452" s="4">
        <f>SUM(Tabela1[[#This Row],[Mão-de-obra (custo médio)]:[Materiais de troca (custo médio)]])</f>
        <v>215.70999999999998</v>
      </c>
      <c r="J452" s="4">
        <f>Tabela1[[#This Row],[Custos da os]]-Tabela1[[#This Row],[Custo dos insumos]]</f>
        <v>0</v>
      </c>
      <c r="K452" s="4" t="str">
        <f>IF(ABS(Tabela1[[#This Row],[Dif. Insumo e OS]])&lt;=0.02,"ok ou um centavo","verificar")</f>
        <v>ok ou um centavo</v>
      </c>
    </row>
    <row r="453" spans="1:11" hidden="1" x14ac:dyDescent="0.25">
      <c r="A453" s="3" t="s">
        <v>544</v>
      </c>
      <c r="B453" s="3" t="s">
        <v>546</v>
      </c>
      <c r="C453" s="4">
        <v>58.08</v>
      </c>
      <c r="D453" s="4">
        <v>26.36</v>
      </c>
      <c r="E453" s="4">
        <v>0</v>
      </c>
      <c r="F453" s="4">
        <v>0</v>
      </c>
      <c r="G453" s="4">
        <v>31.72</v>
      </c>
      <c r="H453" s="4">
        <v>0</v>
      </c>
      <c r="I453" s="4">
        <f>SUM(Tabela1[[#This Row],[Mão-de-obra (custo médio)]:[Materiais de troca (custo médio)]])</f>
        <v>58.08</v>
      </c>
      <c r="J453" s="4">
        <f>Tabela1[[#This Row],[Custos da os]]-Tabela1[[#This Row],[Custo dos insumos]]</f>
        <v>0</v>
      </c>
      <c r="K453" s="4" t="str">
        <f>IF(ABS(Tabela1[[#This Row],[Dif. Insumo e OS]])&lt;=0.02,"ok ou um centavo","verificar")</f>
        <v>ok ou um centavo</v>
      </c>
    </row>
    <row r="454" spans="1:11" hidden="1" x14ac:dyDescent="0.25">
      <c r="A454" s="3" t="s">
        <v>547</v>
      </c>
      <c r="B454" s="3" t="s">
        <v>548</v>
      </c>
      <c r="C454" s="4">
        <v>0.22</v>
      </c>
      <c r="D454" s="4">
        <v>0.22</v>
      </c>
      <c r="E454" s="4">
        <v>0</v>
      </c>
      <c r="F454" s="4">
        <v>0</v>
      </c>
      <c r="G454" s="4">
        <v>0</v>
      </c>
      <c r="H454" s="4">
        <v>0</v>
      </c>
      <c r="I454" s="4">
        <f>SUM(Tabela1[[#This Row],[Mão-de-obra (custo médio)]:[Materiais de troca (custo médio)]])</f>
        <v>0.22</v>
      </c>
      <c r="J454" s="4">
        <f>Tabela1[[#This Row],[Custos da os]]-Tabela1[[#This Row],[Custo dos insumos]]</f>
        <v>0</v>
      </c>
      <c r="K454" s="4" t="str">
        <f>IF(ABS(Tabela1[[#This Row],[Dif. Insumo e OS]])&lt;=0.02,"ok ou um centavo","verificar")</f>
        <v>ok ou um centavo</v>
      </c>
    </row>
    <row r="455" spans="1:11" hidden="1" x14ac:dyDescent="0.25">
      <c r="A455" s="3" t="s">
        <v>547</v>
      </c>
      <c r="B455" s="3" t="s">
        <v>549</v>
      </c>
      <c r="C455" s="4">
        <v>3.64</v>
      </c>
      <c r="D455" s="4">
        <v>3.64</v>
      </c>
      <c r="E455" s="4">
        <v>0</v>
      </c>
      <c r="F455" s="4">
        <v>0</v>
      </c>
      <c r="G455" s="4">
        <v>0</v>
      </c>
      <c r="H455" s="4">
        <v>0</v>
      </c>
      <c r="I455" s="4">
        <f>SUM(Tabela1[[#This Row],[Mão-de-obra (custo médio)]:[Materiais de troca (custo médio)]])</f>
        <v>3.64</v>
      </c>
      <c r="J455" s="4">
        <f>Tabela1[[#This Row],[Custos da os]]-Tabela1[[#This Row],[Custo dos insumos]]</f>
        <v>0</v>
      </c>
      <c r="K455" s="4" t="str">
        <f>IF(ABS(Tabela1[[#This Row],[Dif. Insumo e OS]])&lt;=0.02,"ok ou um centavo","verificar")</f>
        <v>ok ou um centavo</v>
      </c>
    </row>
    <row r="456" spans="1:11" hidden="1" x14ac:dyDescent="0.25">
      <c r="A456" s="3" t="s">
        <v>547</v>
      </c>
      <c r="B456" s="3" t="s">
        <v>550</v>
      </c>
      <c r="C456" s="4">
        <v>0.46</v>
      </c>
      <c r="D456" s="4">
        <v>0.46</v>
      </c>
      <c r="E456" s="4">
        <v>0</v>
      </c>
      <c r="F456" s="4">
        <v>0</v>
      </c>
      <c r="G456" s="4">
        <v>0</v>
      </c>
      <c r="H456" s="4">
        <v>0</v>
      </c>
      <c r="I456" s="4">
        <f>SUM(Tabela1[[#This Row],[Mão-de-obra (custo médio)]:[Materiais de troca (custo médio)]])</f>
        <v>0.46</v>
      </c>
      <c r="J456" s="4">
        <f>Tabela1[[#This Row],[Custos da os]]-Tabela1[[#This Row],[Custo dos insumos]]</f>
        <v>0</v>
      </c>
      <c r="K456" s="4" t="str">
        <f>IF(ABS(Tabela1[[#This Row],[Dif. Insumo e OS]])&lt;=0.02,"ok ou um centavo","verificar")</f>
        <v>ok ou um centavo</v>
      </c>
    </row>
    <row r="457" spans="1:11" hidden="1" x14ac:dyDescent="0.25">
      <c r="A457" s="3" t="s">
        <v>551</v>
      </c>
      <c r="B457" s="3" t="s">
        <v>552</v>
      </c>
      <c r="C457" s="4">
        <v>0.11</v>
      </c>
      <c r="D457" s="4">
        <v>0.11</v>
      </c>
      <c r="E457" s="4">
        <v>0</v>
      </c>
      <c r="F457" s="4">
        <v>0</v>
      </c>
      <c r="G457" s="4">
        <v>0</v>
      </c>
      <c r="H457" s="4">
        <v>0</v>
      </c>
      <c r="I457" s="4">
        <f>SUM(Tabela1[[#This Row],[Mão-de-obra (custo médio)]:[Materiais de troca (custo médio)]])</f>
        <v>0.11</v>
      </c>
      <c r="J457" s="4">
        <f>Tabela1[[#This Row],[Custos da os]]-Tabela1[[#This Row],[Custo dos insumos]]</f>
        <v>0</v>
      </c>
      <c r="K457" s="4" t="str">
        <f>IF(ABS(Tabela1[[#This Row],[Dif. Insumo e OS]])&lt;=0.02,"ok ou um centavo","verificar")</f>
        <v>ok ou um centavo</v>
      </c>
    </row>
    <row r="458" spans="1:11" hidden="1" x14ac:dyDescent="0.25">
      <c r="A458" s="3" t="s">
        <v>553</v>
      </c>
      <c r="B458" s="3" t="s">
        <v>554</v>
      </c>
      <c r="C458" s="4">
        <v>165.51</v>
      </c>
      <c r="D458" s="4">
        <v>57.33</v>
      </c>
      <c r="E458" s="4">
        <v>0</v>
      </c>
      <c r="F458" s="4">
        <v>0</v>
      </c>
      <c r="G458" s="4">
        <v>0</v>
      </c>
      <c r="H458" s="4">
        <v>108.19</v>
      </c>
      <c r="I458" s="4">
        <f>SUM(Tabela1[[#This Row],[Mão-de-obra (custo médio)]:[Materiais de troca (custo médio)]])</f>
        <v>165.51999999999998</v>
      </c>
      <c r="J458" s="4">
        <f>Tabela1[[#This Row],[Custos da os]]-Tabela1[[#This Row],[Custo dos insumos]]</f>
        <v>9.9999999999909051E-3</v>
      </c>
      <c r="K458" s="4" t="str">
        <f>IF(ABS(Tabela1[[#This Row],[Dif. Insumo e OS]])&lt;=0.02,"ok ou um centavo","verificar")</f>
        <v>ok ou um centavo</v>
      </c>
    </row>
    <row r="459" spans="1:11" hidden="1" x14ac:dyDescent="0.25">
      <c r="A459" s="3" t="s">
        <v>553</v>
      </c>
      <c r="B459" s="3" t="s">
        <v>555</v>
      </c>
      <c r="C459" s="4">
        <v>68.2</v>
      </c>
      <c r="D459" s="4">
        <v>59.99</v>
      </c>
      <c r="E459" s="4">
        <v>0</v>
      </c>
      <c r="F459" s="4">
        <v>0</v>
      </c>
      <c r="G459" s="4">
        <v>8.2100000000000009</v>
      </c>
      <c r="H459" s="4">
        <v>0</v>
      </c>
      <c r="I459" s="4">
        <f>SUM(Tabela1[[#This Row],[Mão-de-obra (custo médio)]:[Materiais de troca (custo médio)]])</f>
        <v>68.2</v>
      </c>
      <c r="J459" s="4">
        <f>Tabela1[[#This Row],[Custos da os]]-Tabela1[[#This Row],[Custo dos insumos]]</f>
        <v>0</v>
      </c>
      <c r="K459" s="4" t="str">
        <f>IF(ABS(Tabela1[[#This Row],[Dif. Insumo e OS]])&lt;=0.02,"ok ou um centavo","verificar")</f>
        <v>ok ou um centavo</v>
      </c>
    </row>
    <row r="460" spans="1:11" hidden="1" x14ac:dyDescent="0.25">
      <c r="A460" s="3" t="s">
        <v>553</v>
      </c>
      <c r="B460" s="3" t="s">
        <v>556</v>
      </c>
      <c r="C460" s="4">
        <v>0.11</v>
      </c>
      <c r="D460" s="4">
        <v>0.11</v>
      </c>
      <c r="E460" s="4">
        <v>0</v>
      </c>
      <c r="F460" s="4">
        <v>0</v>
      </c>
      <c r="G460" s="4">
        <v>0</v>
      </c>
      <c r="H460" s="4">
        <v>0</v>
      </c>
      <c r="I460" s="4">
        <f>SUM(Tabela1[[#This Row],[Mão-de-obra (custo médio)]:[Materiais de troca (custo médio)]])</f>
        <v>0.11</v>
      </c>
      <c r="J460" s="4">
        <f>Tabela1[[#This Row],[Custos da os]]-Tabela1[[#This Row],[Custo dos insumos]]</f>
        <v>0</v>
      </c>
      <c r="K460" s="4" t="str">
        <f>IF(ABS(Tabela1[[#This Row],[Dif. Insumo e OS]])&lt;=0.02,"ok ou um centavo","verificar")</f>
        <v>ok ou um centavo</v>
      </c>
    </row>
    <row r="461" spans="1:11" hidden="1" x14ac:dyDescent="0.25">
      <c r="A461" s="3" t="s">
        <v>557</v>
      </c>
      <c r="B461" s="3" t="s">
        <v>558</v>
      </c>
      <c r="C461" s="4">
        <v>38.270000000000003</v>
      </c>
      <c r="D461" s="4">
        <v>6.55</v>
      </c>
      <c r="E461" s="4">
        <v>0</v>
      </c>
      <c r="F461" s="4">
        <v>0</v>
      </c>
      <c r="G461" s="4">
        <v>31.72</v>
      </c>
      <c r="H461" s="4">
        <v>0</v>
      </c>
      <c r="I461" s="4">
        <f>SUM(Tabela1[[#This Row],[Mão-de-obra (custo médio)]:[Materiais de troca (custo médio)]])</f>
        <v>38.269999999999996</v>
      </c>
      <c r="J461" s="4">
        <f>Tabela1[[#This Row],[Custos da os]]-Tabela1[[#This Row],[Custo dos insumos]]</f>
        <v>0</v>
      </c>
      <c r="K461" s="4" t="str">
        <f>IF(ABS(Tabela1[[#This Row],[Dif. Insumo e OS]])&lt;=0.02,"ok ou um centavo","verificar")</f>
        <v>ok ou um centavo</v>
      </c>
    </row>
    <row r="462" spans="1:11" x14ac:dyDescent="0.25">
      <c r="A462" s="1" t="s">
        <v>103</v>
      </c>
      <c r="B462" s="1" t="s">
        <v>117</v>
      </c>
      <c r="C462" s="2">
        <v>0</v>
      </c>
      <c r="D462" s="2">
        <v>0</v>
      </c>
      <c r="E462" s="2">
        <v>671.55</v>
      </c>
      <c r="F462" s="2">
        <v>3602.77</v>
      </c>
      <c r="G462" s="2">
        <v>0</v>
      </c>
      <c r="H462" s="2">
        <v>0</v>
      </c>
      <c r="I462" s="2">
        <f>SUM(Tabela1[[#This Row],[Mão-de-obra (custo médio)]:[Materiais de troca (custo médio)]])</f>
        <v>4274.32</v>
      </c>
      <c r="J462" s="2">
        <f>Tabela1[[#This Row],[Custos da os]]-Tabela1[[#This Row],[Custo dos insumos]]</f>
        <v>4274.32</v>
      </c>
      <c r="K462" s="2" t="str">
        <f>IF(ABS(Tabela1[[#This Row],[Dif. Insumo e OS]])&lt;=0.02,"ok ou um centavo","verificar")</f>
        <v>verificar</v>
      </c>
    </row>
    <row r="463" spans="1:11" hidden="1" x14ac:dyDescent="0.25">
      <c r="A463" s="3" t="s">
        <v>560</v>
      </c>
      <c r="B463" s="3" t="s">
        <v>561</v>
      </c>
      <c r="C463" s="4">
        <v>118.02</v>
      </c>
      <c r="D463" s="4">
        <v>62.2</v>
      </c>
      <c r="E463" s="4">
        <v>0</v>
      </c>
      <c r="F463" s="4">
        <v>0</v>
      </c>
      <c r="G463" s="4">
        <v>55.81</v>
      </c>
      <c r="H463" s="4">
        <v>0</v>
      </c>
      <c r="I463" s="4">
        <f>SUM(Tabela1[[#This Row],[Mão-de-obra (custo médio)]:[Materiais de troca (custo médio)]])</f>
        <v>118.01</v>
      </c>
      <c r="J463" s="4">
        <f>Tabela1[[#This Row],[Custos da os]]-Tabela1[[#This Row],[Custo dos insumos]]</f>
        <v>-9.9999999999909051E-3</v>
      </c>
      <c r="K463" s="4" t="str">
        <f>IF(ABS(Tabela1[[#This Row],[Dif. Insumo e OS]])&lt;=0.02,"ok ou um centavo","verificar")</f>
        <v>ok ou um centavo</v>
      </c>
    </row>
    <row r="464" spans="1:11" x14ac:dyDescent="0.25">
      <c r="A464" s="1" t="s">
        <v>98</v>
      </c>
      <c r="B464" s="1" t="s">
        <v>100</v>
      </c>
      <c r="C464" s="2">
        <v>1426.09</v>
      </c>
      <c r="D464" s="2">
        <v>434.76</v>
      </c>
      <c r="E464" s="2">
        <v>0</v>
      </c>
      <c r="F464" s="2">
        <v>0</v>
      </c>
      <c r="G464" s="2">
        <v>834.82</v>
      </c>
      <c r="H464" s="2">
        <v>4776.2299999999996</v>
      </c>
      <c r="I464" s="2">
        <f>SUM(Tabela1[[#This Row],[Mão-de-obra (custo médio)]:[Materiais de troca (custo médio)]])</f>
        <v>6045.8099999999995</v>
      </c>
      <c r="J464" s="2">
        <f>Tabela1[[#This Row],[Custos da os]]-Tabela1[[#This Row],[Custo dos insumos]]</f>
        <v>4619.7199999999993</v>
      </c>
      <c r="K464" s="2" t="str">
        <f>IF(ABS(Tabela1[[#This Row],[Dif. Insumo e OS]])&lt;=0.02,"ok ou um centavo","verificar")</f>
        <v>verificar</v>
      </c>
    </row>
    <row r="465" spans="1:11" hidden="1" x14ac:dyDescent="0.25">
      <c r="A465" s="3" t="s">
        <v>560</v>
      </c>
      <c r="B465" s="3" t="s">
        <v>563</v>
      </c>
      <c r="C465" s="4">
        <v>0.46</v>
      </c>
      <c r="D465" s="4">
        <v>0.46</v>
      </c>
      <c r="E465" s="4">
        <v>0</v>
      </c>
      <c r="F465" s="4">
        <v>0</v>
      </c>
      <c r="G465" s="4">
        <v>0</v>
      </c>
      <c r="H465" s="4">
        <v>0</v>
      </c>
      <c r="I465" s="4">
        <f>SUM(Tabela1[[#This Row],[Mão-de-obra (custo médio)]:[Materiais de troca (custo médio)]])</f>
        <v>0.46</v>
      </c>
      <c r="J465" s="4">
        <f>Tabela1[[#This Row],[Custos da os]]-Tabela1[[#This Row],[Custo dos insumos]]</f>
        <v>0</v>
      </c>
      <c r="K465" s="4" t="str">
        <f>IF(ABS(Tabela1[[#This Row],[Dif. Insumo e OS]])&lt;=0.02,"ok ou um centavo","verificar")</f>
        <v>ok ou um centavo</v>
      </c>
    </row>
    <row r="466" spans="1:11" hidden="1" x14ac:dyDescent="0.25">
      <c r="A466" s="3" t="s">
        <v>564</v>
      </c>
      <c r="B466" s="3" t="s">
        <v>565</v>
      </c>
      <c r="C466" s="4">
        <v>10.199999999999999</v>
      </c>
      <c r="D466" s="4">
        <v>10.199999999999999</v>
      </c>
      <c r="E466" s="4">
        <v>0</v>
      </c>
      <c r="F466" s="4">
        <v>0</v>
      </c>
      <c r="G466" s="4">
        <v>0</v>
      </c>
      <c r="H466" s="4">
        <v>0</v>
      </c>
      <c r="I466" s="4">
        <f>SUM(Tabela1[[#This Row],[Mão-de-obra (custo médio)]:[Materiais de troca (custo médio)]])</f>
        <v>10.199999999999999</v>
      </c>
      <c r="J466" s="4">
        <f>Tabela1[[#This Row],[Custos da os]]-Tabela1[[#This Row],[Custo dos insumos]]</f>
        <v>0</v>
      </c>
      <c r="K466" s="4" t="str">
        <f>IF(ABS(Tabela1[[#This Row],[Dif. Insumo e OS]])&lt;=0.02,"ok ou um centavo","verificar")</f>
        <v>ok ou um centavo</v>
      </c>
    </row>
    <row r="467" spans="1:11" x14ac:dyDescent="0.25">
      <c r="A467" s="1" t="s">
        <v>367</v>
      </c>
      <c r="B467" s="1" t="s">
        <v>368</v>
      </c>
      <c r="C467" s="2">
        <v>1623.98</v>
      </c>
      <c r="D467" s="2">
        <v>123.98</v>
      </c>
      <c r="E467" s="2">
        <v>0</v>
      </c>
      <c r="F467" s="2">
        <v>0</v>
      </c>
      <c r="G467" s="2">
        <v>1391.41</v>
      </c>
      <c r="H467" s="2">
        <v>5008.38</v>
      </c>
      <c r="I467" s="2">
        <f>SUM(Tabela1[[#This Row],[Mão-de-obra (custo médio)]:[Materiais de troca (custo médio)]])</f>
        <v>6523.77</v>
      </c>
      <c r="J467" s="2">
        <f>Tabela1[[#This Row],[Custos da os]]-Tabela1[[#This Row],[Custo dos insumos]]</f>
        <v>4899.7900000000009</v>
      </c>
      <c r="K467" s="2" t="str">
        <f>IF(ABS(Tabela1[[#This Row],[Dif. Insumo e OS]])&lt;=0.02,"ok ou um centavo","verificar")</f>
        <v>verificar</v>
      </c>
    </row>
    <row r="468" spans="1:11" hidden="1" x14ac:dyDescent="0.25">
      <c r="A468" s="3" t="s">
        <v>564</v>
      </c>
      <c r="B468" s="3" t="s">
        <v>567</v>
      </c>
      <c r="C468" s="4">
        <v>0.11</v>
      </c>
      <c r="D468" s="4">
        <v>0.11</v>
      </c>
      <c r="E468" s="4">
        <v>0</v>
      </c>
      <c r="F468" s="4">
        <v>0</v>
      </c>
      <c r="G468" s="4">
        <v>0</v>
      </c>
      <c r="H468" s="4">
        <v>0</v>
      </c>
      <c r="I468" s="4">
        <f>SUM(Tabela1[[#This Row],[Mão-de-obra (custo médio)]:[Materiais de troca (custo médio)]])</f>
        <v>0.11</v>
      </c>
      <c r="J468" s="4">
        <f>Tabela1[[#This Row],[Custos da os]]-Tabela1[[#This Row],[Custo dos insumos]]</f>
        <v>0</v>
      </c>
      <c r="K468" s="4" t="str">
        <f>IF(ABS(Tabela1[[#This Row],[Dif. Insumo e OS]])&lt;=0.02,"ok ou um centavo","verificar")</f>
        <v>ok ou um centavo</v>
      </c>
    </row>
    <row r="469" spans="1:11" hidden="1" x14ac:dyDescent="0.25">
      <c r="A469" s="3" t="s">
        <v>564</v>
      </c>
      <c r="B469" s="3" t="s">
        <v>568</v>
      </c>
      <c r="C469" s="4">
        <v>128.16999999999999</v>
      </c>
      <c r="D469" s="4">
        <v>0.46</v>
      </c>
      <c r="E469" s="4">
        <v>0</v>
      </c>
      <c r="F469" s="4">
        <v>0</v>
      </c>
      <c r="G469" s="4">
        <v>0</v>
      </c>
      <c r="H469" s="4">
        <v>127.71</v>
      </c>
      <c r="I469" s="4">
        <f>SUM(Tabela1[[#This Row],[Mão-de-obra (custo médio)]:[Materiais de troca (custo médio)]])</f>
        <v>128.16999999999999</v>
      </c>
      <c r="J469" s="4">
        <f>Tabela1[[#This Row],[Custos da os]]-Tabela1[[#This Row],[Custo dos insumos]]</f>
        <v>0</v>
      </c>
      <c r="K469" s="4" t="str">
        <f>IF(ABS(Tabela1[[#This Row],[Dif. Insumo e OS]])&lt;=0.02,"ok ou um centavo","verificar")</f>
        <v>ok ou um centavo</v>
      </c>
    </row>
    <row r="470" spans="1:11" hidden="1" x14ac:dyDescent="0.25">
      <c r="A470" s="3" t="s">
        <v>564</v>
      </c>
      <c r="B470" s="3" t="s">
        <v>569</v>
      </c>
      <c r="C470" s="4">
        <v>0.12</v>
      </c>
      <c r="D470" s="4">
        <v>0.12</v>
      </c>
      <c r="E470" s="4">
        <v>0</v>
      </c>
      <c r="F470" s="4">
        <v>0</v>
      </c>
      <c r="G470" s="4">
        <v>0</v>
      </c>
      <c r="H470" s="4">
        <v>0</v>
      </c>
      <c r="I470" s="4">
        <f>SUM(Tabela1[[#This Row],[Mão-de-obra (custo médio)]:[Materiais de troca (custo médio)]])</f>
        <v>0.12</v>
      </c>
      <c r="J470" s="4">
        <f>Tabela1[[#This Row],[Custos da os]]-Tabela1[[#This Row],[Custo dos insumos]]</f>
        <v>0</v>
      </c>
      <c r="K470" s="4" t="str">
        <f>IF(ABS(Tabela1[[#This Row],[Dif. Insumo e OS]])&lt;=0.02,"ok ou um centavo","verificar")</f>
        <v>ok ou um centavo</v>
      </c>
    </row>
    <row r="471" spans="1:11" hidden="1" x14ac:dyDescent="0.25">
      <c r="A471" s="3" t="s">
        <v>564</v>
      </c>
      <c r="B471" s="3" t="s">
        <v>570</v>
      </c>
      <c r="C471" s="4">
        <v>0.12</v>
      </c>
      <c r="D471" s="4">
        <v>0.12</v>
      </c>
      <c r="E471" s="4">
        <v>0</v>
      </c>
      <c r="F471" s="4">
        <v>0</v>
      </c>
      <c r="G471" s="4">
        <v>0</v>
      </c>
      <c r="H471" s="4">
        <v>0</v>
      </c>
      <c r="I471" s="4">
        <f>SUM(Tabela1[[#This Row],[Mão-de-obra (custo médio)]:[Materiais de troca (custo médio)]])</f>
        <v>0.12</v>
      </c>
      <c r="J471" s="4">
        <f>Tabela1[[#This Row],[Custos da os]]-Tabela1[[#This Row],[Custo dos insumos]]</f>
        <v>0</v>
      </c>
      <c r="K471" s="4" t="str">
        <f>IF(ABS(Tabela1[[#This Row],[Dif. Insumo e OS]])&lt;=0.02,"ok ou um centavo","verificar")</f>
        <v>ok ou um centavo</v>
      </c>
    </row>
    <row r="472" spans="1:11" hidden="1" x14ac:dyDescent="0.25">
      <c r="A472" s="3" t="s">
        <v>571</v>
      </c>
      <c r="B472" s="3" t="s">
        <v>572</v>
      </c>
      <c r="C472" s="4">
        <v>0.46</v>
      </c>
      <c r="D472" s="4">
        <v>0.46</v>
      </c>
      <c r="E472" s="4">
        <v>0</v>
      </c>
      <c r="F472" s="4">
        <v>0</v>
      </c>
      <c r="G472" s="4">
        <v>0</v>
      </c>
      <c r="H472" s="4">
        <v>0</v>
      </c>
      <c r="I472" s="4">
        <f>SUM(Tabela1[[#This Row],[Mão-de-obra (custo médio)]:[Materiais de troca (custo médio)]])</f>
        <v>0.46</v>
      </c>
      <c r="J472" s="4">
        <f>Tabela1[[#This Row],[Custos da os]]-Tabela1[[#This Row],[Custo dos insumos]]</f>
        <v>0</v>
      </c>
      <c r="K472" s="4" t="str">
        <f>IF(ABS(Tabela1[[#This Row],[Dif. Insumo e OS]])&lt;=0.02,"ok ou um centavo","verificar")</f>
        <v>ok ou um centavo</v>
      </c>
    </row>
    <row r="473" spans="1:11" hidden="1" x14ac:dyDescent="0.25">
      <c r="A473" s="3" t="s">
        <v>573</v>
      </c>
      <c r="B473" s="3" t="s">
        <v>574</v>
      </c>
      <c r="C473" s="4">
        <v>3.11</v>
      </c>
      <c r="D473" s="4">
        <v>3.11</v>
      </c>
      <c r="E473" s="4">
        <v>0</v>
      </c>
      <c r="F473" s="4">
        <v>0</v>
      </c>
      <c r="G473" s="4">
        <v>0</v>
      </c>
      <c r="H473" s="4">
        <v>0</v>
      </c>
      <c r="I473" s="4">
        <f>SUM(Tabela1[[#This Row],[Mão-de-obra (custo médio)]:[Materiais de troca (custo médio)]])</f>
        <v>3.11</v>
      </c>
      <c r="J473" s="4">
        <f>Tabela1[[#This Row],[Custos da os]]-Tabela1[[#This Row],[Custo dos insumos]]</f>
        <v>0</v>
      </c>
      <c r="K473" s="4" t="str">
        <f>IF(ABS(Tabela1[[#This Row],[Dif. Insumo e OS]])&lt;=0.02,"ok ou um centavo","verificar")</f>
        <v>ok ou um centavo</v>
      </c>
    </row>
    <row r="474" spans="1:11" hidden="1" x14ac:dyDescent="0.25">
      <c r="A474" s="3" t="s">
        <v>573</v>
      </c>
      <c r="B474" s="3" t="s">
        <v>575</v>
      </c>
      <c r="C474" s="4">
        <v>204.06</v>
      </c>
      <c r="D474" s="4">
        <v>0.46</v>
      </c>
      <c r="E474" s="4">
        <v>0</v>
      </c>
      <c r="F474" s="4">
        <v>0</v>
      </c>
      <c r="G474" s="4">
        <v>0</v>
      </c>
      <c r="H474" s="4">
        <v>203.6</v>
      </c>
      <c r="I474" s="4">
        <f>SUM(Tabela1[[#This Row],[Mão-de-obra (custo médio)]:[Materiais de troca (custo médio)]])</f>
        <v>204.06</v>
      </c>
      <c r="J474" s="4">
        <f>Tabela1[[#This Row],[Custos da os]]-Tabela1[[#This Row],[Custo dos insumos]]</f>
        <v>0</v>
      </c>
      <c r="K474" s="4" t="str">
        <f>IF(ABS(Tabela1[[#This Row],[Dif. Insumo e OS]])&lt;=0.02,"ok ou um centavo","verificar")</f>
        <v>ok ou um centavo</v>
      </c>
    </row>
    <row r="475" spans="1:11" hidden="1" x14ac:dyDescent="0.25">
      <c r="A475" s="3" t="s">
        <v>576</v>
      </c>
      <c r="B475" s="3" t="s">
        <v>577</v>
      </c>
      <c r="C475" s="4">
        <v>13.93</v>
      </c>
      <c r="D475" s="4">
        <v>13.93</v>
      </c>
      <c r="E475" s="4">
        <v>0</v>
      </c>
      <c r="F475" s="4">
        <v>0</v>
      </c>
      <c r="G475" s="4">
        <v>0</v>
      </c>
      <c r="H475" s="4">
        <v>0</v>
      </c>
      <c r="I475" s="4">
        <f>SUM(Tabela1[[#This Row],[Mão-de-obra (custo médio)]:[Materiais de troca (custo médio)]])</f>
        <v>13.93</v>
      </c>
      <c r="J475" s="4">
        <f>Tabela1[[#This Row],[Custos da os]]-Tabela1[[#This Row],[Custo dos insumos]]</f>
        <v>0</v>
      </c>
      <c r="K475" s="4" t="str">
        <f>IF(ABS(Tabela1[[#This Row],[Dif. Insumo e OS]])&lt;=0.02,"ok ou um centavo","verificar")</f>
        <v>ok ou um centavo</v>
      </c>
    </row>
    <row r="476" spans="1:11" hidden="1" x14ac:dyDescent="0.25">
      <c r="A476" s="3" t="s">
        <v>578</v>
      </c>
      <c r="B476" s="3" t="s">
        <v>579</v>
      </c>
      <c r="C476" s="4">
        <v>209.07</v>
      </c>
      <c r="D476" s="4">
        <v>46.77</v>
      </c>
      <c r="E476" s="4">
        <v>0</v>
      </c>
      <c r="F476" s="4">
        <v>0</v>
      </c>
      <c r="G476" s="4">
        <v>0</v>
      </c>
      <c r="H476" s="4">
        <v>162.29</v>
      </c>
      <c r="I476" s="4">
        <f>SUM(Tabela1[[#This Row],[Mão-de-obra (custo médio)]:[Materiais de troca (custo médio)]])</f>
        <v>209.06</v>
      </c>
      <c r="J476" s="4">
        <f>Tabela1[[#This Row],[Custos da os]]-Tabela1[[#This Row],[Custo dos insumos]]</f>
        <v>-9.9999999999909051E-3</v>
      </c>
      <c r="K476" s="4" t="str">
        <f>IF(ABS(Tabela1[[#This Row],[Dif. Insumo e OS]])&lt;=0.02,"ok ou um centavo","verificar")</f>
        <v>ok ou um centavo</v>
      </c>
    </row>
    <row r="477" spans="1:11" hidden="1" x14ac:dyDescent="0.25">
      <c r="A477" s="3" t="s">
        <v>578</v>
      </c>
      <c r="B477" s="3" t="s">
        <v>580</v>
      </c>
      <c r="C477" s="4">
        <v>152</v>
      </c>
      <c r="D477" s="4">
        <v>80.11</v>
      </c>
      <c r="E477" s="4">
        <v>0</v>
      </c>
      <c r="F477" s="4">
        <v>0</v>
      </c>
      <c r="G477" s="4">
        <v>17.09</v>
      </c>
      <c r="H477" s="4">
        <v>54.79</v>
      </c>
      <c r="I477" s="4">
        <f>SUM(Tabela1[[#This Row],[Mão-de-obra (custo médio)]:[Materiais de troca (custo médio)]])</f>
        <v>151.99</v>
      </c>
      <c r="J477" s="4">
        <f>Tabela1[[#This Row],[Custos da os]]-Tabela1[[#This Row],[Custo dos insumos]]</f>
        <v>-9.9999999999909051E-3</v>
      </c>
      <c r="K477" s="4" t="str">
        <f>IF(ABS(Tabela1[[#This Row],[Dif. Insumo e OS]])&lt;=0.02,"ok ou um centavo","verificar")</f>
        <v>ok ou um centavo</v>
      </c>
    </row>
    <row r="478" spans="1:11" hidden="1" x14ac:dyDescent="0.25">
      <c r="A478" s="3" t="s">
        <v>578</v>
      </c>
      <c r="B478" s="3" t="s">
        <v>581</v>
      </c>
      <c r="C478" s="4">
        <v>0.46</v>
      </c>
      <c r="D478" s="4">
        <v>0.46</v>
      </c>
      <c r="E478" s="4">
        <v>0</v>
      </c>
      <c r="F478" s="4">
        <v>0</v>
      </c>
      <c r="G478" s="4">
        <v>0</v>
      </c>
      <c r="H478" s="4">
        <v>0</v>
      </c>
      <c r="I478" s="4">
        <f>SUM(Tabela1[[#This Row],[Mão-de-obra (custo médio)]:[Materiais de troca (custo médio)]])</f>
        <v>0.46</v>
      </c>
      <c r="J478" s="4">
        <f>Tabela1[[#This Row],[Custos da os]]-Tabela1[[#This Row],[Custo dos insumos]]</f>
        <v>0</v>
      </c>
      <c r="K478" s="4" t="str">
        <f>IF(ABS(Tabela1[[#This Row],[Dif. Insumo e OS]])&lt;=0.02,"ok ou um centavo","verificar")</f>
        <v>ok ou um centavo</v>
      </c>
    </row>
    <row r="479" spans="1:11" hidden="1" x14ac:dyDescent="0.25">
      <c r="A479" s="3" t="s">
        <v>578</v>
      </c>
      <c r="B479" s="3" t="s">
        <v>582</v>
      </c>
      <c r="C479" s="4">
        <v>593.72</v>
      </c>
      <c r="D479" s="4">
        <v>87.78</v>
      </c>
      <c r="E479" s="4">
        <v>0</v>
      </c>
      <c r="F479" s="4">
        <v>0</v>
      </c>
      <c r="G479" s="4">
        <v>505.94</v>
      </c>
      <c r="H479" s="4">
        <v>0</v>
      </c>
      <c r="I479" s="4">
        <f>SUM(Tabela1[[#This Row],[Mão-de-obra (custo médio)]:[Materiais de troca (custo médio)]])</f>
        <v>593.72</v>
      </c>
      <c r="J479" s="4">
        <f>Tabela1[[#This Row],[Custos da os]]-Tabela1[[#This Row],[Custo dos insumos]]</f>
        <v>0</v>
      </c>
      <c r="K479" s="4" t="str">
        <f>IF(ABS(Tabela1[[#This Row],[Dif. Insumo e OS]])&lt;=0.02,"ok ou um centavo","verificar")</f>
        <v>ok ou um centavo</v>
      </c>
    </row>
    <row r="480" spans="1:11" hidden="1" x14ac:dyDescent="0.25">
      <c r="A480" s="3" t="s">
        <v>583</v>
      </c>
      <c r="B480" s="3" t="s">
        <v>584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f>SUM(Tabela1[[#This Row],[Mão-de-obra (custo médio)]:[Materiais de troca (custo médio)]])</f>
        <v>0</v>
      </c>
      <c r="J480" s="4">
        <f>Tabela1[[#This Row],[Custos da os]]-Tabela1[[#This Row],[Custo dos insumos]]</f>
        <v>0</v>
      </c>
      <c r="K480" s="4" t="str">
        <f>IF(ABS(Tabela1[[#This Row],[Dif. Insumo e OS]])&lt;=0.02,"ok ou um centavo","verificar")</f>
        <v>ok ou um centavo</v>
      </c>
    </row>
    <row r="481" spans="1:11" hidden="1" x14ac:dyDescent="0.25">
      <c r="A481" s="3" t="s">
        <v>585</v>
      </c>
      <c r="B481" s="3" t="s">
        <v>586</v>
      </c>
      <c r="C481" s="4">
        <v>2704.44</v>
      </c>
      <c r="D481" s="4">
        <v>0</v>
      </c>
      <c r="E481" s="4">
        <v>2704.44</v>
      </c>
      <c r="F481" s="4">
        <v>0</v>
      </c>
      <c r="G481" s="4">
        <v>0</v>
      </c>
      <c r="H481" s="4">
        <v>0</v>
      </c>
      <c r="I481" s="4">
        <f>SUM(Tabela1[[#This Row],[Mão-de-obra (custo médio)]:[Materiais de troca (custo médio)]])</f>
        <v>2704.44</v>
      </c>
      <c r="J481" s="4">
        <f>Tabela1[[#This Row],[Custos da os]]-Tabela1[[#This Row],[Custo dos insumos]]</f>
        <v>0</v>
      </c>
      <c r="K481" s="4" t="str">
        <f>IF(ABS(Tabela1[[#This Row],[Dif. Insumo e OS]])&lt;=0.02,"ok ou um centavo","verificar")</f>
        <v>ok ou um centavo</v>
      </c>
    </row>
    <row r="482" spans="1:11" hidden="1" x14ac:dyDescent="0.25">
      <c r="A482" s="3" t="s">
        <v>587</v>
      </c>
      <c r="B482" s="3" t="s">
        <v>588</v>
      </c>
      <c r="C482" s="4">
        <v>97.91</v>
      </c>
      <c r="D482" s="4">
        <v>3.07</v>
      </c>
      <c r="E482" s="4">
        <v>0</v>
      </c>
      <c r="F482" s="4">
        <v>0</v>
      </c>
      <c r="G482" s="4">
        <v>0</v>
      </c>
      <c r="H482" s="4">
        <v>94.84</v>
      </c>
      <c r="I482" s="4">
        <f>SUM(Tabela1[[#This Row],[Mão-de-obra (custo médio)]:[Materiais de troca (custo médio)]])</f>
        <v>97.91</v>
      </c>
      <c r="J482" s="4">
        <f>Tabela1[[#This Row],[Custos da os]]-Tabela1[[#This Row],[Custo dos insumos]]</f>
        <v>0</v>
      </c>
      <c r="K482" s="4" t="str">
        <f>IF(ABS(Tabela1[[#This Row],[Dif. Insumo e OS]])&lt;=0.02,"ok ou um centavo","verificar")</f>
        <v>ok ou um centavo</v>
      </c>
    </row>
    <row r="483" spans="1:11" hidden="1" x14ac:dyDescent="0.25">
      <c r="A483" s="3" t="s">
        <v>587</v>
      </c>
      <c r="B483" s="3" t="s">
        <v>589</v>
      </c>
      <c r="C483" s="4">
        <v>225.11</v>
      </c>
      <c r="D483" s="4">
        <v>43.56</v>
      </c>
      <c r="E483" s="4">
        <v>0</v>
      </c>
      <c r="F483" s="4">
        <v>0</v>
      </c>
      <c r="G483" s="4">
        <v>181.55</v>
      </c>
      <c r="H483" s="4">
        <v>0</v>
      </c>
      <c r="I483" s="4">
        <f>SUM(Tabela1[[#This Row],[Mão-de-obra (custo médio)]:[Materiais de troca (custo médio)]])</f>
        <v>225.11</v>
      </c>
      <c r="J483" s="4">
        <f>Tabela1[[#This Row],[Custos da os]]-Tabela1[[#This Row],[Custo dos insumos]]</f>
        <v>0</v>
      </c>
      <c r="K483" s="4" t="str">
        <f>IF(ABS(Tabela1[[#This Row],[Dif. Insumo e OS]])&lt;=0.02,"ok ou um centavo","verificar")</f>
        <v>ok ou um centavo</v>
      </c>
    </row>
    <row r="484" spans="1:11" hidden="1" x14ac:dyDescent="0.25">
      <c r="A484" s="3" t="s">
        <v>587</v>
      </c>
      <c r="B484" s="3" t="s">
        <v>590</v>
      </c>
      <c r="C484" s="4">
        <v>204.06</v>
      </c>
      <c r="D484" s="4">
        <v>0.46</v>
      </c>
      <c r="E484" s="4">
        <v>0</v>
      </c>
      <c r="F484" s="4">
        <v>0</v>
      </c>
      <c r="G484" s="4">
        <v>0</v>
      </c>
      <c r="H484" s="4">
        <v>203.6</v>
      </c>
      <c r="I484" s="4">
        <f>SUM(Tabela1[[#This Row],[Mão-de-obra (custo médio)]:[Materiais de troca (custo médio)]])</f>
        <v>204.06</v>
      </c>
      <c r="J484" s="4">
        <f>Tabela1[[#This Row],[Custos da os]]-Tabela1[[#This Row],[Custo dos insumos]]</f>
        <v>0</v>
      </c>
      <c r="K484" s="4" t="str">
        <f>IF(ABS(Tabela1[[#This Row],[Dif. Insumo e OS]])&lt;=0.02,"ok ou um centavo","verificar")</f>
        <v>ok ou um centavo</v>
      </c>
    </row>
    <row r="485" spans="1:11" hidden="1" x14ac:dyDescent="0.25">
      <c r="A485" s="3" t="s">
        <v>591</v>
      </c>
      <c r="B485" s="3" t="s">
        <v>592</v>
      </c>
      <c r="C485" s="4">
        <v>4.47</v>
      </c>
      <c r="D485" s="4">
        <v>4.47</v>
      </c>
      <c r="E485" s="4">
        <v>0</v>
      </c>
      <c r="F485" s="4">
        <v>0</v>
      </c>
      <c r="G485" s="4">
        <v>0</v>
      </c>
      <c r="H485" s="4">
        <v>0</v>
      </c>
      <c r="I485" s="4">
        <f>SUM(Tabela1[[#This Row],[Mão-de-obra (custo médio)]:[Materiais de troca (custo médio)]])</f>
        <v>4.47</v>
      </c>
      <c r="J485" s="4">
        <f>Tabela1[[#This Row],[Custos da os]]-Tabela1[[#This Row],[Custo dos insumos]]</f>
        <v>0</v>
      </c>
      <c r="K485" s="4" t="str">
        <f>IF(ABS(Tabela1[[#This Row],[Dif. Insumo e OS]])&lt;=0.02,"ok ou um centavo","verificar")</f>
        <v>ok ou um centavo</v>
      </c>
    </row>
    <row r="486" spans="1:11" hidden="1" x14ac:dyDescent="0.25">
      <c r="A486" s="3" t="s">
        <v>591</v>
      </c>
      <c r="B486" s="3" t="s">
        <v>593</v>
      </c>
      <c r="C486" s="4">
        <v>526.21</v>
      </c>
      <c r="D486" s="4">
        <v>53.67</v>
      </c>
      <c r="E486" s="4">
        <v>0</v>
      </c>
      <c r="F486" s="4">
        <v>0</v>
      </c>
      <c r="G486" s="4">
        <v>0</v>
      </c>
      <c r="H486" s="4">
        <v>472.54</v>
      </c>
      <c r="I486" s="4">
        <f>SUM(Tabela1[[#This Row],[Mão-de-obra (custo médio)]:[Materiais de troca (custo médio)]])</f>
        <v>526.21</v>
      </c>
      <c r="J486" s="4">
        <f>Tabela1[[#This Row],[Custos da os]]-Tabela1[[#This Row],[Custo dos insumos]]</f>
        <v>0</v>
      </c>
      <c r="K486" s="4" t="str">
        <f>IF(ABS(Tabela1[[#This Row],[Dif. Insumo e OS]])&lt;=0.02,"ok ou um centavo","verificar")</f>
        <v>ok ou um centavo</v>
      </c>
    </row>
    <row r="487" spans="1:11" hidden="1" x14ac:dyDescent="0.25">
      <c r="A487" s="3" t="s">
        <v>591</v>
      </c>
      <c r="B487" s="3" t="s">
        <v>594</v>
      </c>
      <c r="C487" s="4">
        <v>133.13999999999999</v>
      </c>
      <c r="D487" s="4">
        <v>32.14</v>
      </c>
      <c r="E487" s="4">
        <v>0</v>
      </c>
      <c r="F487" s="4">
        <v>0</v>
      </c>
      <c r="G487" s="4">
        <v>101</v>
      </c>
      <c r="H487" s="4">
        <v>0</v>
      </c>
      <c r="I487" s="4">
        <f>SUM(Tabela1[[#This Row],[Mão-de-obra (custo médio)]:[Materiais de troca (custo médio)]])</f>
        <v>133.13999999999999</v>
      </c>
      <c r="J487" s="4">
        <f>Tabela1[[#This Row],[Custos da os]]-Tabela1[[#This Row],[Custo dos insumos]]</f>
        <v>0</v>
      </c>
      <c r="K487" s="4" t="str">
        <f>IF(ABS(Tabela1[[#This Row],[Dif. Insumo e OS]])&lt;=0.02,"ok ou um centavo","verificar")</f>
        <v>ok ou um centavo</v>
      </c>
    </row>
    <row r="488" spans="1:11" hidden="1" x14ac:dyDescent="0.25">
      <c r="A488" s="3" t="s">
        <v>591</v>
      </c>
      <c r="B488" s="3" t="s">
        <v>595</v>
      </c>
      <c r="C488" s="4">
        <v>109.43</v>
      </c>
      <c r="D488" s="4">
        <v>55.33</v>
      </c>
      <c r="E488" s="4">
        <v>0</v>
      </c>
      <c r="F488" s="4">
        <v>0</v>
      </c>
      <c r="G488" s="4">
        <v>0</v>
      </c>
      <c r="H488" s="4">
        <v>54.1</v>
      </c>
      <c r="I488" s="4">
        <f>SUM(Tabela1[[#This Row],[Mão-de-obra (custo médio)]:[Materiais de troca (custo médio)]])</f>
        <v>109.43</v>
      </c>
      <c r="J488" s="4">
        <f>Tabela1[[#This Row],[Custos da os]]-Tabela1[[#This Row],[Custo dos insumos]]</f>
        <v>0</v>
      </c>
      <c r="K488" s="4" t="str">
        <f>IF(ABS(Tabela1[[#This Row],[Dif. Insumo e OS]])&lt;=0.02,"ok ou um centavo","verificar")</f>
        <v>ok ou um centavo</v>
      </c>
    </row>
    <row r="489" spans="1:11" hidden="1" x14ac:dyDescent="0.25">
      <c r="A489" s="3" t="s">
        <v>591</v>
      </c>
      <c r="B489" s="3" t="s">
        <v>596</v>
      </c>
      <c r="C489" s="4">
        <v>57.9</v>
      </c>
      <c r="D489" s="4">
        <v>31.48</v>
      </c>
      <c r="E489" s="4">
        <v>0</v>
      </c>
      <c r="F489" s="4">
        <v>0</v>
      </c>
      <c r="G489" s="4">
        <v>26.42</v>
      </c>
      <c r="H489" s="4">
        <v>0</v>
      </c>
      <c r="I489" s="4">
        <f>SUM(Tabela1[[#This Row],[Mão-de-obra (custo médio)]:[Materiais de troca (custo médio)]])</f>
        <v>57.900000000000006</v>
      </c>
      <c r="J489" s="4">
        <f>Tabela1[[#This Row],[Custos da os]]-Tabela1[[#This Row],[Custo dos insumos]]</f>
        <v>0</v>
      </c>
      <c r="K489" s="4" t="str">
        <f>IF(ABS(Tabela1[[#This Row],[Dif. Insumo e OS]])&lt;=0.02,"ok ou um centavo","verificar")</f>
        <v>ok ou um centavo</v>
      </c>
    </row>
    <row r="490" spans="1:11" hidden="1" x14ac:dyDescent="0.25">
      <c r="A490" s="3" t="s">
        <v>591</v>
      </c>
      <c r="B490" s="3" t="s">
        <v>597</v>
      </c>
      <c r="C490" s="4">
        <v>65.3</v>
      </c>
      <c r="D490" s="4">
        <v>65.3</v>
      </c>
      <c r="E490" s="4">
        <v>0</v>
      </c>
      <c r="F490" s="4">
        <v>0</v>
      </c>
      <c r="G490" s="4">
        <v>0</v>
      </c>
      <c r="H490" s="4">
        <v>0</v>
      </c>
      <c r="I490" s="4">
        <f>SUM(Tabela1[[#This Row],[Mão-de-obra (custo médio)]:[Materiais de troca (custo médio)]])</f>
        <v>65.3</v>
      </c>
      <c r="J490" s="4">
        <f>Tabela1[[#This Row],[Custos da os]]-Tabela1[[#This Row],[Custo dos insumos]]</f>
        <v>0</v>
      </c>
      <c r="K490" s="4" t="str">
        <f>IF(ABS(Tabela1[[#This Row],[Dif. Insumo e OS]])&lt;=0.02,"ok ou um centavo","verificar")</f>
        <v>ok ou um centavo</v>
      </c>
    </row>
    <row r="491" spans="1:11" hidden="1" x14ac:dyDescent="0.25">
      <c r="A491" s="3" t="s">
        <v>591</v>
      </c>
      <c r="B491" s="3" t="s">
        <v>598</v>
      </c>
      <c r="C491" s="4">
        <v>838.48</v>
      </c>
      <c r="D491" s="4">
        <v>44.09</v>
      </c>
      <c r="E491" s="4">
        <v>0</v>
      </c>
      <c r="F491" s="4">
        <v>0</v>
      </c>
      <c r="G491" s="4">
        <v>794.39</v>
      </c>
      <c r="H491" s="4">
        <v>0</v>
      </c>
      <c r="I491" s="4">
        <f>SUM(Tabela1[[#This Row],[Mão-de-obra (custo médio)]:[Materiais de troca (custo médio)]])</f>
        <v>838.48</v>
      </c>
      <c r="J491" s="4">
        <f>Tabela1[[#This Row],[Custos da os]]-Tabela1[[#This Row],[Custo dos insumos]]</f>
        <v>0</v>
      </c>
      <c r="K491" s="4" t="str">
        <f>IF(ABS(Tabela1[[#This Row],[Dif. Insumo e OS]])&lt;=0.02,"ok ou um centavo","verificar")</f>
        <v>ok ou um centavo</v>
      </c>
    </row>
    <row r="492" spans="1:11" hidden="1" x14ac:dyDescent="0.25">
      <c r="A492" s="3" t="s">
        <v>591</v>
      </c>
      <c r="B492" s="3" t="s">
        <v>599</v>
      </c>
      <c r="C492" s="4">
        <v>100.42</v>
      </c>
      <c r="D492" s="4">
        <v>0</v>
      </c>
      <c r="E492" s="4">
        <v>0</v>
      </c>
      <c r="F492" s="4">
        <v>0</v>
      </c>
      <c r="G492" s="4">
        <v>0</v>
      </c>
      <c r="H492" s="4">
        <v>100.42</v>
      </c>
      <c r="I492" s="4">
        <f>SUM(Tabela1[[#This Row],[Mão-de-obra (custo médio)]:[Materiais de troca (custo médio)]])</f>
        <v>100.42</v>
      </c>
      <c r="J492" s="4">
        <f>Tabela1[[#This Row],[Custos da os]]-Tabela1[[#This Row],[Custo dos insumos]]</f>
        <v>0</v>
      </c>
      <c r="K492" s="4" t="str">
        <f>IF(ABS(Tabela1[[#This Row],[Dif. Insumo e OS]])&lt;=0.02,"ok ou um centavo","verificar")</f>
        <v>ok ou um centavo</v>
      </c>
    </row>
    <row r="493" spans="1:11" hidden="1" x14ac:dyDescent="0.25">
      <c r="A493" s="3" t="s">
        <v>591</v>
      </c>
      <c r="B493" s="3" t="s">
        <v>600</v>
      </c>
      <c r="C493" s="4">
        <v>6346.39</v>
      </c>
      <c r="D493" s="4">
        <v>0</v>
      </c>
      <c r="E493" s="4">
        <v>0</v>
      </c>
      <c r="F493" s="4">
        <v>0</v>
      </c>
      <c r="G493" s="4">
        <v>0</v>
      </c>
      <c r="H493" s="4">
        <v>6346.39</v>
      </c>
      <c r="I493" s="4">
        <f>SUM(Tabela1[[#This Row],[Mão-de-obra (custo médio)]:[Materiais de troca (custo médio)]])</f>
        <v>6346.39</v>
      </c>
      <c r="J493" s="4">
        <f>Tabela1[[#This Row],[Custos da os]]-Tabela1[[#This Row],[Custo dos insumos]]</f>
        <v>0</v>
      </c>
      <c r="K493" s="4" t="str">
        <f>IF(ABS(Tabela1[[#This Row],[Dif. Insumo e OS]])&lt;=0.02,"ok ou um centavo","verificar")</f>
        <v>ok ou um centavo</v>
      </c>
    </row>
    <row r="494" spans="1:11" hidden="1" x14ac:dyDescent="0.25">
      <c r="A494" s="3" t="s">
        <v>601</v>
      </c>
      <c r="B494" s="3" t="s">
        <v>602</v>
      </c>
      <c r="C494" s="4">
        <v>33.86</v>
      </c>
      <c r="D494" s="4">
        <v>22.01</v>
      </c>
      <c r="E494" s="4">
        <v>0</v>
      </c>
      <c r="F494" s="4">
        <v>0</v>
      </c>
      <c r="G494" s="4">
        <v>11.85</v>
      </c>
      <c r="H494" s="4">
        <v>0</v>
      </c>
      <c r="I494" s="4">
        <f>SUM(Tabela1[[#This Row],[Mão-de-obra (custo médio)]:[Materiais de troca (custo médio)]])</f>
        <v>33.86</v>
      </c>
      <c r="J494" s="4">
        <f>Tabela1[[#This Row],[Custos da os]]-Tabela1[[#This Row],[Custo dos insumos]]</f>
        <v>0</v>
      </c>
      <c r="K494" s="4" t="str">
        <f>IF(ABS(Tabela1[[#This Row],[Dif. Insumo e OS]])&lt;=0.02,"ok ou um centavo","verificar")</f>
        <v>ok ou um centavo</v>
      </c>
    </row>
    <row r="495" spans="1:11" hidden="1" x14ac:dyDescent="0.25">
      <c r="A495" s="3" t="s">
        <v>601</v>
      </c>
      <c r="B495" s="3" t="s">
        <v>603</v>
      </c>
      <c r="C495" s="4">
        <v>5.13</v>
      </c>
      <c r="D495" s="4">
        <v>5.13</v>
      </c>
      <c r="E495" s="4">
        <v>0</v>
      </c>
      <c r="F495" s="4">
        <v>0</v>
      </c>
      <c r="G495" s="4">
        <v>0</v>
      </c>
      <c r="H495" s="4">
        <v>0</v>
      </c>
      <c r="I495" s="4">
        <f>SUM(Tabela1[[#This Row],[Mão-de-obra (custo médio)]:[Materiais de troca (custo médio)]])</f>
        <v>5.13</v>
      </c>
      <c r="J495" s="4">
        <f>Tabela1[[#This Row],[Custos da os]]-Tabela1[[#This Row],[Custo dos insumos]]</f>
        <v>0</v>
      </c>
      <c r="K495" s="4" t="str">
        <f>IF(ABS(Tabela1[[#This Row],[Dif. Insumo e OS]])&lt;=0.02,"ok ou um centavo","verificar")</f>
        <v>ok ou um centavo</v>
      </c>
    </row>
    <row r="496" spans="1:11" hidden="1" x14ac:dyDescent="0.25">
      <c r="A496" s="3" t="s">
        <v>604</v>
      </c>
      <c r="B496" s="3" t="s">
        <v>605</v>
      </c>
      <c r="C496" s="4">
        <v>420.85</v>
      </c>
      <c r="D496" s="4">
        <v>31.75</v>
      </c>
      <c r="E496" s="4">
        <v>0</v>
      </c>
      <c r="F496" s="4">
        <v>0</v>
      </c>
      <c r="G496" s="4">
        <v>389.1</v>
      </c>
      <c r="H496" s="4">
        <v>0</v>
      </c>
      <c r="I496" s="4">
        <f>SUM(Tabela1[[#This Row],[Mão-de-obra (custo médio)]:[Materiais de troca (custo médio)]])</f>
        <v>420.85</v>
      </c>
      <c r="J496" s="4">
        <f>Tabela1[[#This Row],[Custos da os]]-Tabela1[[#This Row],[Custo dos insumos]]</f>
        <v>0</v>
      </c>
      <c r="K496" s="4" t="str">
        <f>IF(ABS(Tabela1[[#This Row],[Dif. Insumo e OS]])&lt;=0.02,"ok ou um centavo","verificar")</f>
        <v>ok ou um centavo</v>
      </c>
    </row>
    <row r="497" spans="1:11" hidden="1" x14ac:dyDescent="0.25">
      <c r="A497" s="3" t="s">
        <v>604</v>
      </c>
      <c r="B497" s="3" t="s">
        <v>606</v>
      </c>
      <c r="C497" s="4">
        <v>80.11</v>
      </c>
      <c r="D497" s="4">
        <v>37.68</v>
      </c>
      <c r="E497" s="4">
        <v>0</v>
      </c>
      <c r="F497" s="4">
        <v>0</v>
      </c>
      <c r="G497" s="4">
        <v>42.43</v>
      </c>
      <c r="H497" s="4">
        <v>0</v>
      </c>
      <c r="I497" s="4">
        <f>SUM(Tabela1[[#This Row],[Mão-de-obra (custo médio)]:[Materiais de troca (custo médio)]])</f>
        <v>80.11</v>
      </c>
      <c r="J497" s="4">
        <f>Tabela1[[#This Row],[Custos da os]]-Tabela1[[#This Row],[Custo dos insumos]]</f>
        <v>0</v>
      </c>
      <c r="K497" s="4" t="str">
        <f>IF(ABS(Tabela1[[#This Row],[Dif. Insumo e OS]])&lt;=0.02,"ok ou um centavo","verificar")</f>
        <v>ok ou um centavo</v>
      </c>
    </row>
    <row r="498" spans="1:11" hidden="1" x14ac:dyDescent="0.25">
      <c r="A498" s="3" t="s">
        <v>604</v>
      </c>
      <c r="B498" s="3" t="s">
        <v>607</v>
      </c>
      <c r="C498" s="4">
        <v>204.06</v>
      </c>
      <c r="D498" s="4">
        <v>0.46</v>
      </c>
      <c r="E498" s="4">
        <v>0</v>
      </c>
      <c r="F498" s="4">
        <v>0</v>
      </c>
      <c r="G498" s="4">
        <v>0</v>
      </c>
      <c r="H498" s="4">
        <v>203.6</v>
      </c>
      <c r="I498" s="4">
        <f>SUM(Tabela1[[#This Row],[Mão-de-obra (custo médio)]:[Materiais de troca (custo médio)]])</f>
        <v>204.06</v>
      </c>
      <c r="J498" s="4">
        <f>Tabela1[[#This Row],[Custos da os]]-Tabela1[[#This Row],[Custo dos insumos]]</f>
        <v>0</v>
      </c>
      <c r="K498" s="4" t="str">
        <f>IF(ABS(Tabela1[[#This Row],[Dif. Insumo e OS]])&lt;=0.02,"ok ou um centavo","verificar")</f>
        <v>ok ou um centavo</v>
      </c>
    </row>
    <row r="499" spans="1:11" hidden="1" x14ac:dyDescent="0.25">
      <c r="A499" s="3" t="s">
        <v>608</v>
      </c>
      <c r="B499" s="3" t="s">
        <v>609</v>
      </c>
      <c r="C499" s="4">
        <v>897.64</v>
      </c>
      <c r="D499" s="4">
        <v>26.44</v>
      </c>
      <c r="E499" s="4">
        <v>0</v>
      </c>
      <c r="F499" s="4">
        <v>0</v>
      </c>
      <c r="G499" s="4">
        <v>0</v>
      </c>
      <c r="H499" s="4">
        <v>871.21</v>
      </c>
      <c r="I499" s="4">
        <f>SUM(Tabela1[[#This Row],[Mão-de-obra (custo médio)]:[Materiais de troca (custo médio)]])</f>
        <v>897.65000000000009</v>
      </c>
      <c r="J499" s="4">
        <f>Tabela1[[#This Row],[Custos da os]]-Tabela1[[#This Row],[Custo dos insumos]]</f>
        <v>1.0000000000104592E-2</v>
      </c>
      <c r="K499" s="4" t="str">
        <f>IF(ABS(Tabela1[[#This Row],[Dif. Insumo e OS]])&lt;=0.02,"ok ou um centavo","verificar")</f>
        <v>ok ou um centavo</v>
      </c>
    </row>
    <row r="500" spans="1:11" hidden="1" x14ac:dyDescent="0.25">
      <c r="A500" s="3" t="s">
        <v>608</v>
      </c>
      <c r="B500" s="3" t="s">
        <v>610</v>
      </c>
      <c r="C500" s="4">
        <v>163.35</v>
      </c>
      <c r="D500" s="4">
        <v>0</v>
      </c>
      <c r="E500" s="4">
        <v>163.35</v>
      </c>
      <c r="F500" s="4">
        <v>0</v>
      </c>
      <c r="G500" s="4">
        <v>0</v>
      </c>
      <c r="H500" s="4">
        <v>0</v>
      </c>
      <c r="I500" s="4">
        <f>SUM(Tabela1[[#This Row],[Mão-de-obra (custo médio)]:[Materiais de troca (custo médio)]])</f>
        <v>163.35</v>
      </c>
      <c r="J500" s="4">
        <f>Tabela1[[#This Row],[Custos da os]]-Tabela1[[#This Row],[Custo dos insumos]]</f>
        <v>0</v>
      </c>
      <c r="K500" s="4" t="str">
        <f>IF(ABS(Tabela1[[#This Row],[Dif. Insumo e OS]])&lt;=0.02,"ok ou um centavo","verificar")</f>
        <v>ok ou um centavo</v>
      </c>
    </row>
    <row r="501" spans="1:11" hidden="1" x14ac:dyDescent="0.25">
      <c r="A501" s="3" t="s">
        <v>611</v>
      </c>
      <c r="B501" s="3" t="s">
        <v>612</v>
      </c>
      <c r="C501" s="4">
        <v>12.24</v>
      </c>
      <c r="D501" s="4">
        <v>7.25</v>
      </c>
      <c r="E501" s="4">
        <v>0</v>
      </c>
      <c r="F501" s="4">
        <v>0</v>
      </c>
      <c r="G501" s="4">
        <v>4.99</v>
      </c>
      <c r="H501" s="4">
        <v>0</v>
      </c>
      <c r="I501" s="4">
        <f>SUM(Tabela1[[#This Row],[Mão-de-obra (custo médio)]:[Materiais de troca (custo médio)]])</f>
        <v>12.24</v>
      </c>
      <c r="J501" s="4">
        <f>Tabela1[[#This Row],[Custos da os]]-Tabela1[[#This Row],[Custo dos insumos]]</f>
        <v>0</v>
      </c>
      <c r="K501" s="4" t="str">
        <f>IF(ABS(Tabela1[[#This Row],[Dif. Insumo e OS]])&lt;=0.02,"ok ou um centavo","verificar")</f>
        <v>ok ou um centavo</v>
      </c>
    </row>
    <row r="502" spans="1:11" hidden="1" x14ac:dyDescent="0.25">
      <c r="A502" s="3" t="s">
        <v>611</v>
      </c>
      <c r="B502" s="3" t="s">
        <v>613</v>
      </c>
      <c r="C502" s="4">
        <v>0.49</v>
      </c>
      <c r="D502" s="4">
        <v>0.49</v>
      </c>
      <c r="E502" s="4">
        <v>0</v>
      </c>
      <c r="F502" s="4">
        <v>0</v>
      </c>
      <c r="G502" s="4">
        <v>0</v>
      </c>
      <c r="H502" s="4">
        <v>0</v>
      </c>
      <c r="I502" s="4">
        <f>SUM(Tabela1[[#This Row],[Mão-de-obra (custo médio)]:[Materiais de troca (custo médio)]])</f>
        <v>0.49</v>
      </c>
      <c r="J502" s="4">
        <f>Tabela1[[#This Row],[Custos da os]]-Tabela1[[#This Row],[Custo dos insumos]]</f>
        <v>0</v>
      </c>
      <c r="K502" s="4" t="str">
        <f>IF(ABS(Tabela1[[#This Row],[Dif. Insumo e OS]])&lt;=0.02,"ok ou um centavo","verificar")</f>
        <v>ok ou um centavo</v>
      </c>
    </row>
    <row r="503" spans="1:11" hidden="1" x14ac:dyDescent="0.25">
      <c r="A503" s="3" t="s">
        <v>611</v>
      </c>
      <c r="B503" s="3" t="s">
        <v>614</v>
      </c>
      <c r="C503" s="4">
        <v>0.49</v>
      </c>
      <c r="D503" s="4">
        <v>0.49</v>
      </c>
      <c r="E503" s="4">
        <v>0</v>
      </c>
      <c r="F503" s="4">
        <v>0</v>
      </c>
      <c r="G503" s="4">
        <v>0</v>
      </c>
      <c r="H503" s="4">
        <v>0</v>
      </c>
      <c r="I503" s="4">
        <f>SUM(Tabela1[[#This Row],[Mão-de-obra (custo médio)]:[Materiais de troca (custo médio)]])</f>
        <v>0.49</v>
      </c>
      <c r="J503" s="4">
        <f>Tabela1[[#This Row],[Custos da os]]-Tabela1[[#This Row],[Custo dos insumos]]</f>
        <v>0</v>
      </c>
      <c r="K503" s="4" t="str">
        <f>IF(ABS(Tabela1[[#This Row],[Dif. Insumo e OS]])&lt;=0.02,"ok ou um centavo","verificar")</f>
        <v>ok ou um centavo</v>
      </c>
    </row>
    <row r="504" spans="1:11" hidden="1" x14ac:dyDescent="0.25">
      <c r="A504" s="3" t="s">
        <v>611</v>
      </c>
      <c r="B504" s="3" t="s">
        <v>615</v>
      </c>
      <c r="C504" s="4">
        <v>0.46</v>
      </c>
      <c r="D504" s="4">
        <v>0.46</v>
      </c>
      <c r="E504" s="4">
        <v>0</v>
      </c>
      <c r="F504" s="4">
        <v>0</v>
      </c>
      <c r="G504" s="4">
        <v>0</v>
      </c>
      <c r="H504" s="4">
        <v>0</v>
      </c>
      <c r="I504" s="4">
        <f>SUM(Tabela1[[#This Row],[Mão-de-obra (custo médio)]:[Materiais de troca (custo médio)]])</f>
        <v>0.46</v>
      </c>
      <c r="J504" s="4">
        <f>Tabela1[[#This Row],[Custos da os]]-Tabela1[[#This Row],[Custo dos insumos]]</f>
        <v>0</v>
      </c>
      <c r="K504" s="4" t="str">
        <f>IF(ABS(Tabela1[[#This Row],[Dif. Insumo e OS]])&lt;=0.02,"ok ou um centavo","verificar")</f>
        <v>ok ou um centavo</v>
      </c>
    </row>
    <row r="505" spans="1:11" hidden="1" x14ac:dyDescent="0.25">
      <c r="A505" s="3" t="s">
        <v>611</v>
      </c>
      <c r="B505" s="3" t="s">
        <v>616</v>
      </c>
      <c r="C505" s="4">
        <v>0.11</v>
      </c>
      <c r="D505" s="4">
        <v>0.11</v>
      </c>
      <c r="E505" s="4">
        <v>0</v>
      </c>
      <c r="F505" s="4">
        <v>0</v>
      </c>
      <c r="G505" s="4">
        <v>0</v>
      </c>
      <c r="H505" s="4">
        <v>0</v>
      </c>
      <c r="I505" s="4">
        <f>SUM(Tabela1[[#This Row],[Mão-de-obra (custo médio)]:[Materiais de troca (custo médio)]])</f>
        <v>0.11</v>
      </c>
      <c r="J505" s="4">
        <f>Tabela1[[#This Row],[Custos da os]]-Tabela1[[#This Row],[Custo dos insumos]]</f>
        <v>0</v>
      </c>
      <c r="K505" s="4" t="str">
        <f>IF(ABS(Tabela1[[#This Row],[Dif. Insumo e OS]])&lt;=0.02,"ok ou um centavo","verificar")</f>
        <v>ok ou um centavo</v>
      </c>
    </row>
    <row r="506" spans="1:11" hidden="1" x14ac:dyDescent="0.25">
      <c r="A506" s="3" t="s">
        <v>611</v>
      </c>
      <c r="B506" s="3" t="s">
        <v>617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f>SUM(Tabela1[[#This Row],[Mão-de-obra (custo médio)]:[Materiais de troca (custo médio)]])</f>
        <v>0</v>
      </c>
      <c r="J506" s="4">
        <f>Tabela1[[#This Row],[Custos da os]]-Tabela1[[#This Row],[Custo dos insumos]]</f>
        <v>0</v>
      </c>
      <c r="K506" s="4" t="str">
        <f>IF(ABS(Tabela1[[#This Row],[Dif. Insumo e OS]])&lt;=0.02,"ok ou um centavo","verificar")</f>
        <v>ok ou um centavo</v>
      </c>
    </row>
    <row r="507" spans="1:11" hidden="1" x14ac:dyDescent="0.25">
      <c r="A507" s="3" t="s">
        <v>611</v>
      </c>
      <c r="B507" s="3" t="s">
        <v>618</v>
      </c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f>SUM(Tabela1[[#This Row],[Mão-de-obra (custo médio)]:[Materiais de troca (custo médio)]])</f>
        <v>0</v>
      </c>
      <c r="J507" s="4">
        <f>Tabela1[[#This Row],[Custos da os]]-Tabela1[[#This Row],[Custo dos insumos]]</f>
        <v>0</v>
      </c>
      <c r="K507" s="4" t="str">
        <f>IF(ABS(Tabela1[[#This Row],[Dif. Insumo e OS]])&lt;=0.02,"ok ou um centavo","verificar")</f>
        <v>ok ou um centavo</v>
      </c>
    </row>
    <row r="508" spans="1:11" hidden="1" x14ac:dyDescent="0.25">
      <c r="A508" s="3" t="s">
        <v>611</v>
      </c>
      <c r="B508" s="3" t="s">
        <v>619</v>
      </c>
      <c r="C508" s="4">
        <v>2939.62</v>
      </c>
      <c r="D508" s="4">
        <v>0.46</v>
      </c>
      <c r="E508" s="4">
        <v>0</v>
      </c>
      <c r="F508" s="4">
        <v>0</v>
      </c>
      <c r="G508" s="4">
        <v>0</v>
      </c>
      <c r="H508" s="4">
        <v>2939.16</v>
      </c>
      <c r="I508" s="4">
        <f>SUM(Tabela1[[#This Row],[Mão-de-obra (custo médio)]:[Materiais de troca (custo médio)]])</f>
        <v>2939.62</v>
      </c>
      <c r="J508" s="4">
        <f>Tabela1[[#This Row],[Custos da os]]-Tabela1[[#This Row],[Custo dos insumos]]</f>
        <v>0</v>
      </c>
      <c r="K508" s="4" t="str">
        <f>IF(ABS(Tabela1[[#This Row],[Dif. Insumo e OS]])&lt;=0.02,"ok ou um centavo","verificar")</f>
        <v>ok ou um centavo</v>
      </c>
    </row>
    <row r="509" spans="1:11" hidden="1" x14ac:dyDescent="0.25">
      <c r="A509" s="3" t="s">
        <v>620</v>
      </c>
      <c r="B509" s="3" t="s">
        <v>621</v>
      </c>
      <c r="C509" s="4">
        <v>94.11</v>
      </c>
      <c r="D509" s="4">
        <v>13.1</v>
      </c>
      <c r="E509" s="4">
        <v>0</v>
      </c>
      <c r="F509" s="4">
        <v>0</v>
      </c>
      <c r="G509" s="4">
        <v>81.010000000000005</v>
      </c>
      <c r="H509" s="4">
        <v>0</v>
      </c>
      <c r="I509" s="4">
        <f>SUM(Tabela1[[#This Row],[Mão-de-obra (custo médio)]:[Materiais de troca (custo médio)]])</f>
        <v>94.11</v>
      </c>
      <c r="J509" s="4">
        <f>Tabela1[[#This Row],[Custos da os]]-Tabela1[[#This Row],[Custo dos insumos]]</f>
        <v>0</v>
      </c>
      <c r="K509" s="4" t="str">
        <f>IF(ABS(Tabela1[[#This Row],[Dif. Insumo e OS]])&lt;=0.02,"ok ou um centavo","verificar")</f>
        <v>ok ou um centavo</v>
      </c>
    </row>
    <row r="510" spans="1:11" hidden="1" x14ac:dyDescent="0.25">
      <c r="A510" s="3" t="s">
        <v>620</v>
      </c>
      <c r="B510" s="3" t="s">
        <v>622</v>
      </c>
      <c r="C510" s="4">
        <v>0.46</v>
      </c>
      <c r="D510" s="4">
        <v>0.46</v>
      </c>
      <c r="E510" s="4">
        <v>0</v>
      </c>
      <c r="F510" s="4">
        <v>0</v>
      </c>
      <c r="G510" s="4">
        <v>0</v>
      </c>
      <c r="H510" s="4">
        <v>0</v>
      </c>
      <c r="I510" s="4">
        <f>SUM(Tabela1[[#This Row],[Mão-de-obra (custo médio)]:[Materiais de troca (custo médio)]])</f>
        <v>0.46</v>
      </c>
      <c r="J510" s="4">
        <f>Tabela1[[#This Row],[Custos da os]]-Tabela1[[#This Row],[Custo dos insumos]]</f>
        <v>0</v>
      </c>
      <c r="K510" s="4" t="str">
        <f>IF(ABS(Tabela1[[#This Row],[Dif. Insumo e OS]])&lt;=0.02,"ok ou um centavo","verificar")</f>
        <v>ok ou um centavo</v>
      </c>
    </row>
    <row r="511" spans="1:11" hidden="1" x14ac:dyDescent="0.25">
      <c r="A511" s="3" t="s">
        <v>623</v>
      </c>
      <c r="B511" s="3" t="s">
        <v>624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f>SUM(Tabela1[[#This Row],[Mão-de-obra (custo médio)]:[Materiais de troca (custo médio)]])</f>
        <v>0</v>
      </c>
      <c r="J511" s="4">
        <f>Tabela1[[#This Row],[Custos da os]]-Tabela1[[#This Row],[Custo dos insumos]]</f>
        <v>0</v>
      </c>
      <c r="K511" s="4" t="str">
        <f>IF(ABS(Tabela1[[#This Row],[Dif. Insumo e OS]])&lt;=0.02,"ok ou um centavo","verificar")</f>
        <v>ok ou um centavo</v>
      </c>
    </row>
    <row r="512" spans="1:11" hidden="1" x14ac:dyDescent="0.25">
      <c r="A512" s="3" t="s">
        <v>625</v>
      </c>
      <c r="B512" s="3" t="s">
        <v>626</v>
      </c>
      <c r="C512" s="4">
        <v>611.25</v>
      </c>
      <c r="D512" s="4">
        <v>0.46</v>
      </c>
      <c r="E512" s="4">
        <v>0</v>
      </c>
      <c r="F512" s="4">
        <v>0</v>
      </c>
      <c r="G512" s="4">
        <v>0</v>
      </c>
      <c r="H512" s="4">
        <v>610.79</v>
      </c>
      <c r="I512" s="4">
        <f>SUM(Tabela1[[#This Row],[Mão-de-obra (custo médio)]:[Materiais de troca (custo médio)]])</f>
        <v>611.25</v>
      </c>
      <c r="J512" s="4">
        <f>Tabela1[[#This Row],[Custos da os]]-Tabela1[[#This Row],[Custo dos insumos]]</f>
        <v>0</v>
      </c>
      <c r="K512" s="4" t="str">
        <f>IF(ABS(Tabela1[[#This Row],[Dif. Insumo e OS]])&lt;=0.02,"ok ou um centavo","verificar")</f>
        <v>ok ou um centavo</v>
      </c>
    </row>
    <row r="513" spans="1:11" hidden="1" x14ac:dyDescent="0.25">
      <c r="A513" s="3" t="s">
        <v>627</v>
      </c>
      <c r="B513" s="3" t="s">
        <v>628</v>
      </c>
      <c r="C513" s="4">
        <v>163.35</v>
      </c>
      <c r="D513" s="4">
        <v>0</v>
      </c>
      <c r="E513" s="4">
        <v>163.35</v>
      </c>
      <c r="F513" s="4">
        <v>0</v>
      </c>
      <c r="G513" s="4">
        <v>0</v>
      </c>
      <c r="H513" s="4">
        <v>0</v>
      </c>
      <c r="I513" s="4">
        <f>SUM(Tabela1[[#This Row],[Mão-de-obra (custo médio)]:[Materiais de troca (custo médio)]])</f>
        <v>163.35</v>
      </c>
      <c r="J513" s="4">
        <f>Tabela1[[#This Row],[Custos da os]]-Tabela1[[#This Row],[Custo dos insumos]]</f>
        <v>0</v>
      </c>
      <c r="K513" s="4" t="str">
        <f>IF(ABS(Tabela1[[#This Row],[Dif. Insumo e OS]])&lt;=0.02,"ok ou um centavo","verificar")</f>
        <v>ok ou um centavo</v>
      </c>
    </row>
    <row r="514" spans="1:11" hidden="1" x14ac:dyDescent="0.25">
      <c r="A514" s="3" t="s">
        <v>627</v>
      </c>
      <c r="B514" s="3" t="s">
        <v>629</v>
      </c>
      <c r="C514" s="4">
        <v>0.46</v>
      </c>
      <c r="D514" s="4">
        <v>0.46</v>
      </c>
      <c r="E514" s="4">
        <v>0</v>
      </c>
      <c r="F514" s="4">
        <v>0</v>
      </c>
      <c r="G514" s="4">
        <v>0</v>
      </c>
      <c r="H514" s="4">
        <v>0</v>
      </c>
      <c r="I514" s="4">
        <f>SUM(Tabela1[[#This Row],[Mão-de-obra (custo médio)]:[Materiais de troca (custo médio)]])</f>
        <v>0.46</v>
      </c>
      <c r="J514" s="4">
        <f>Tabela1[[#This Row],[Custos da os]]-Tabela1[[#This Row],[Custo dos insumos]]</f>
        <v>0</v>
      </c>
      <c r="K514" s="4" t="str">
        <f>IF(ABS(Tabela1[[#This Row],[Dif. Insumo e OS]])&lt;=0.02,"ok ou um centavo","verificar")</f>
        <v>ok ou um centavo</v>
      </c>
    </row>
    <row r="515" spans="1:11" hidden="1" x14ac:dyDescent="0.25">
      <c r="A515" s="3" t="s">
        <v>630</v>
      </c>
      <c r="B515" s="3" t="s">
        <v>631</v>
      </c>
      <c r="C515" s="4">
        <v>83.53</v>
      </c>
      <c r="D515" s="4">
        <v>0</v>
      </c>
      <c r="E515" s="4">
        <v>63.52</v>
      </c>
      <c r="F515" s="4">
        <v>20.010000000000002</v>
      </c>
      <c r="G515" s="4">
        <v>0</v>
      </c>
      <c r="H515" s="4">
        <v>0</v>
      </c>
      <c r="I515" s="4">
        <f>SUM(Tabela1[[#This Row],[Mão-de-obra (custo médio)]:[Materiais de troca (custo médio)]])</f>
        <v>83.53</v>
      </c>
      <c r="J515" s="4">
        <f>Tabela1[[#This Row],[Custos da os]]-Tabela1[[#This Row],[Custo dos insumos]]</f>
        <v>0</v>
      </c>
      <c r="K515" s="4" t="str">
        <f>IF(ABS(Tabela1[[#This Row],[Dif. Insumo e OS]])&lt;=0.02,"ok ou um centavo","verificar")</f>
        <v>ok ou um centavo</v>
      </c>
    </row>
    <row r="516" spans="1:11" hidden="1" x14ac:dyDescent="0.25">
      <c r="A516" s="3" t="s">
        <v>630</v>
      </c>
      <c r="B516" s="3" t="s">
        <v>632</v>
      </c>
      <c r="C516" s="4">
        <v>163.35</v>
      </c>
      <c r="D516" s="4">
        <v>0</v>
      </c>
      <c r="E516" s="4">
        <v>163.35</v>
      </c>
      <c r="F516" s="4">
        <v>0</v>
      </c>
      <c r="G516" s="4">
        <v>0</v>
      </c>
      <c r="H516" s="4">
        <v>0</v>
      </c>
      <c r="I516" s="4">
        <f>SUM(Tabela1[[#This Row],[Mão-de-obra (custo médio)]:[Materiais de troca (custo médio)]])</f>
        <v>163.35</v>
      </c>
      <c r="J516" s="4">
        <f>Tabela1[[#This Row],[Custos da os]]-Tabela1[[#This Row],[Custo dos insumos]]</f>
        <v>0</v>
      </c>
      <c r="K516" s="4" t="str">
        <f>IF(ABS(Tabela1[[#This Row],[Dif. Insumo e OS]])&lt;=0.02,"ok ou um centavo","verificar")</f>
        <v>ok ou um centavo</v>
      </c>
    </row>
    <row r="517" spans="1:11" hidden="1" x14ac:dyDescent="0.25">
      <c r="A517" s="3" t="s">
        <v>630</v>
      </c>
      <c r="B517" s="3" t="s">
        <v>633</v>
      </c>
      <c r="C517" s="4">
        <v>73.209999999999994</v>
      </c>
      <c r="D517" s="4">
        <v>69.05</v>
      </c>
      <c r="E517" s="4">
        <v>0</v>
      </c>
      <c r="F517" s="4">
        <v>0</v>
      </c>
      <c r="G517" s="4">
        <v>4.16</v>
      </c>
      <c r="H517" s="4">
        <v>0</v>
      </c>
      <c r="I517" s="4">
        <f>SUM(Tabela1[[#This Row],[Mão-de-obra (custo médio)]:[Materiais de troca (custo médio)]])</f>
        <v>73.209999999999994</v>
      </c>
      <c r="J517" s="4">
        <f>Tabela1[[#This Row],[Custos da os]]-Tabela1[[#This Row],[Custo dos insumos]]</f>
        <v>0</v>
      </c>
      <c r="K517" s="4" t="str">
        <f>IF(ABS(Tabela1[[#This Row],[Dif. Insumo e OS]])&lt;=0.02,"ok ou um centavo","verificar")</f>
        <v>ok ou um centavo</v>
      </c>
    </row>
    <row r="518" spans="1:11" hidden="1" x14ac:dyDescent="0.25">
      <c r="A518" s="3" t="s">
        <v>630</v>
      </c>
      <c r="B518" s="3" t="s">
        <v>634</v>
      </c>
      <c r="C518" s="4">
        <v>0.46</v>
      </c>
      <c r="D518" s="4">
        <v>0.46</v>
      </c>
      <c r="E518" s="4">
        <v>0</v>
      </c>
      <c r="F518" s="4">
        <v>0</v>
      </c>
      <c r="G518" s="4">
        <v>0</v>
      </c>
      <c r="H518" s="4">
        <v>0</v>
      </c>
      <c r="I518" s="4">
        <f>SUM(Tabela1[[#This Row],[Mão-de-obra (custo médio)]:[Materiais de troca (custo médio)]])</f>
        <v>0.46</v>
      </c>
      <c r="J518" s="4">
        <f>Tabela1[[#This Row],[Custos da os]]-Tabela1[[#This Row],[Custo dos insumos]]</f>
        <v>0</v>
      </c>
      <c r="K518" s="4" t="str">
        <f>IF(ABS(Tabela1[[#This Row],[Dif. Insumo e OS]])&lt;=0.02,"ok ou um centavo","verificar")</f>
        <v>ok ou um centavo</v>
      </c>
    </row>
    <row r="519" spans="1:11" hidden="1" x14ac:dyDescent="0.25">
      <c r="A519" s="3" t="s">
        <v>630</v>
      </c>
      <c r="B519" s="3" t="s">
        <v>635</v>
      </c>
      <c r="C519" s="4">
        <v>0.46</v>
      </c>
      <c r="D519" s="4">
        <v>0.46</v>
      </c>
      <c r="E519" s="4">
        <v>0</v>
      </c>
      <c r="F519" s="4">
        <v>0</v>
      </c>
      <c r="G519" s="4">
        <v>0</v>
      </c>
      <c r="H519" s="4">
        <v>0</v>
      </c>
      <c r="I519" s="4">
        <f>SUM(Tabela1[[#This Row],[Mão-de-obra (custo médio)]:[Materiais de troca (custo médio)]])</f>
        <v>0.46</v>
      </c>
      <c r="J519" s="4">
        <f>Tabela1[[#This Row],[Custos da os]]-Tabela1[[#This Row],[Custo dos insumos]]</f>
        <v>0</v>
      </c>
      <c r="K519" s="4" t="str">
        <f>IF(ABS(Tabela1[[#This Row],[Dif. Insumo e OS]])&lt;=0.02,"ok ou um centavo","verificar")</f>
        <v>ok ou um centavo</v>
      </c>
    </row>
    <row r="520" spans="1:11" hidden="1" x14ac:dyDescent="0.25">
      <c r="A520" s="3" t="s">
        <v>630</v>
      </c>
      <c r="B520" s="3" t="s">
        <v>636</v>
      </c>
      <c r="C520" s="4">
        <v>0.12</v>
      </c>
      <c r="D520" s="4">
        <v>0.12</v>
      </c>
      <c r="E520" s="4">
        <v>0</v>
      </c>
      <c r="F520" s="4">
        <v>0</v>
      </c>
      <c r="G520" s="4">
        <v>0</v>
      </c>
      <c r="H520" s="4">
        <v>0</v>
      </c>
      <c r="I520" s="4">
        <f>SUM(Tabela1[[#This Row],[Mão-de-obra (custo médio)]:[Materiais de troca (custo médio)]])</f>
        <v>0.12</v>
      </c>
      <c r="J520" s="4">
        <f>Tabela1[[#This Row],[Custos da os]]-Tabela1[[#This Row],[Custo dos insumos]]</f>
        <v>0</v>
      </c>
      <c r="K520" s="4" t="str">
        <f>IF(ABS(Tabela1[[#This Row],[Dif. Insumo e OS]])&lt;=0.02,"ok ou um centavo","verificar")</f>
        <v>ok ou um centavo</v>
      </c>
    </row>
    <row r="521" spans="1:11" hidden="1" x14ac:dyDescent="0.25">
      <c r="A521" s="3" t="s">
        <v>637</v>
      </c>
      <c r="B521" s="3" t="s">
        <v>638</v>
      </c>
      <c r="C521" s="4">
        <v>163.35</v>
      </c>
      <c r="D521" s="4">
        <v>0</v>
      </c>
      <c r="E521" s="4">
        <v>163.35</v>
      </c>
      <c r="F521" s="4">
        <v>0</v>
      </c>
      <c r="G521" s="4">
        <v>0</v>
      </c>
      <c r="H521" s="4">
        <v>0</v>
      </c>
      <c r="I521" s="4">
        <f>SUM(Tabela1[[#This Row],[Mão-de-obra (custo médio)]:[Materiais de troca (custo médio)]])</f>
        <v>163.35</v>
      </c>
      <c r="J521" s="4">
        <f>Tabela1[[#This Row],[Custos da os]]-Tabela1[[#This Row],[Custo dos insumos]]</f>
        <v>0</v>
      </c>
      <c r="K521" s="4" t="str">
        <f>IF(ABS(Tabela1[[#This Row],[Dif. Insumo e OS]])&lt;=0.02,"ok ou um centavo","verificar")</f>
        <v>ok ou um centavo</v>
      </c>
    </row>
    <row r="522" spans="1:11" hidden="1" x14ac:dyDescent="0.25">
      <c r="A522" s="3" t="s">
        <v>637</v>
      </c>
      <c r="B522" s="3" t="s">
        <v>639</v>
      </c>
      <c r="C522" s="4">
        <v>163.35</v>
      </c>
      <c r="D522" s="4">
        <v>0</v>
      </c>
      <c r="E522" s="4">
        <v>163.35</v>
      </c>
      <c r="F522" s="4">
        <v>0</v>
      </c>
      <c r="G522" s="4">
        <v>0</v>
      </c>
      <c r="H522" s="4">
        <v>0</v>
      </c>
      <c r="I522" s="4">
        <f>SUM(Tabela1[[#This Row],[Mão-de-obra (custo médio)]:[Materiais de troca (custo médio)]])</f>
        <v>163.35</v>
      </c>
      <c r="J522" s="4">
        <f>Tabela1[[#This Row],[Custos da os]]-Tabela1[[#This Row],[Custo dos insumos]]</f>
        <v>0</v>
      </c>
      <c r="K522" s="4" t="str">
        <f>IF(ABS(Tabela1[[#This Row],[Dif. Insumo e OS]])&lt;=0.02,"ok ou um centavo","verificar")</f>
        <v>ok ou um centavo</v>
      </c>
    </row>
    <row r="523" spans="1:11" hidden="1" x14ac:dyDescent="0.25">
      <c r="A523" s="3" t="s">
        <v>637</v>
      </c>
      <c r="B523" s="3" t="s">
        <v>640</v>
      </c>
      <c r="C523" s="4">
        <v>232.44</v>
      </c>
      <c r="D523" s="4">
        <v>37.880000000000003</v>
      </c>
      <c r="E523" s="4">
        <v>0</v>
      </c>
      <c r="F523" s="4">
        <v>0</v>
      </c>
      <c r="G523" s="4">
        <v>0</v>
      </c>
      <c r="H523" s="4">
        <v>194.56</v>
      </c>
      <c r="I523" s="4">
        <f>SUM(Tabela1[[#This Row],[Mão-de-obra (custo médio)]:[Materiais de troca (custo médio)]])</f>
        <v>232.44</v>
      </c>
      <c r="J523" s="4">
        <f>Tabela1[[#This Row],[Custos da os]]-Tabela1[[#This Row],[Custo dos insumos]]</f>
        <v>0</v>
      </c>
      <c r="K523" s="4" t="str">
        <f>IF(ABS(Tabela1[[#This Row],[Dif. Insumo e OS]])&lt;=0.02,"ok ou um centavo","verificar")</f>
        <v>ok ou um centavo</v>
      </c>
    </row>
    <row r="524" spans="1:11" hidden="1" x14ac:dyDescent="0.25">
      <c r="A524" s="3" t="s">
        <v>637</v>
      </c>
      <c r="B524" s="3" t="s">
        <v>641</v>
      </c>
      <c r="C524" s="4">
        <v>137.30000000000001</v>
      </c>
      <c r="D524" s="4">
        <v>27.23</v>
      </c>
      <c r="E524" s="4">
        <v>0</v>
      </c>
      <c r="F524" s="4">
        <v>0</v>
      </c>
      <c r="G524" s="4">
        <v>110.07</v>
      </c>
      <c r="H524" s="4">
        <v>0</v>
      </c>
      <c r="I524" s="4">
        <f>SUM(Tabela1[[#This Row],[Mão-de-obra (custo médio)]:[Materiais de troca (custo médio)]])</f>
        <v>137.29999999999998</v>
      </c>
      <c r="J524" s="4">
        <f>Tabela1[[#This Row],[Custos da os]]-Tabela1[[#This Row],[Custo dos insumos]]</f>
        <v>0</v>
      </c>
      <c r="K524" s="4" t="str">
        <f>IF(ABS(Tabela1[[#This Row],[Dif. Insumo e OS]])&lt;=0.02,"ok ou um centavo","verificar")</f>
        <v>ok ou um centavo</v>
      </c>
    </row>
    <row r="525" spans="1:11" hidden="1" x14ac:dyDescent="0.25">
      <c r="A525" s="3" t="s">
        <v>642</v>
      </c>
      <c r="B525" s="3" t="s">
        <v>643</v>
      </c>
      <c r="C525" s="4">
        <v>11.4</v>
      </c>
      <c r="D525" s="4">
        <v>11.4</v>
      </c>
      <c r="E525" s="4">
        <v>0</v>
      </c>
      <c r="F525" s="4">
        <v>0</v>
      </c>
      <c r="G525" s="4">
        <v>0</v>
      </c>
      <c r="H525" s="4">
        <v>0</v>
      </c>
      <c r="I525" s="4">
        <f>SUM(Tabela1[[#This Row],[Mão-de-obra (custo médio)]:[Materiais de troca (custo médio)]])</f>
        <v>11.4</v>
      </c>
      <c r="J525" s="4">
        <f>Tabela1[[#This Row],[Custos da os]]-Tabela1[[#This Row],[Custo dos insumos]]</f>
        <v>0</v>
      </c>
      <c r="K525" s="4" t="str">
        <f>IF(ABS(Tabela1[[#This Row],[Dif. Insumo e OS]])&lt;=0.02,"ok ou um centavo","verificar")</f>
        <v>ok ou um centavo</v>
      </c>
    </row>
    <row r="526" spans="1:11" hidden="1" x14ac:dyDescent="0.25">
      <c r="A526" s="3" t="s">
        <v>642</v>
      </c>
      <c r="B526" s="3" t="s">
        <v>644</v>
      </c>
      <c r="C526" s="4">
        <v>163.35</v>
      </c>
      <c r="D526" s="4">
        <v>0</v>
      </c>
      <c r="E526" s="4">
        <v>163.35</v>
      </c>
      <c r="F526" s="4">
        <v>0</v>
      </c>
      <c r="G526" s="4">
        <v>0</v>
      </c>
      <c r="H526" s="4">
        <v>0</v>
      </c>
      <c r="I526" s="4">
        <f>SUM(Tabela1[[#This Row],[Mão-de-obra (custo médio)]:[Materiais de troca (custo médio)]])</f>
        <v>163.35</v>
      </c>
      <c r="J526" s="4">
        <f>Tabela1[[#This Row],[Custos da os]]-Tabela1[[#This Row],[Custo dos insumos]]</f>
        <v>0</v>
      </c>
      <c r="K526" s="4" t="str">
        <f>IF(ABS(Tabela1[[#This Row],[Dif. Insumo e OS]])&lt;=0.02,"ok ou um centavo","verificar")</f>
        <v>ok ou um centavo</v>
      </c>
    </row>
    <row r="527" spans="1:11" hidden="1" x14ac:dyDescent="0.25">
      <c r="A527" s="3" t="s">
        <v>642</v>
      </c>
      <c r="B527" s="3" t="s">
        <v>645</v>
      </c>
      <c r="C527" s="4">
        <v>51.08</v>
      </c>
      <c r="D527" s="4">
        <v>36.08</v>
      </c>
      <c r="E527" s="4">
        <v>0</v>
      </c>
      <c r="F527" s="4">
        <v>0</v>
      </c>
      <c r="G527" s="4">
        <v>15</v>
      </c>
      <c r="H527" s="4">
        <v>0</v>
      </c>
      <c r="I527" s="4">
        <f>SUM(Tabela1[[#This Row],[Mão-de-obra (custo médio)]:[Materiais de troca (custo médio)]])</f>
        <v>51.08</v>
      </c>
      <c r="J527" s="4">
        <f>Tabela1[[#This Row],[Custos da os]]-Tabela1[[#This Row],[Custo dos insumos]]</f>
        <v>0</v>
      </c>
      <c r="K527" s="4" t="str">
        <f>IF(ABS(Tabela1[[#This Row],[Dif. Insumo e OS]])&lt;=0.02,"ok ou um centavo","verificar")</f>
        <v>ok ou um centavo</v>
      </c>
    </row>
    <row r="528" spans="1:11" hidden="1" x14ac:dyDescent="0.25">
      <c r="A528" s="3" t="s">
        <v>642</v>
      </c>
      <c r="B528" s="3" t="s">
        <v>646</v>
      </c>
      <c r="C528" s="4">
        <v>138.43</v>
      </c>
      <c r="D528" s="4">
        <v>27.29</v>
      </c>
      <c r="E528" s="4">
        <v>0</v>
      </c>
      <c r="F528" s="4">
        <v>0</v>
      </c>
      <c r="G528" s="4">
        <v>111.13</v>
      </c>
      <c r="H528" s="4">
        <v>0</v>
      </c>
      <c r="I528" s="4">
        <f>SUM(Tabela1[[#This Row],[Mão-de-obra (custo médio)]:[Materiais de troca (custo médio)]])</f>
        <v>138.41999999999999</v>
      </c>
      <c r="J528" s="4">
        <f>Tabela1[[#This Row],[Custos da os]]-Tabela1[[#This Row],[Custo dos insumos]]</f>
        <v>-1.0000000000019327E-2</v>
      </c>
      <c r="K528" s="4" t="str">
        <f>IF(ABS(Tabela1[[#This Row],[Dif. Insumo e OS]])&lt;=0.02,"ok ou um centavo","verificar")</f>
        <v>ok ou um centavo</v>
      </c>
    </row>
    <row r="529" spans="1:11" hidden="1" x14ac:dyDescent="0.25">
      <c r="A529" s="3" t="s">
        <v>642</v>
      </c>
      <c r="B529" s="3" t="s">
        <v>647</v>
      </c>
      <c r="C529" s="4">
        <v>22.01</v>
      </c>
      <c r="D529" s="4">
        <v>22.01</v>
      </c>
      <c r="E529" s="4">
        <v>0</v>
      </c>
      <c r="F529" s="4">
        <v>0</v>
      </c>
      <c r="G529" s="4">
        <v>0</v>
      </c>
      <c r="H529" s="4">
        <v>0</v>
      </c>
      <c r="I529" s="4">
        <f>SUM(Tabela1[[#This Row],[Mão-de-obra (custo médio)]:[Materiais de troca (custo médio)]])</f>
        <v>22.01</v>
      </c>
      <c r="J529" s="4">
        <f>Tabela1[[#This Row],[Custos da os]]-Tabela1[[#This Row],[Custo dos insumos]]</f>
        <v>0</v>
      </c>
      <c r="K529" s="4" t="str">
        <f>IF(ABS(Tabela1[[#This Row],[Dif. Insumo e OS]])&lt;=0.02,"ok ou um centavo","verificar")</f>
        <v>ok ou um centavo</v>
      </c>
    </row>
    <row r="530" spans="1:11" hidden="1" x14ac:dyDescent="0.25">
      <c r="A530" s="3" t="s">
        <v>648</v>
      </c>
      <c r="B530" s="3" t="s">
        <v>649</v>
      </c>
      <c r="C530" s="4">
        <v>658.76</v>
      </c>
      <c r="D530" s="4">
        <v>0.22</v>
      </c>
      <c r="E530" s="4">
        <v>0</v>
      </c>
      <c r="F530" s="4">
        <v>0</v>
      </c>
      <c r="G530" s="4">
        <v>0</v>
      </c>
      <c r="H530" s="4">
        <v>658.54</v>
      </c>
      <c r="I530" s="4">
        <f>SUM(Tabela1[[#This Row],[Mão-de-obra (custo médio)]:[Materiais de troca (custo médio)]])</f>
        <v>658.76</v>
      </c>
      <c r="J530" s="4">
        <f>Tabela1[[#This Row],[Custos da os]]-Tabela1[[#This Row],[Custo dos insumos]]</f>
        <v>0</v>
      </c>
      <c r="K530" s="4" t="str">
        <f>IF(ABS(Tabela1[[#This Row],[Dif. Insumo e OS]])&lt;=0.02,"ok ou um centavo","verificar")</f>
        <v>ok ou um centavo</v>
      </c>
    </row>
    <row r="531" spans="1:11" hidden="1" x14ac:dyDescent="0.25">
      <c r="A531" s="3" t="s">
        <v>648</v>
      </c>
      <c r="B531" s="3" t="s">
        <v>650</v>
      </c>
      <c r="C531" s="4">
        <v>163.35</v>
      </c>
      <c r="D531" s="4">
        <v>0</v>
      </c>
      <c r="E531" s="4">
        <v>163.35</v>
      </c>
      <c r="F531" s="4">
        <v>0</v>
      </c>
      <c r="G531" s="4">
        <v>0</v>
      </c>
      <c r="H531" s="4">
        <v>0</v>
      </c>
      <c r="I531" s="4">
        <f>SUM(Tabela1[[#This Row],[Mão-de-obra (custo médio)]:[Materiais de troca (custo médio)]])</f>
        <v>163.35</v>
      </c>
      <c r="J531" s="4">
        <f>Tabela1[[#This Row],[Custos da os]]-Tabela1[[#This Row],[Custo dos insumos]]</f>
        <v>0</v>
      </c>
      <c r="K531" s="4" t="str">
        <f>IF(ABS(Tabela1[[#This Row],[Dif. Insumo e OS]])&lt;=0.02,"ok ou um centavo","verificar")</f>
        <v>ok ou um centavo</v>
      </c>
    </row>
    <row r="532" spans="1:11" hidden="1" x14ac:dyDescent="0.25">
      <c r="A532" s="3" t="s">
        <v>648</v>
      </c>
      <c r="B532" s="3" t="s">
        <v>651</v>
      </c>
      <c r="C532" s="4">
        <v>11.17</v>
      </c>
      <c r="D532" s="4">
        <v>11.17</v>
      </c>
      <c r="E532" s="4">
        <v>0</v>
      </c>
      <c r="F532" s="4">
        <v>0</v>
      </c>
      <c r="G532" s="4">
        <v>0</v>
      </c>
      <c r="H532" s="4">
        <v>0</v>
      </c>
      <c r="I532" s="4">
        <f>SUM(Tabela1[[#This Row],[Mão-de-obra (custo médio)]:[Materiais de troca (custo médio)]])</f>
        <v>11.17</v>
      </c>
      <c r="J532" s="4">
        <f>Tabela1[[#This Row],[Custos da os]]-Tabela1[[#This Row],[Custo dos insumos]]</f>
        <v>0</v>
      </c>
      <c r="K532" s="4" t="str">
        <f>IF(ABS(Tabela1[[#This Row],[Dif. Insumo e OS]])&lt;=0.02,"ok ou um centavo","verificar")</f>
        <v>ok ou um centavo</v>
      </c>
    </row>
    <row r="533" spans="1:11" hidden="1" x14ac:dyDescent="0.25">
      <c r="A533" s="3" t="s">
        <v>648</v>
      </c>
      <c r="B533" s="3" t="s">
        <v>652</v>
      </c>
      <c r="C533" s="4">
        <v>249.15</v>
      </c>
      <c r="D533" s="4">
        <v>18.3</v>
      </c>
      <c r="E533" s="4">
        <v>0</v>
      </c>
      <c r="F533" s="4">
        <v>0</v>
      </c>
      <c r="G533" s="4">
        <v>230.86</v>
      </c>
      <c r="H533" s="4">
        <v>0</v>
      </c>
      <c r="I533" s="4">
        <f>SUM(Tabela1[[#This Row],[Mão-de-obra (custo médio)]:[Materiais de troca (custo médio)]])</f>
        <v>249.16000000000003</v>
      </c>
      <c r="J533" s="4">
        <f>Tabela1[[#This Row],[Custos da os]]-Tabela1[[#This Row],[Custo dos insumos]]</f>
        <v>1.0000000000019327E-2</v>
      </c>
      <c r="K533" s="4" t="str">
        <f>IF(ABS(Tabela1[[#This Row],[Dif. Insumo e OS]])&lt;=0.02,"ok ou um centavo","verificar")</f>
        <v>ok ou um centavo</v>
      </c>
    </row>
    <row r="534" spans="1:11" hidden="1" x14ac:dyDescent="0.25">
      <c r="A534" s="3" t="s">
        <v>648</v>
      </c>
      <c r="B534" s="3" t="s">
        <v>653</v>
      </c>
      <c r="C534" s="4">
        <v>25.06</v>
      </c>
      <c r="D534" s="4">
        <v>25.06</v>
      </c>
      <c r="E534" s="4">
        <v>0</v>
      </c>
      <c r="F534" s="4">
        <v>0</v>
      </c>
      <c r="G534" s="4">
        <v>0</v>
      </c>
      <c r="H534" s="4">
        <v>0</v>
      </c>
      <c r="I534" s="4">
        <f>SUM(Tabela1[[#This Row],[Mão-de-obra (custo médio)]:[Materiais de troca (custo médio)]])</f>
        <v>25.06</v>
      </c>
      <c r="J534" s="4">
        <f>Tabela1[[#This Row],[Custos da os]]-Tabela1[[#This Row],[Custo dos insumos]]</f>
        <v>0</v>
      </c>
      <c r="K534" s="4" t="str">
        <f>IF(ABS(Tabela1[[#This Row],[Dif. Insumo e OS]])&lt;=0.02,"ok ou um centavo","verificar")</f>
        <v>ok ou um centavo</v>
      </c>
    </row>
    <row r="535" spans="1:11" hidden="1" x14ac:dyDescent="0.25">
      <c r="A535" s="3" t="s">
        <v>648</v>
      </c>
      <c r="B535" s="3" t="s">
        <v>654</v>
      </c>
      <c r="C535" s="4">
        <v>7348.36</v>
      </c>
      <c r="D535" s="4">
        <v>0.46</v>
      </c>
      <c r="E535" s="4">
        <v>0</v>
      </c>
      <c r="F535" s="4">
        <v>0</v>
      </c>
      <c r="G535" s="4">
        <v>0</v>
      </c>
      <c r="H535" s="4">
        <v>7347.9</v>
      </c>
      <c r="I535" s="4">
        <f>SUM(Tabela1[[#This Row],[Mão-de-obra (custo médio)]:[Materiais de troca (custo médio)]])</f>
        <v>7348.36</v>
      </c>
      <c r="J535" s="4">
        <f>Tabela1[[#This Row],[Custos da os]]-Tabela1[[#This Row],[Custo dos insumos]]</f>
        <v>0</v>
      </c>
      <c r="K535" s="4" t="str">
        <f>IF(ABS(Tabela1[[#This Row],[Dif. Insumo e OS]])&lt;=0.02,"ok ou um centavo","verificar")</f>
        <v>ok ou um centavo</v>
      </c>
    </row>
    <row r="536" spans="1:11" hidden="1" x14ac:dyDescent="0.25">
      <c r="A536" s="3" t="s">
        <v>655</v>
      </c>
      <c r="B536" s="3" t="s">
        <v>656</v>
      </c>
      <c r="C536" s="4">
        <v>0.22</v>
      </c>
      <c r="D536" s="4">
        <v>0.22</v>
      </c>
      <c r="E536" s="4">
        <v>0</v>
      </c>
      <c r="F536" s="4">
        <v>0</v>
      </c>
      <c r="G536" s="4">
        <v>0</v>
      </c>
      <c r="H536" s="4">
        <v>0</v>
      </c>
      <c r="I536" s="4">
        <f>SUM(Tabela1[[#This Row],[Mão-de-obra (custo médio)]:[Materiais de troca (custo médio)]])</f>
        <v>0.22</v>
      </c>
      <c r="J536" s="4">
        <f>Tabela1[[#This Row],[Custos da os]]-Tabela1[[#This Row],[Custo dos insumos]]</f>
        <v>0</v>
      </c>
      <c r="K536" s="4" t="str">
        <f>IF(ABS(Tabela1[[#This Row],[Dif. Insumo e OS]])&lt;=0.02,"ok ou um centavo","verificar")</f>
        <v>ok ou um centavo</v>
      </c>
    </row>
    <row r="537" spans="1:11" x14ac:dyDescent="0.25">
      <c r="A537" s="1" t="s">
        <v>123</v>
      </c>
      <c r="B537" s="1" t="s">
        <v>127</v>
      </c>
      <c r="C537" s="2">
        <v>314.35000000000002</v>
      </c>
      <c r="D537" s="2">
        <v>0</v>
      </c>
      <c r="E537" s="2">
        <v>0</v>
      </c>
      <c r="F537" s="2">
        <v>0</v>
      </c>
      <c r="G537" s="2">
        <v>5903.74</v>
      </c>
      <c r="H537" s="2">
        <v>0</v>
      </c>
      <c r="I537" s="2">
        <f>SUM(Tabela1[[#This Row],[Mão-de-obra (custo médio)]:[Materiais de troca (custo médio)]])</f>
        <v>5903.74</v>
      </c>
      <c r="J537" s="2">
        <f>Tabela1[[#This Row],[Custos da os]]-Tabela1[[#This Row],[Custo dos insumos]]</f>
        <v>5589.3899999999994</v>
      </c>
      <c r="K537" s="2" t="str">
        <f>IF(ABS(Tabela1[[#This Row],[Dif. Insumo e OS]])&lt;=0.02,"ok ou um centavo","verificar")</f>
        <v>verificar</v>
      </c>
    </row>
    <row r="538" spans="1:11" hidden="1" x14ac:dyDescent="0.25">
      <c r="A538" s="3" t="s">
        <v>655</v>
      </c>
      <c r="B538" s="3" t="s">
        <v>658</v>
      </c>
      <c r="C538" s="4">
        <v>0.46</v>
      </c>
      <c r="D538" s="4">
        <v>0.46</v>
      </c>
      <c r="E538" s="4">
        <v>0</v>
      </c>
      <c r="F538" s="4">
        <v>0</v>
      </c>
      <c r="G538" s="4">
        <v>0</v>
      </c>
      <c r="H538" s="4">
        <v>0</v>
      </c>
      <c r="I538" s="4">
        <f>SUM(Tabela1[[#This Row],[Mão-de-obra (custo médio)]:[Materiais de troca (custo médio)]])</f>
        <v>0.46</v>
      </c>
      <c r="J538" s="4">
        <f>Tabela1[[#This Row],[Custos da os]]-Tabela1[[#This Row],[Custo dos insumos]]</f>
        <v>0</v>
      </c>
      <c r="K538" s="4" t="str">
        <f>IF(ABS(Tabela1[[#This Row],[Dif. Insumo e OS]])&lt;=0.02,"ok ou um centavo","verificar")</f>
        <v>ok ou um centavo</v>
      </c>
    </row>
    <row r="539" spans="1:11" hidden="1" x14ac:dyDescent="0.25">
      <c r="A539" s="3" t="s">
        <v>659</v>
      </c>
      <c r="B539" s="3" t="s">
        <v>660</v>
      </c>
      <c r="C539" s="4">
        <v>0.22</v>
      </c>
      <c r="D539" s="4">
        <v>0.22</v>
      </c>
      <c r="E539" s="4">
        <v>0</v>
      </c>
      <c r="F539" s="4">
        <v>0</v>
      </c>
      <c r="G539" s="4">
        <v>0</v>
      </c>
      <c r="H539" s="4">
        <v>0</v>
      </c>
      <c r="I539" s="4">
        <f>SUM(Tabela1[[#This Row],[Mão-de-obra (custo médio)]:[Materiais de troca (custo médio)]])</f>
        <v>0.22</v>
      </c>
      <c r="J539" s="4">
        <f>Tabela1[[#This Row],[Custos da os]]-Tabela1[[#This Row],[Custo dos insumos]]</f>
        <v>0</v>
      </c>
      <c r="K539" s="4" t="str">
        <f>IF(ABS(Tabela1[[#This Row],[Dif. Insumo e OS]])&lt;=0.02,"ok ou um centavo","verificar")</f>
        <v>ok ou um centavo</v>
      </c>
    </row>
    <row r="540" spans="1:11" hidden="1" x14ac:dyDescent="0.25">
      <c r="A540" s="3" t="s">
        <v>659</v>
      </c>
      <c r="B540" s="3" t="s">
        <v>661</v>
      </c>
      <c r="C540" s="4">
        <v>3.64</v>
      </c>
      <c r="D540" s="4">
        <v>3.64</v>
      </c>
      <c r="E540" s="4">
        <v>0</v>
      </c>
      <c r="F540" s="4">
        <v>0</v>
      </c>
      <c r="G540" s="4">
        <v>0</v>
      </c>
      <c r="H540" s="4">
        <v>0</v>
      </c>
      <c r="I540" s="4">
        <f>SUM(Tabela1[[#This Row],[Mão-de-obra (custo médio)]:[Materiais de troca (custo médio)]])</f>
        <v>3.64</v>
      </c>
      <c r="J540" s="4">
        <f>Tabela1[[#This Row],[Custos da os]]-Tabela1[[#This Row],[Custo dos insumos]]</f>
        <v>0</v>
      </c>
      <c r="K540" s="4" t="str">
        <f>IF(ABS(Tabela1[[#This Row],[Dif. Insumo e OS]])&lt;=0.02,"ok ou um centavo","verificar")</f>
        <v>ok ou um centavo</v>
      </c>
    </row>
    <row r="541" spans="1:11" x14ac:dyDescent="0.25">
      <c r="A541" s="1" t="s">
        <v>168</v>
      </c>
      <c r="B541" s="1" t="s">
        <v>173</v>
      </c>
      <c r="C541" s="2">
        <v>18.28</v>
      </c>
      <c r="D541" s="2">
        <v>465.08</v>
      </c>
      <c r="E541" s="2">
        <v>0</v>
      </c>
      <c r="F541" s="2">
        <v>0</v>
      </c>
      <c r="G541" s="2">
        <v>5805.06</v>
      </c>
      <c r="H541" s="2">
        <v>0</v>
      </c>
      <c r="I541" s="2">
        <f>SUM(Tabela1[[#This Row],[Mão-de-obra (custo médio)]:[Materiais de troca (custo médio)]])</f>
        <v>6270.14</v>
      </c>
      <c r="J541" s="2">
        <f>Tabela1[[#This Row],[Custos da os]]-Tabela1[[#This Row],[Custo dos insumos]]</f>
        <v>6251.8600000000006</v>
      </c>
      <c r="K541" s="2" t="str">
        <f>IF(ABS(Tabela1[[#This Row],[Dif. Insumo e OS]])&lt;=0.02,"ok ou um centavo","verificar")</f>
        <v>verificar</v>
      </c>
    </row>
    <row r="542" spans="1:11" x14ac:dyDescent="0.25">
      <c r="A542" s="1" t="s">
        <v>281</v>
      </c>
      <c r="B542" s="1" t="s">
        <v>288</v>
      </c>
      <c r="C542" s="2">
        <v>0</v>
      </c>
      <c r="D542" s="2">
        <v>0</v>
      </c>
      <c r="E542" s="2">
        <v>0</v>
      </c>
      <c r="F542" s="2">
        <v>2740</v>
      </c>
      <c r="G542" s="2">
        <v>4052.75</v>
      </c>
      <c r="H542" s="2">
        <v>0</v>
      </c>
      <c r="I542" s="2">
        <f>SUM(Tabela1[[#This Row],[Mão-de-obra (custo médio)]:[Materiais de troca (custo médio)]])</f>
        <v>6792.75</v>
      </c>
      <c r="J542" s="2">
        <f>Tabela1[[#This Row],[Custos da os]]-Tabela1[[#This Row],[Custo dos insumos]]</f>
        <v>6792.75</v>
      </c>
      <c r="K542" s="2" t="str">
        <f>IF(ABS(Tabela1[[#This Row],[Dif. Insumo e OS]])&lt;=0.02,"ok ou um centavo","verificar")</f>
        <v>verificar</v>
      </c>
    </row>
    <row r="543" spans="1:11" hidden="1" x14ac:dyDescent="0.25">
      <c r="A543" s="3" t="s">
        <v>665</v>
      </c>
      <c r="B543" s="3" t="s">
        <v>666</v>
      </c>
      <c r="C543" s="4">
        <v>0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f>SUM(Tabela1[[#This Row],[Mão-de-obra (custo médio)]:[Materiais de troca (custo médio)]])</f>
        <v>0</v>
      </c>
      <c r="J543" s="4">
        <f>Tabela1[[#This Row],[Custos da os]]-Tabela1[[#This Row],[Custo dos insumos]]</f>
        <v>0</v>
      </c>
      <c r="K543" s="4" t="str">
        <f>IF(ABS(Tabela1[[#This Row],[Dif. Insumo e OS]])&lt;=0.02,"ok ou um centavo","verificar")</f>
        <v>ok ou um centavo</v>
      </c>
    </row>
    <row r="544" spans="1:11" hidden="1" x14ac:dyDescent="0.25">
      <c r="A544" s="3" t="s">
        <v>665</v>
      </c>
      <c r="B544" s="3" t="s">
        <v>667</v>
      </c>
      <c r="C544" s="4">
        <v>137</v>
      </c>
      <c r="D544" s="4">
        <v>36.58</v>
      </c>
      <c r="E544" s="4">
        <v>0</v>
      </c>
      <c r="F544" s="4">
        <v>0</v>
      </c>
      <c r="G544" s="4">
        <v>0</v>
      </c>
      <c r="H544" s="4">
        <v>100.42</v>
      </c>
      <c r="I544" s="4">
        <f>SUM(Tabela1[[#This Row],[Mão-de-obra (custo médio)]:[Materiais de troca (custo médio)]])</f>
        <v>137</v>
      </c>
      <c r="J544" s="4">
        <f>Tabela1[[#This Row],[Custos da os]]-Tabela1[[#This Row],[Custo dos insumos]]</f>
        <v>0</v>
      </c>
      <c r="K544" s="4" t="str">
        <f>IF(ABS(Tabela1[[#This Row],[Dif. Insumo e OS]])&lt;=0.02,"ok ou um centavo","verificar")</f>
        <v>ok ou um centavo</v>
      </c>
    </row>
    <row r="545" spans="1:11" hidden="1" x14ac:dyDescent="0.25">
      <c r="A545" s="3" t="s">
        <v>665</v>
      </c>
      <c r="B545" s="3" t="s">
        <v>668</v>
      </c>
      <c r="C545" s="4">
        <v>179.09</v>
      </c>
      <c r="D545" s="4">
        <v>6.24</v>
      </c>
      <c r="E545" s="4">
        <v>0</v>
      </c>
      <c r="F545" s="4">
        <v>0</v>
      </c>
      <c r="G545" s="4">
        <v>172.85</v>
      </c>
      <c r="H545" s="4">
        <v>0</v>
      </c>
      <c r="I545" s="4">
        <f>SUM(Tabela1[[#This Row],[Mão-de-obra (custo médio)]:[Materiais de troca (custo médio)]])</f>
        <v>179.09</v>
      </c>
      <c r="J545" s="4">
        <f>Tabela1[[#This Row],[Custos da os]]-Tabela1[[#This Row],[Custo dos insumos]]</f>
        <v>0</v>
      </c>
      <c r="K545" s="4" t="str">
        <f>IF(ABS(Tabela1[[#This Row],[Dif. Insumo e OS]])&lt;=0.02,"ok ou um centavo","verificar")</f>
        <v>ok ou um centavo</v>
      </c>
    </row>
    <row r="546" spans="1:11" hidden="1" x14ac:dyDescent="0.25">
      <c r="A546" s="3" t="s">
        <v>669</v>
      </c>
      <c r="B546" s="3" t="s">
        <v>670</v>
      </c>
      <c r="C546" s="4">
        <v>848.25</v>
      </c>
      <c r="D546" s="4">
        <v>0</v>
      </c>
      <c r="E546" s="4">
        <v>0</v>
      </c>
      <c r="F546" s="4">
        <v>645.47</v>
      </c>
      <c r="G546" s="4">
        <v>0.2</v>
      </c>
      <c r="H546" s="4">
        <v>202.58</v>
      </c>
      <c r="I546" s="4">
        <f>SUM(Tabela1[[#This Row],[Mão-de-obra (custo médio)]:[Materiais de troca (custo médio)]])</f>
        <v>848.25000000000011</v>
      </c>
      <c r="J546" s="4">
        <f>Tabela1[[#This Row],[Custos da os]]-Tabela1[[#This Row],[Custo dos insumos]]</f>
        <v>0</v>
      </c>
      <c r="K546" s="4" t="str">
        <f>IF(ABS(Tabela1[[#This Row],[Dif. Insumo e OS]])&lt;=0.02,"ok ou um centavo","verificar")</f>
        <v>ok ou um centavo</v>
      </c>
    </row>
    <row r="547" spans="1:11" hidden="1" x14ac:dyDescent="0.25">
      <c r="A547" s="3" t="s">
        <v>669</v>
      </c>
      <c r="B547" s="3" t="s">
        <v>671</v>
      </c>
      <c r="C547" s="4">
        <v>26.7</v>
      </c>
      <c r="D547" s="4">
        <v>26.7</v>
      </c>
      <c r="E547" s="4">
        <v>0</v>
      </c>
      <c r="F547" s="4">
        <v>0</v>
      </c>
      <c r="G547" s="4">
        <v>0</v>
      </c>
      <c r="H547" s="4">
        <v>0</v>
      </c>
      <c r="I547" s="4">
        <f>SUM(Tabela1[[#This Row],[Mão-de-obra (custo médio)]:[Materiais de troca (custo médio)]])</f>
        <v>26.7</v>
      </c>
      <c r="J547" s="4">
        <f>Tabela1[[#This Row],[Custos da os]]-Tabela1[[#This Row],[Custo dos insumos]]</f>
        <v>0</v>
      </c>
      <c r="K547" s="4" t="str">
        <f>IF(ABS(Tabela1[[#This Row],[Dif. Insumo e OS]])&lt;=0.02,"ok ou um centavo","verificar")</f>
        <v>ok ou um centavo</v>
      </c>
    </row>
    <row r="548" spans="1:11" hidden="1" x14ac:dyDescent="0.25">
      <c r="A548" s="3" t="s">
        <v>669</v>
      </c>
      <c r="B548" s="3" t="s">
        <v>672</v>
      </c>
      <c r="C548" s="4">
        <v>30.9</v>
      </c>
      <c r="D548" s="4">
        <v>3.46</v>
      </c>
      <c r="E548" s="4">
        <v>0</v>
      </c>
      <c r="F548" s="4">
        <v>0</v>
      </c>
      <c r="G548" s="4">
        <v>20.94</v>
      </c>
      <c r="H548" s="4">
        <v>6.5</v>
      </c>
      <c r="I548" s="4">
        <f>SUM(Tabela1[[#This Row],[Mão-de-obra (custo médio)]:[Materiais de troca (custo médio)]])</f>
        <v>30.900000000000002</v>
      </c>
      <c r="J548" s="4">
        <f>Tabela1[[#This Row],[Custos da os]]-Tabela1[[#This Row],[Custo dos insumos]]</f>
        <v>0</v>
      </c>
      <c r="K548" s="4" t="str">
        <f>IF(ABS(Tabela1[[#This Row],[Dif. Insumo e OS]])&lt;=0.02,"ok ou um centavo","verificar")</f>
        <v>ok ou um centavo</v>
      </c>
    </row>
    <row r="549" spans="1:11" hidden="1" x14ac:dyDescent="0.25">
      <c r="A549" s="3" t="s">
        <v>673</v>
      </c>
      <c r="B549" s="3" t="s">
        <v>674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f>SUM(Tabela1[[#This Row],[Mão-de-obra (custo médio)]:[Materiais de troca (custo médio)]])</f>
        <v>0</v>
      </c>
      <c r="J549" s="4">
        <f>Tabela1[[#This Row],[Custos da os]]-Tabela1[[#This Row],[Custo dos insumos]]</f>
        <v>0</v>
      </c>
      <c r="K549" s="4" t="str">
        <f>IF(ABS(Tabela1[[#This Row],[Dif. Insumo e OS]])&lt;=0.02,"ok ou um centavo","verificar")</f>
        <v>ok ou um centavo</v>
      </c>
    </row>
    <row r="550" spans="1:11" hidden="1" x14ac:dyDescent="0.25">
      <c r="A550" s="3" t="s">
        <v>675</v>
      </c>
      <c r="B550" s="3" t="s">
        <v>676</v>
      </c>
      <c r="C550" s="4">
        <v>0.12</v>
      </c>
      <c r="D550" s="4">
        <v>0.12</v>
      </c>
      <c r="E550" s="4">
        <v>0</v>
      </c>
      <c r="F550" s="4">
        <v>0</v>
      </c>
      <c r="G550" s="4">
        <v>0</v>
      </c>
      <c r="H550" s="4">
        <v>0</v>
      </c>
      <c r="I550" s="4">
        <f>SUM(Tabela1[[#This Row],[Mão-de-obra (custo médio)]:[Materiais de troca (custo médio)]])</f>
        <v>0.12</v>
      </c>
      <c r="J550" s="4">
        <f>Tabela1[[#This Row],[Custos da os]]-Tabela1[[#This Row],[Custo dos insumos]]</f>
        <v>0</v>
      </c>
      <c r="K550" s="4" t="str">
        <f>IF(ABS(Tabela1[[#This Row],[Dif. Insumo e OS]])&lt;=0.02,"ok ou um centavo","verificar")</f>
        <v>ok ou um centavo</v>
      </c>
    </row>
    <row r="551" spans="1:11" hidden="1" x14ac:dyDescent="0.25">
      <c r="A551" s="3" t="s">
        <v>677</v>
      </c>
      <c r="B551" s="3" t="s">
        <v>678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f>SUM(Tabela1[[#This Row],[Mão-de-obra (custo médio)]:[Materiais de troca (custo médio)]])</f>
        <v>0</v>
      </c>
      <c r="J551" s="4">
        <f>Tabela1[[#This Row],[Custos da os]]-Tabela1[[#This Row],[Custo dos insumos]]</f>
        <v>0</v>
      </c>
      <c r="K551" s="4" t="str">
        <f>IF(ABS(Tabela1[[#This Row],[Dif. Insumo e OS]])&lt;=0.02,"ok ou um centavo","verificar")</f>
        <v>ok ou um centavo</v>
      </c>
    </row>
    <row r="552" spans="1:11" hidden="1" x14ac:dyDescent="0.25">
      <c r="A552" s="3" t="s">
        <v>677</v>
      </c>
      <c r="B552" s="3" t="s">
        <v>679</v>
      </c>
      <c r="C552" s="4">
        <v>0.11</v>
      </c>
      <c r="D552" s="4">
        <v>0.11</v>
      </c>
      <c r="E552" s="4">
        <v>0</v>
      </c>
      <c r="F552" s="4">
        <v>0</v>
      </c>
      <c r="G552" s="4">
        <v>0</v>
      </c>
      <c r="H552" s="4">
        <v>0</v>
      </c>
      <c r="I552" s="4">
        <f>SUM(Tabela1[[#This Row],[Mão-de-obra (custo médio)]:[Materiais de troca (custo médio)]])</f>
        <v>0.11</v>
      </c>
      <c r="J552" s="4">
        <f>Tabela1[[#This Row],[Custos da os]]-Tabela1[[#This Row],[Custo dos insumos]]</f>
        <v>0</v>
      </c>
      <c r="K552" s="4" t="str">
        <f>IF(ABS(Tabela1[[#This Row],[Dif. Insumo e OS]])&lt;=0.02,"ok ou um centavo","verificar")</f>
        <v>ok ou um centavo</v>
      </c>
    </row>
    <row r="553" spans="1:11" hidden="1" x14ac:dyDescent="0.25">
      <c r="A553" s="3" t="s">
        <v>677</v>
      </c>
      <c r="B553" s="3" t="s">
        <v>680</v>
      </c>
      <c r="C553" s="4">
        <v>0.46</v>
      </c>
      <c r="D553" s="4">
        <v>0.46</v>
      </c>
      <c r="E553" s="4">
        <v>0</v>
      </c>
      <c r="F553" s="4">
        <v>0</v>
      </c>
      <c r="G553" s="4">
        <v>0</v>
      </c>
      <c r="H553" s="4">
        <v>0</v>
      </c>
      <c r="I553" s="4">
        <f>SUM(Tabela1[[#This Row],[Mão-de-obra (custo médio)]:[Materiais de troca (custo médio)]])</f>
        <v>0.46</v>
      </c>
      <c r="J553" s="4">
        <f>Tabela1[[#This Row],[Custos da os]]-Tabela1[[#This Row],[Custo dos insumos]]</f>
        <v>0</v>
      </c>
      <c r="K553" s="4" t="str">
        <f>IF(ABS(Tabela1[[#This Row],[Dif. Insumo e OS]])&lt;=0.02,"ok ou um centavo","verificar")</f>
        <v>ok ou um centavo</v>
      </c>
    </row>
    <row r="554" spans="1:11" hidden="1" x14ac:dyDescent="0.25">
      <c r="A554" s="3" t="s">
        <v>677</v>
      </c>
      <c r="B554" s="3" t="s">
        <v>681</v>
      </c>
      <c r="C554" s="4">
        <v>4409.2</v>
      </c>
      <c r="D554" s="4">
        <v>0.46</v>
      </c>
      <c r="E554" s="4">
        <v>0</v>
      </c>
      <c r="F554" s="4">
        <v>0</v>
      </c>
      <c r="G554" s="4">
        <v>0</v>
      </c>
      <c r="H554" s="4">
        <v>4408.74</v>
      </c>
      <c r="I554" s="4">
        <f>SUM(Tabela1[[#This Row],[Mão-de-obra (custo médio)]:[Materiais de troca (custo médio)]])</f>
        <v>4409.2</v>
      </c>
      <c r="J554" s="4">
        <f>Tabela1[[#This Row],[Custos da os]]-Tabela1[[#This Row],[Custo dos insumos]]</f>
        <v>0</v>
      </c>
      <c r="K554" s="4" t="str">
        <f>IF(ABS(Tabela1[[#This Row],[Dif. Insumo e OS]])&lt;=0.02,"ok ou um centavo","verificar")</f>
        <v>ok ou um centavo</v>
      </c>
    </row>
    <row r="555" spans="1:11" hidden="1" x14ac:dyDescent="0.25">
      <c r="A555" s="3" t="s">
        <v>682</v>
      </c>
      <c r="B555" s="3" t="s">
        <v>683</v>
      </c>
      <c r="C555" s="4">
        <v>72.599999999999994</v>
      </c>
      <c r="D555" s="4">
        <v>0</v>
      </c>
      <c r="E555" s="4">
        <v>72.599999999999994</v>
      </c>
      <c r="F555" s="4">
        <v>0</v>
      </c>
      <c r="G555" s="4">
        <v>0</v>
      </c>
      <c r="H555" s="4">
        <v>0</v>
      </c>
      <c r="I555" s="4">
        <f>SUM(Tabela1[[#This Row],[Mão-de-obra (custo médio)]:[Materiais de troca (custo médio)]])</f>
        <v>72.599999999999994</v>
      </c>
      <c r="J555" s="4">
        <f>Tabela1[[#This Row],[Custos da os]]-Tabela1[[#This Row],[Custo dos insumos]]</f>
        <v>0</v>
      </c>
      <c r="K555" s="4" t="str">
        <f>IF(ABS(Tabela1[[#This Row],[Dif. Insumo e OS]])&lt;=0.02,"ok ou um centavo","verificar")</f>
        <v>ok ou um centavo</v>
      </c>
    </row>
    <row r="556" spans="1:11" x14ac:dyDescent="0.25">
      <c r="A556" s="1" t="s">
        <v>226</v>
      </c>
      <c r="B556" s="1" t="s">
        <v>233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7626.56</v>
      </c>
      <c r="I556" s="2">
        <f>SUM(Tabela1[[#This Row],[Mão-de-obra (custo médio)]:[Materiais de troca (custo médio)]])</f>
        <v>7626.56</v>
      </c>
      <c r="J556" s="2">
        <f>Tabela1[[#This Row],[Custos da os]]-Tabela1[[#This Row],[Custo dos insumos]]</f>
        <v>7626.56</v>
      </c>
      <c r="K556" s="2" t="str">
        <f>IF(ABS(Tabela1[[#This Row],[Dif. Insumo e OS]])&lt;=0.02,"ok ou um centavo","verificar")</f>
        <v>verificar</v>
      </c>
    </row>
    <row r="557" spans="1:11" hidden="1" x14ac:dyDescent="0.25">
      <c r="A557" s="3" t="s">
        <v>685</v>
      </c>
      <c r="B557" s="3" t="s">
        <v>686</v>
      </c>
      <c r="C557" s="4">
        <v>0.22</v>
      </c>
      <c r="D557" s="4">
        <v>0.22</v>
      </c>
      <c r="E557" s="4">
        <v>0</v>
      </c>
      <c r="F557" s="4">
        <v>0</v>
      </c>
      <c r="G557" s="4">
        <v>0</v>
      </c>
      <c r="H557" s="4">
        <v>0</v>
      </c>
      <c r="I557" s="4">
        <f>SUM(Tabela1[[#This Row],[Mão-de-obra (custo médio)]:[Materiais de troca (custo médio)]])</f>
        <v>0.22</v>
      </c>
      <c r="J557" s="4">
        <f>Tabela1[[#This Row],[Custos da os]]-Tabela1[[#This Row],[Custo dos insumos]]</f>
        <v>0</v>
      </c>
      <c r="K557" s="4" t="str">
        <f>IF(ABS(Tabela1[[#This Row],[Dif. Insumo e OS]])&lt;=0.02,"ok ou um centavo","verificar")</f>
        <v>ok ou um centavo</v>
      </c>
    </row>
    <row r="558" spans="1:11" hidden="1" x14ac:dyDescent="0.25">
      <c r="A558" s="3" t="s">
        <v>685</v>
      </c>
      <c r="B558" s="3" t="s">
        <v>687</v>
      </c>
      <c r="C558" s="4">
        <v>38.61</v>
      </c>
      <c r="D558" s="4">
        <v>2.52</v>
      </c>
      <c r="E558" s="4">
        <v>0</v>
      </c>
      <c r="F558" s="4">
        <v>0</v>
      </c>
      <c r="G558" s="4">
        <v>6.8</v>
      </c>
      <c r="H558" s="4">
        <v>29.29</v>
      </c>
      <c r="I558" s="4">
        <f>SUM(Tabela1[[#This Row],[Mão-de-obra (custo médio)]:[Materiais de troca (custo médio)]])</f>
        <v>38.61</v>
      </c>
      <c r="J558" s="4">
        <f>Tabela1[[#This Row],[Custos da os]]-Tabela1[[#This Row],[Custo dos insumos]]</f>
        <v>0</v>
      </c>
      <c r="K558" s="4" t="str">
        <f>IF(ABS(Tabela1[[#This Row],[Dif. Insumo e OS]])&lt;=0.02,"ok ou um centavo","verificar")</f>
        <v>ok ou um centavo</v>
      </c>
    </row>
    <row r="559" spans="1:11" hidden="1" x14ac:dyDescent="0.25">
      <c r="A559" s="3" t="s">
        <v>685</v>
      </c>
      <c r="B559" s="3" t="s">
        <v>688</v>
      </c>
      <c r="C559" s="4">
        <v>241.23</v>
      </c>
      <c r="D559" s="4">
        <v>0</v>
      </c>
      <c r="E559" s="4">
        <v>0</v>
      </c>
      <c r="F559" s="4">
        <v>0</v>
      </c>
      <c r="G559" s="4">
        <v>0</v>
      </c>
      <c r="H559" s="4">
        <v>241.23</v>
      </c>
      <c r="I559" s="4">
        <f>SUM(Tabela1[[#This Row],[Mão-de-obra (custo médio)]:[Materiais de troca (custo médio)]])</f>
        <v>241.23</v>
      </c>
      <c r="J559" s="4">
        <f>Tabela1[[#This Row],[Custos da os]]-Tabela1[[#This Row],[Custo dos insumos]]</f>
        <v>0</v>
      </c>
      <c r="K559" s="4" t="str">
        <f>IF(ABS(Tabela1[[#This Row],[Dif. Insumo e OS]])&lt;=0.02,"ok ou um centavo","verificar")</f>
        <v>ok ou um centavo</v>
      </c>
    </row>
    <row r="560" spans="1:11" hidden="1" x14ac:dyDescent="0.25">
      <c r="A560" s="3" t="s">
        <v>689</v>
      </c>
      <c r="B560" s="3" t="s">
        <v>690</v>
      </c>
      <c r="C560" s="4">
        <v>163.35</v>
      </c>
      <c r="D560" s="4">
        <v>0</v>
      </c>
      <c r="E560" s="4">
        <v>163.35</v>
      </c>
      <c r="F560" s="4">
        <v>0</v>
      </c>
      <c r="G560" s="4">
        <v>0</v>
      </c>
      <c r="H560" s="4">
        <v>0</v>
      </c>
      <c r="I560" s="4">
        <f>SUM(Tabela1[[#This Row],[Mão-de-obra (custo médio)]:[Materiais de troca (custo médio)]])</f>
        <v>163.35</v>
      </c>
      <c r="J560" s="4">
        <f>Tabela1[[#This Row],[Custos da os]]-Tabela1[[#This Row],[Custo dos insumos]]</f>
        <v>0</v>
      </c>
      <c r="K560" s="4" t="str">
        <f>IF(ABS(Tabela1[[#This Row],[Dif. Insumo e OS]])&lt;=0.02,"ok ou um centavo","verificar")</f>
        <v>ok ou um centavo</v>
      </c>
    </row>
    <row r="561" spans="1:11" hidden="1" x14ac:dyDescent="0.25">
      <c r="A561" s="3" t="s">
        <v>689</v>
      </c>
      <c r="B561" s="3" t="s">
        <v>691</v>
      </c>
      <c r="C561" s="4">
        <v>158.24</v>
      </c>
      <c r="D561" s="4">
        <v>19.059999999999999</v>
      </c>
      <c r="E561" s="4">
        <v>0</v>
      </c>
      <c r="F561" s="4">
        <v>0</v>
      </c>
      <c r="G561" s="4">
        <v>139.18</v>
      </c>
      <c r="H561" s="4">
        <v>0</v>
      </c>
      <c r="I561" s="4">
        <f>SUM(Tabela1[[#This Row],[Mão-de-obra (custo médio)]:[Materiais de troca (custo médio)]])</f>
        <v>158.24</v>
      </c>
      <c r="J561" s="4">
        <f>Tabela1[[#This Row],[Custos da os]]-Tabela1[[#This Row],[Custo dos insumos]]</f>
        <v>0</v>
      </c>
      <c r="K561" s="4" t="str">
        <f>IF(ABS(Tabela1[[#This Row],[Dif. Insumo e OS]])&lt;=0.02,"ok ou um centavo","verificar")</f>
        <v>ok ou um centavo</v>
      </c>
    </row>
    <row r="562" spans="1:11" hidden="1" x14ac:dyDescent="0.25">
      <c r="A562" s="3" t="s">
        <v>689</v>
      </c>
      <c r="B562" s="3" t="s">
        <v>692</v>
      </c>
      <c r="C562" s="4">
        <v>3.07</v>
      </c>
      <c r="D562" s="4">
        <v>3.07</v>
      </c>
      <c r="E562" s="4">
        <v>0</v>
      </c>
      <c r="F562" s="4">
        <v>0</v>
      </c>
      <c r="G562" s="4">
        <v>0</v>
      </c>
      <c r="H562" s="4">
        <v>0</v>
      </c>
      <c r="I562" s="4">
        <f>SUM(Tabela1[[#This Row],[Mão-de-obra (custo médio)]:[Materiais de troca (custo médio)]])</f>
        <v>3.07</v>
      </c>
      <c r="J562" s="4">
        <f>Tabela1[[#This Row],[Custos da os]]-Tabela1[[#This Row],[Custo dos insumos]]</f>
        <v>0</v>
      </c>
      <c r="K562" s="4" t="str">
        <f>IF(ABS(Tabela1[[#This Row],[Dif. Insumo e OS]])&lt;=0.02,"ok ou um centavo","verificar")</f>
        <v>ok ou um centavo</v>
      </c>
    </row>
    <row r="563" spans="1:11" x14ac:dyDescent="0.25">
      <c r="A563" s="1" t="s">
        <v>129</v>
      </c>
      <c r="B563" s="1" t="s">
        <v>130</v>
      </c>
      <c r="C563" s="2">
        <v>1099.26</v>
      </c>
      <c r="D563" s="2">
        <v>0</v>
      </c>
      <c r="E563" s="2">
        <v>0</v>
      </c>
      <c r="F563" s="2">
        <v>0</v>
      </c>
      <c r="G563" s="2">
        <v>2174.12</v>
      </c>
      <c r="H563" s="2">
        <v>7222.09</v>
      </c>
      <c r="I563" s="2">
        <f>SUM(Tabela1[[#This Row],[Mão-de-obra (custo médio)]:[Materiais de troca (custo médio)]])</f>
        <v>9396.2099999999991</v>
      </c>
      <c r="J563" s="2">
        <f>Tabela1[[#This Row],[Custos da os]]-Tabela1[[#This Row],[Custo dos insumos]]</f>
        <v>8296.9499999999989</v>
      </c>
      <c r="K563" s="2" t="str">
        <f>IF(ABS(Tabela1[[#This Row],[Dif. Insumo e OS]])&lt;=0.02,"ok ou um centavo","verificar")</f>
        <v>verificar</v>
      </c>
    </row>
    <row r="564" spans="1:11" hidden="1" x14ac:dyDescent="0.25">
      <c r="A564" s="3" t="s">
        <v>694</v>
      </c>
      <c r="B564" s="3" t="s">
        <v>695</v>
      </c>
      <c r="C564" s="4">
        <v>266.27</v>
      </c>
      <c r="D564" s="4">
        <v>266.27</v>
      </c>
      <c r="E564" s="4">
        <v>0</v>
      </c>
      <c r="F564" s="4">
        <v>0</v>
      </c>
      <c r="G564" s="4">
        <v>0</v>
      </c>
      <c r="H564" s="4">
        <v>0</v>
      </c>
      <c r="I564" s="4">
        <f>SUM(Tabela1[[#This Row],[Mão-de-obra (custo médio)]:[Materiais de troca (custo médio)]])</f>
        <v>266.27</v>
      </c>
      <c r="J564" s="4">
        <f>Tabela1[[#This Row],[Custos da os]]-Tabela1[[#This Row],[Custo dos insumos]]</f>
        <v>0</v>
      </c>
      <c r="K564" s="4" t="str">
        <f>IF(ABS(Tabela1[[#This Row],[Dif. Insumo e OS]])&lt;=0.02,"ok ou um centavo","verificar")</f>
        <v>ok ou um centavo</v>
      </c>
    </row>
    <row r="565" spans="1:11" hidden="1" x14ac:dyDescent="0.25">
      <c r="A565" s="3" t="s">
        <v>694</v>
      </c>
      <c r="B565" s="3" t="s">
        <v>696</v>
      </c>
      <c r="C565" s="4">
        <v>157.71</v>
      </c>
      <c r="D565" s="4">
        <v>29.6</v>
      </c>
      <c r="E565" s="4">
        <v>0</v>
      </c>
      <c r="F565" s="4">
        <v>0</v>
      </c>
      <c r="G565" s="4">
        <v>128.11000000000001</v>
      </c>
      <c r="H565" s="4">
        <v>0</v>
      </c>
      <c r="I565" s="4">
        <f>SUM(Tabela1[[#This Row],[Mão-de-obra (custo médio)]:[Materiais de troca (custo médio)]])</f>
        <v>157.71</v>
      </c>
      <c r="J565" s="4">
        <f>Tabela1[[#This Row],[Custos da os]]-Tabela1[[#This Row],[Custo dos insumos]]</f>
        <v>0</v>
      </c>
      <c r="K565" s="4" t="str">
        <f>IF(ABS(Tabela1[[#This Row],[Dif. Insumo e OS]])&lt;=0.02,"ok ou um centavo","verificar")</f>
        <v>ok ou um centavo</v>
      </c>
    </row>
    <row r="566" spans="1:11" hidden="1" x14ac:dyDescent="0.25">
      <c r="A566" s="3" t="s">
        <v>694</v>
      </c>
      <c r="B566" s="3" t="s">
        <v>697</v>
      </c>
      <c r="C566" s="4">
        <v>126.25</v>
      </c>
      <c r="D566" s="4">
        <v>52.57</v>
      </c>
      <c r="E566" s="4">
        <v>0</v>
      </c>
      <c r="F566" s="4">
        <v>0</v>
      </c>
      <c r="G566" s="4">
        <v>48.65</v>
      </c>
      <c r="H566" s="4">
        <v>25.03</v>
      </c>
      <c r="I566" s="4">
        <f>SUM(Tabela1[[#This Row],[Mão-de-obra (custo médio)]:[Materiais de troca (custo médio)]])</f>
        <v>126.25</v>
      </c>
      <c r="J566" s="4">
        <f>Tabela1[[#This Row],[Custos da os]]-Tabela1[[#This Row],[Custo dos insumos]]</f>
        <v>0</v>
      </c>
      <c r="K566" s="4" t="str">
        <f>IF(ABS(Tabela1[[#This Row],[Dif. Insumo e OS]])&lt;=0.02,"ok ou um centavo","verificar")</f>
        <v>ok ou um centavo</v>
      </c>
    </row>
    <row r="567" spans="1:11" x14ac:dyDescent="0.25">
      <c r="A567" s="1" t="s">
        <v>87</v>
      </c>
      <c r="B567" s="1" t="s">
        <v>88</v>
      </c>
      <c r="C567" s="2">
        <v>3720.54</v>
      </c>
      <c r="D567" s="2">
        <v>0</v>
      </c>
      <c r="E567" s="2">
        <v>0</v>
      </c>
      <c r="F567" s="2">
        <v>0</v>
      </c>
      <c r="G567" s="2">
        <v>1958.97</v>
      </c>
      <c r="H567" s="2">
        <v>10561.36</v>
      </c>
      <c r="I567" s="2">
        <f>SUM(Tabela1[[#This Row],[Mão-de-obra (custo médio)]:[Materiais de troca (custo médio)]])</f>
        <v>12520.33</v>
      </c>
      <c r="J567" s="2">
        <f>Tabela1[[#This Row],[Custos da os]]-Tabela1[[#This Row],[Custo dos insumos]]</f>
        <v>8799.7900000000009</v>
      </c>
      <c r="K567" s="2" t="str">
        <f>IF(ABS(Tabela1[[#This Row],[Dif. Insumo e OS]])&lt;=0.02,"ok ou um centavo","verificar")</f>
        <v>verificar</v>
      </c>
    </row>
    <row r="568" spans="1:11" hidden="1" x14ac:dyDescent="0.25">
      <c r="A568" s="3" t="s">
        <v>699</v>
      </c>
      <c r="B568" s="3" t="s">
        <v>700</v>
      </c>
      <c r="C568" s="4">
        <v>0.22</v>
      </c>
      <c r="D568" s="4">
        <v>0.22</v>
      </c>
      <c r="E568" s="4">
        <v>0</v>
      </c>
      <c r="F568" s="4">
        <v>0</v>
      </c>
      <c r="G568" s="4">
        <v>0</v>
      </c>
      <c r="H568" s="4">
        <v>0</v>
      </c>
      <c r="I568" s="4">
        <f>SUM(Tabela1[[#This Row],[Mão-de-obra (custo médio)]:[Materiais de troca (custo médio)]])</f>
        <v>0.22</v>
      </c>
      <c r="J568" s="4">
        <f>Tabela1[[#This Row],[Custos da os]]-Tabela1[[#This Row],[Custo dos insumos]]</f>
        <v>0</v>
      </c>
      <c r="K568" s="4" t="str">
        <f>IF(ABS(Tabela1[[#This Row],[Dif. Insumo e OS]])&lt;=0.02,"ok ou um centavo","verificar")</f>
        <v>ok ou um centavo</v>
      </c>
    </row>
    <row r="569" spans="1:11" hidden="1" x14ac:dyDescent="0.25">
      <c r="A569" s="3" t="s">
        <v>699</v>
      </c>
      <c r="B569" s="3" t="s">
        <v>701</v>
      </c>
      <c r="C569" s="4">
        <v>0.46</v>
      </c>
      <c r="D569" s="4">
        <v>0.46</v>
      </c>
      <c r="E569" s="4">
        <v>0</v>
      </c>
      <c r="F569" s="4">
        <v>0</v>
      </c>
      <c r="G569" s="4">
        <v>0</v>
      </c>
      <c r="H569" s="4">
        <v>0</v>
      </c>
      <c r="I569" s="4">
        <f>SUM(Tabela1[[#This Row],[Mão-de-obra (custo médio)]:[Materiais de troca (custo médio)]])</f>
        <v>0.46</v>
      </c>
      <c r="J569" s="4">
        <f>Tabela1[[#This Row],[Custos da os]]-Tabela1[[#This Row],[Custo dos insumos]]</f>
        <v>0</v>
      </c>
      <c r="K569" s="4" t="str">
        <f>IF(ABS(Tabela1[[#This Row],[Dif. Insumo e OS]])&lt;=0.02,"ok ou um centavo","verificar")</f>
        <v>ok ou um centavo</v>
      </c>
    </row>
    <row r="570" spans="1:11" hidden="1" x14ac:dyDescent="0.25">
      <c r="A570" s="3" t="s">
        <v>699</v>
      </c>
      <c r="B570" s="3" t="s">
        <v>702</v>
      </c>
      <c r="C570" s="4">
        <v>744.56</v>
      </c>
      <c r="D570" s="4">
        <v>148.83000000000001</v>
      </c>
      <c r="E570" s="4">
        <v>0</v>
      </c>
      <c r="F570" s="4">
        <v>0</v>
      </c>
      <c r="G570" s="4">
        <v>0</v>
      </c>
      <c r="H570" s="4">
        <v>595.73</v>
      </c>
      <c r="I570" s="4">
        <f>SUM(Tabela1[[#This Row],[Mão-de-obra (custo médio)]:[Materiais de troca (custo médio)]])</f>
        <v>744.56000000000006</v>
      </c>
      <c r="J570" s="4">
        <f>Tabela1[[#This Row],[Custos da os]]-Tabela1[[#This Row],[Custo dos insumos]]</f>
        <v>0</v>
      </c>
      <c r="K570" s="4" t="str">
        <f>IF(ABS(Tabela1[[#This Row],[Dif. Insumo e OS]])&lt;=0.02,"ok ou um centavo","verificar")</f>
        <v>ok ou um centavo</v>
      </c>
    </row>
    <row r="571" spans="1:11" hidden="1" x14ac:dyDescent="0.25">
      <c r="A571" s="3" t="s">
        <v>703</v>
      </c>
      <c r="B571" s="3" t="s">
        <v>704</v>
      </c>
      <c r="C571" s="4">
        <v>43.59</v>
      </c>
      <c r="D571" s="4">
        <v>16.54</v>
      </c>
      <c r="E571" s="4">
        <v>0</v>
      </c>
      <c r="F571" s="4">
        <v>0</v>
      </c>
      <c r="G571" s="4">
        <v>0</v>
      </c>
      <c r="H571" s="4">
        <v>27.05</v>
      </c>
      <c r="I571" s="4">
        <f>SUM(Tabela1[[#This Row],[Mão-de-obra (custo médio)]:[Materiais de troca (custo médio)]])</f>
        <v>43.59</v>
      </c>
      <c r="J571" s="4">
        <f>Tabela1[[#This Row],[Custos da os]]-Tabela1[[#This Row],[Custo dos insumos]]</f>
        <v>0</v>
      </c>
      <c r="K571" s="4" t="str">
        <f>IF(ABS(Tabela1[[#This Row],[Dif. Insumo e OS]])&lt;=0.02,"ok ou um centavo","verificar")</f>
        <v>ok ou um centavo</v>
      </c>
    </row>
    <row r="572" spans="1:11" hidden="1" x14ac:dyDescent="0.25">
      <c r="A572" s="3" t="s">
        <v>703</v>
      </c>
      <c r="B572" s="3" t="s">
        <v>705</v>
      </c>
      <c r="C572" s="4">
        <v>44.65</v>
      </c>
      <c r="D572" s="4">
        <v>9.98</v>
      </c>
      <c r="E572" s="4">
        <v>0</v>
      </c>
      <c r="F572" s="4">
        <v>0</v>
      </c>
      <c r="G572" s="4">
        <v>1.02</v>
      </c>
      <c r="H572" s="4">
        <v>33.65</v>
      </c>
      <c r="I572" s="4">
        <f>SUM(Tabela1[[#This Row],[Mão-de-obra (custo médio)]:[Materiais de troca (custo médio)]])</f>
        <v>44.65</v>
      </c>
      <c r="J572" s="4">
        <f>Tabela1[[#This Row],[Custos da os]]-Tabela1[[#This Row],[Custo dos insumos]]</f>
        <v>0</v>
      </c>
      <c r="K572" s="4" t="str">
        <f>IF(ABS(Tabela1[[#This Row],[Dif. Insumo e OS]])&lt;=0.02,"ok ou um centavo","verificar")</f>
        <v>ok ou um centavo</v>
      </c>
    </row>
    <row r="573" spans="1:11" hidden="1" x14ac:dyDescent="0.25">
      <c r="A573" s="3" t="s">
        <v>703</v>
      </c>
      <c r="B573" s="3" t="s">
        <v>706</v>
      </c>
      <c r="C573" s="4">
        <v>19.809999999999999</v>
      </c>
      <c r="D573" s="4">
        <v>16.96</v>
      </c>
      <c r="E573" s="4">
        <v>0</v>
      </c>
      <c r="F573" s="4">
        <v>0</v>
      </c>
      <c r="G573" s="4">
        <v>2.86</v>
      </c>
      <c r="H573" s="4">
        <v>0</v>
      </c>
      <c r="I573" s="4">
        <f>SUM(Tabela1[[#This Row],[Mão-de-obra (custo médio)]:[Materiais de troca (custo médio)]])</f>
        <v>19.82</v>
      </c>
      <c r="J573" s="4">
        <f>Tabela1[[#This Row],[Custos da os]]-Tabela1[[#This Row],[Custo dos insumos]]</f>
        <v>1.0000000000001563E-2</v>
      </c>
      <c r="K573" s="4" t="str">
        <f>IF(ABS(Tabela1[[#This Row],[Dif. Insumo e OS]])&lt;=0.02,"ok ou um centavo","verificar")</f>
        <v>ok ou um centavo</v>
      </c>
    </row>
    <row r="574" spans="1:11" hidden="1" x14ac:dyDescent="0.25">
      <c r="A574" s="3" t="s">
        <v>703</v>
      </c>
      <c r="B574" s="3" t="s">
        <v>707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f>SUM(Tabela1[[#This Row],[Mão-de-obra (custo médio)]:[Materiais de troca (custo médio)]])</f>
        <v>0</v>
      </c>
      <c r="J574" s="4">
        <f>Tabela1[[#This Row],[Custos da os]]-Tabela1[[#This Row],[Custo dos insumos]]</f>
        <v>0</v>
      </c>
      <c r="K574" s="4" t="str">
        <f>IF(ABS(Tabela1[[#This Row],[Dif. Insumo e OS]])&lt;=0.02,"ok ou um centavo","verificar")</f>
        <v>ok ou um centavo</v>
      </c>
    </row>
    <row r="575" spans="1:11" hidden="1" x14ac:dyDescent="0.25">
      <c r="A575" s="3" t="s">
        <v>708</v>
      </c>
      <c r="B575" s="3" t="s">
        <v>709</v>
      </c>
      <c r="C575" s="4">
        <v>0.22</v>
      </c>
      <c r="D575" s="4">
        <v>0.22</v>
      </c>
      <c r="E575" s="4">
        <v>0</v>
      </c>
      <c r="F575" s="4">
        <v>0</v>
      </c>
      <c r="G575" s="4">
        <v>0</v>
      </c>
      <c r="H575" s="4">
        <v>0</v>
      </c>
      <c r="I575" s="4">
        <f>SUM(Tabela1[[#This Row],[Mão-de-obra (custo médio)]:[Materiais de troca (custo médio)]])</f>
        <v>0.22</v>
      </c>
      <c r="J575" s="4">
        <f>Tabela1[[#This Row],[Custos da os]]-Tabela1[[#This Row],[Custo dos insumos]]</f>
        <v>0</v>
      </c>
      <c r="K575" s="4" t="str">
        <f>IF(ABS(Tabela1[[#This Row],[Dif. Insumo e OS]])&lt;=0.02,"ok ou um centavo","verificar")</f>
        <v>ok ou um centavo</v>
      </c>
    </row>
    <row r="576" spans="1:11" hidden="1" x14ac:dyDescent="0.25">
      <c r="A576" s="3" t="s">
        <v>708</v>
      </c>
      <c r="B576" s="3" t="s">
        <v>710</v>
      </c>
      <c r="C576" s="4">
        <v>5.22</v>
      </c>
      <c r="D576" s="4">
        <v>0.22</v>
      </c>
      <c r="E576" s="4">
        <v>0</v>
      </c>
      <c r="F576" s="4">
        <v>0</v>
      </c>
      <c r="G576" s="4">
        <v>0</v>
      </c>
      <c r="H576" s="4">
        <v>5</v>
      </c>
      <c r="I576" s="4">
        <f>SUM(Tabela1[[#This Row],[Mão-de-obra (custo médio)]:[Materiais de troca (custo médio)]])</f>
        <v>5.22</v>
      </c>
      <c r="J576" s="4">
        <f>Tabela1[[#This Row],[Custos da os]]-Tabela1[[#This Row],[Custo dos insumos]]</f>
        <v>0</v>
      </c>
      <c r="K576" s="4" t="str">
        <f>IF(ABS(Tabela1[[#This Row],[Dif. Insumo e OS]])&lt;=0.02,"ok ou um centavo","verificar")</f>
        <v>ok ou um centavo</v>
      </c>
    </row>
    <row r="577" spans="1:11" hidden="1" x14ac:dyDescent="0.25">
      <c r="A577" s="3" t="s">
        <v>708</v>
      </c>
      <c r="B577" s="3" t="s">
        <v>711</v>
      </c>
      <c r="C577" s="4">
        <v>0.22</v>
      </c>
      <c r="D577" s="4">
        <v>0.22</v>
      </c>
      <c r="E577" s="4">
        <v>0</v>
      </c>
      <c r="F577" s="4">
        <v>0</v>
      </c>
      <c r="G577" s="4">
        <v>0</v>
      </c>
      <c r="H577" s="4">
        <v>0</v>
      </c>
      <c r="I577" s="4">
        <f>SUM(Tabela1[[#This Row],[Mão-de-obra (custo médio)]:[Materiais de troca (custo médio)]])</f>
        <v>0.22</v>
      </c>
      <c r="J577" s="4">
        <f>Tabela1[[#This Row],[Custos da os]]-Tabela1[[#This Row],[Custo dos insumos]]</f>
        <v>0</v>
      </c>
      <c r="K577" s="4" t="str">
        <f>IF(ABS(Tabela1[[#This Row],[Dif. Insumo e OS]])&lt;=0.02,"ok ou um centavo","verificar")</f>
        <v>ok ou um centavo</v>
      </c>
    </row>
    <row r="578" spans="1:11" hidden="1" x14ac:dyDescent="0.25">
      <c r="A578" s="3" t="s">
        <v>708</v>
      </c>
      <c r="B578" s="3" t="s">
        <v>712</v>
      </c>
      <c r="C578" s="4">
        <v>46.06</v>
      </c>
      <c r="D578" s="4">
        <v>14.34</v>
      </c>
      <c r="E578" s="4">
        <v>0</v>
      </c>
      <c r="F578" s="4">
        <v>0</v>
      </c>
      <c r="G578" s="4">
        <v>0</v>
      </c>
      <c r="H578" s="4">
        <v>31.72</v>
      </c>
      <c r="I578" s="4">
        <f>SUM(Tabela1[[#This Row],[Mão-de-obra (custo médio)]:[Materiais de troca (custo médio)]])</f>
        <v>46.06</v>
      </c>
      <c r="J578" s="4">
        <f>Tabela1[[#This Row],[Custos da os]]-Tabela1[[#This Row],[Custo dos insumos]]</f>
        <v>0</v>
      </c>
      <c r="K578" s="4" t="str">
        <f>IF(ABS(Tabela1[[#This Row],[Dif. Insumo e OS]])&lt;=0.02,"ok ou um centavo","verificar")</f>
        <v>ok ou um centavo</v>
      </c>
    </row>
    <row r="579" spans="1:11" hidden="1" x14ac:dyDescent="0.25">
      <c r="A579" s="3" t="s">
        <v>708</v>
      </c>
      <c r="B579" s="3" t="s">
        <v>713</v>
      </c>
      <c r="C579" s="4">
        <v>106.84</v>
      </c>
      <c r="D579" s="4">
        <v>77.56</v>
      </c>
      <c r="E579" s="4">
        <v>0</v>
      </c>
      <c r="F579" s="4">
        <v>0</v>
      </c>
      <c r="G579" s="4">
        <v>29.28</v>
      </c>
      <c r="H579" s="4">
        <v>0</v>
      </c>
      <c r="I579" s="4">
        <f>SUM(Tabela1[[#This Row],[Mão-de-obra (custo médio)]:[Materiais de troca (custo médio)]])</f>
        <v>106.84</v>
      </c>
      <c r="J579" s="4">
        <f>Tabela1[[#This Row],[Custos da os]]-Tabela1[[#This Row],[Custo dos insumos]]</f>
        <v>0</v>
      </c>
      <c r="K579" s="4" t="str">
        <f>IF(ABS(Tabela1[[#This Row],[Dif. Insumo e OS]])&lt;=0.02,"ok ou um centavo","verificar")</f>
        <v>ok ou um centavo</v>
      </c>
    </row>
    <row r="580" spans="1:11" hidden="1" x14ac:dyDescent="0.25">
      <c r="A580" s="3" t="s">
        <v>708</v>
      </c>
      <c r="B580" s="3" t="s">
        <v>714</v>
      </c>
      <c r="C580" s="4">
        <v>349.22</v>
      </c>
      <c r="D580" s="4">
        <v>143.24</v>
      </c>
      <c r="E580" s="4">
        <v>0</v>
      </c>
      <c r="F580" s="4">
        <v>0</v>
      </c>
      <c r="G580" s="4">
        <v>205.99</v>
      </c>
      <c r="H580" s="4">
        <v>0</v>
      </c>
      <c r="I580" s="4">
        <f>SUM(Tabela1[[#This Row],[Mão-de-obra (custo médio)]:[Materiais de troca (custo médio)]])</f>
        <v>349.23</v>
      </c>
      <c r="J580" s="4">
        <f>Tabela1[[#This Row],[Custos da os]]-Tabela1[[#This Row],[Custo dos insumos]]</f>
        <v>9.9999999999909051E-3</v>
      </c>
      <c r="K580" s="4" t="str">
        <f>IF(ABS(Tabela1[[#This Row],[Dif. Insumo e OS]])&lt;=0.02,"ok ou um centavo","verificar")</f>
        <v>ok ou um centavo</v>
      </c>
    </row>
    <row r="581" spans="1:11" hidden="1" x14ac:dyDescent="0.25">
      <c r="A581" s="3" t="s">
        <v>715</v>
      </c>
      <c r="B581" s="3" t="s">
        <v>716</v>
      </c>
      <c r="C581" s="4">
        <v>325.79000000000002</v>
      </c>
      <c r="D581" s="4">
        <v>58.34</v>
      </c>
      <c r="E581" s="4">
        <v>0</v>
      </c>
      <c r="F581" s="4">
        <v>0</v>
      </c>
      <c r="G581" s="4">
        <v>67.14</v>
      </c>
      <c r="H581" s="4">
        <v>200.31</v>
      </c>
      <c r="I581" s="4">
        <f>SUM(Tabela1[[#This Row],[Mão-de-obra (custo médio)]:[Materiais de troca (custo médio)]])</f>
        <v>325.79000000000002</v>
      </c>
      <c r="J581" s="4">
        <f>Tabela1[[#This Row],[Custos da os]]-Tabela1[[#This Row],[Custo dos insumos]]</f>
        <v>0</v>
      </c>
      <c r="K581" s="4" t="str">
        <f>IF(ABS(Tabela1[[#This Row],[Dif. Insumo e OS]])&lt;=0.02,"ok ou um centavo","verificar")</f>
        <v>ok ou um centavo</v>
      </c>
    </row>
    <row r="582" spans="1:11" hidden="1" x14ac:dyDescent="0.25">
      <c r="A582" s="3" t="s">
        <v>715</v>
      </c>
      <c r="B582" s="3" t="s">
        <v>717</v>
      </c>
      <c r="C582" s="4">
        <v>175.06</v>
      </c>
      <c r="D582" s="4">
        <v>35.880000000000003</v>
      </c>
      <c r="E582" s="4">
        <v>0</v>
      </c>
      <c r="F582" s="4">
        <v>0</v>
      </c>
      <c r="G582" s="4">
        <v>0</v>
      </c>
      <c r="H582" s="4">
        <v>139.18</v>
      </c>
      <c r="I582" s="4">
        <f>SUM(Tabela1[[#This Row],[Mão-de-obra (custo médio)]:[Materiais de troca (custo médio)]])</f>
        <v>175.06</v>
      </c>
      <c r="J582" s="4">
        <f>Tabela1[[#This Row],[Custos da os]]-Tabela1[[#This Row],[Custo dos insumos]]</f>
        <v>0</v>
      </c>
      <c r="K582" s="4" t="str">
        <f>IF(ABS(Tabela1[[#This Row],[Dif. Insumo e OS]])&lt;=0.02,"ok ou um centavo","verificar")</f>
        <v>ok ou um centavo</v>
      </c>
    </row>
    <row r="583" spans="1:11" hidden="1" x14ac:dyDescent="0.25">
      <c r="A583" s="3" t="s">
        <v>715</v>
      </c>
      <c r="B583" s="3" t="s">
        <v>718</v>
      </c>
      <c r="C583" s="4">
        <v>0.11</v>
      </c>
      <c r="D583" s="4">
        <v>0.11</v>
      </c>
      <c r="E583" s="4">
        <v>0</v>
      </c>
      <c r="F583" s="4">
        <v>0</v>
      </c>
      <c r="G583" s="4">
        <v>0</v>
      </c>
      <c r="H583" s="4">
        <v>0</v>
      </c>
      <c r="I583" s="4">
        <f>SUM(Tabela1[[#This Row],[Mão-de-obra (custo médio)]:[Materiais de troca (custo médio)]])</f>
        <v>0.11</v>
      </c>
      <c r="J583" s="4">
        <f>Tabela1[[#This Row],[Custos da os]]-Tabela1[[#This Row],[Custo dos insumos]]</f>
        <v>0</v>
      </c>
      <c r="K583" s="4" t="str">
        <f>IF(ABS(Tabela1[[#This Row],[Dif. Insumo e OS]])&lt;=0.02,"ok ou um centavo","verificar")</f>
        <v>ok ou um centavo</v>
      </c>
    </row>
    <row r="584" spans="1:11" hidden="1" x14ac:dyDescent="0.25">
      <c r="A584" s="3" t="s">
        <v>719</v>
      </c>
      <c r="B584" s="3" t="s">
        <v>720</v>
      </c>
      <c r="C584" s="4">
        <v>11.55</v>
      </c>
      <c r="D584" s="4">
        <v>11.55</v>
      </c>
      <c r="E584" s="4">
        <v>0</v>
      </c>
      <c r="F584" s="4">
        <v>0</v>
      </c>
      <c r="G584" s="4">
        <v>0</v>
      </c>
      <c r="H584" s="4">
        <v>0</v>
      </c>
      <c r="I584" s="4">
        <f>SUM(Tabela1[[#This Row],[Mão-de-obra (custo médio)]:[Materiais de troca (custo médio)]])</f>
        <v>11.55</v>
      </c>
      <c r="J584" s="4">
        <f>Tabela1[[#This Row],[Custos da os]]-Tabela1[[#This Row],[Custo dos insumos]]</f>
        <v>0</v>
      </c>
      <c r="K584" s="4" t="str">
        <f>IF(ABS(Tabela1[[#This Row],[Dif. Insumo e OS]])&lt;=0.02,"ok ou um centavo","verificar")</f>
        <v>ok ou um centavo</v>
      </c>
    </row>
    <row r="585" spans="1:11" hidden="1" x14ac:dyDescent="0.25">
      <c r="A585" s="3" t="s">
        <v>721</v>
      </c>
      <c r="B585" s="3" t="s">
        <v>722</v>
      </c>
      <c r="C585" s="4">
        <v>3.64</v>
      </c>
      <c r="D585" s="4">
        <v>3.64</v>
      </c>
      <c r="E585" s="4">
        <v>0</v>
      </c>
      <c r="F585" s="4">
        <v>0</v>
      </c>
      <c r="G585" s="4">
        <v>0</v>
      </c>
      <c r="H585" s="4">
        <v>0</v>
      </c>
      <c r="I585" s="4">
        <f>SUM(Tabela1[[#This Row],[Mão-de-obra (custo médio)]:[Materiais de troca (custo médio)]])</f>
        <v>3.64</v>
      </c>
      <c r="J585" s="4">
        <f>Tabela1[[#This Row],[Custos da os]]-Tabela1[[#This Row],[Custo dos insumos]]</f>
        <v>0</v>
      </c>
      <c r="K585" s="4" t="str">
        <f>IF(ABS(Tabela1[[#This Row],[Dif. Insumo e OS]])&lt;=0.02,"ok ou um centavo","verificar")</f>
        <v>ok ou um centavo</v>
      </c>
    </row>
    <row r="586" spans="1:11" hidden="1" x14ac:dyDescent="0.25">
      <c r="A586" s="3" t="s">
        <v>721</v>
      </c>
      <c r="B586" s="3" t="s">
        <v>723</v>
      </c>
      <c r="C586" s="4">
        <v>73.75</v>
      </c>
      <c r="D586" s="4">
        <v>43.51</v>
      </c>
      <c r="E586" s="4">
        <v>0</v>
      </c>
      <c r="F586" s="4">
        <v>0</v>
      </c>
      <c r="G586" s="4">
        <v>30.25</v>
      </c>
      <c r="H586" s="4">
        <v>0</v>
      </c>
      <c r="I586" s="4">
        <f>SUM(Tabela1[[#This Row],[Mão-de-obra (custo médio)]:[Materiais de troca (custo médio)]])</f>
        <v>73.759999999999991</v>
      </c>
      <c r="J586" s="4">
        <f>Tabela1[[#This Row],[Custos da os]]-Tabela1[[#This Row],[Custo dos insumos]]</f>
        <v>9.9999999999909051E-3</v>
      </c>
      <c r="K586" s="4" t="str">
        <f>IF(ABS(Tabela1[[#This Row],[Dif. Insumo e OS]])&lt;=0.02,"ok ou um centavo","verificar")</f>
        <v>ok ou um centavo</v>
      </c>
    </row>
    <row r="587" spans="1:11" hidden="1" x14ac:dyDescent="0.25">
      <c r="A587" s="3" t="s">
        <v>721</v>
      </c>
      <c r="B587" s="3" t="s">
        <v>724</v>
      </c>
      <c r="C587" s="4">
        <v>12.27</v>
      </c>
      <c r="D587" s="4">
        <v>12.27</v>
      </c>
      <c r="E587" s="4">
        <v>0</v>
      </c>
      <c r="F587" s="4">
        <v>0</v>
      </c>
      <c r="G587" s="4">
        <v>0</v>
      </c>
      <c r="H587" s="4">
        <v>0</v>
      </c>
      <c r="I587" s="4">
        <f>SUM(Tabela1[[#This Row],[Mão-de-obra (custo médio)]:[Materiais de troca (custo médio)]])</f>
        <v>12.27</v>
      </c>
      <c r="J587" s="4">
        <f>Tabela1[[#This Row],[Custos da os]]-Tabela1[[#This Row],[Custo dos insumos]]</f>
        <v>0</v>
      </c>
      <c r="K587" s="4" t="str">
        <f>IF(ABS(Tabela1[[#This Row],[Dif. Insumo e OS]])&lt;=0.02,"ok ou um centavo","verificar")</f>
        <v>ok ou um centavo</v>
      </c>
    </row>
    <row r="588" spans="1:11" hidden="1" x14ac:dyDescent="0.25">
      <c r="A588" s="3" t="s">
        <v>721</v>
      </c>
      <c r="B588" s="3" t="s">
        <v>725</v>
      </c>
      <c r="C588" s="4">
        <v>1.34</v>
      </c>
      <c r="D588" s="4">
        <v>1.34</v>
      </c>
      <c r="E588" s="4">
        <v>0</v>
      </c>
      <c r="F588" s="4">
        <v>0</v>
      </c>
      <c r="G588" s="4">
        <v>0</v>
      </c>
      <c r="H588" s="4">
        <v>0</v>
      </c>
      <c r="I588" s="4">
        <f>SUM(Tabela1[[#This Row],[Mão-de-obra (custo médio)]:[Materiais de troca (custo médio)]])</f>
        <v>1.34</v>
      </c>
      <c r="J588" s="4">
        <f>Tabela1[[#This Row],[Custos da os]]-Tabela1[[#This Row],[Custo dos insumos]]</f>
        <v>0</v>
      </c>
      <c r="K588" s="4" t="str">
        <f>IF(ABS(Tabela1[[#This Row],[Dif. Insumo e OS]])&lt;=0.02,"ok ou um centavo","verificar")</f>
        <v>ok ou um centavo</v>
      </c>
    </row>
    <row r="589" spans="1:11" hidden="1" x14ac:dyDescent="0.25">
      <c r="A589" s="3" t="s">
        <v>721</v>
      </c>
      <c r="B589" s="3" t="s">
        <v>726</v>
      </c>
      <c r="C589" s="4">
        <v>1133.24</v>
      </c>
      <c r="D589" s="4">
        <v>143.24</v>
      </c>
      <c r="E589" s="4">
        <v>0</v>
      </c>
      <c r="F589" s="4">
        <v>0</v>
      </c>
      <c r="G589" s="4">
        <v>0</v>
      </c>
      <c r="H589" s="4">
        <v>990</v>
      </c>
      <c r="I589" s="4">
        <f>SUM(Tabela1[[#This Row],[Mão-de-obra (custo médio)]:[Materiais de troca (custo médio)]])</f>
        <v>1133.24</v>
      </c>
      <c r="J589" s="4">
        <f>Tabela1[[#This Row],[Custos da os]]-Tabela1[[#This Row],[Custo dos insumos]]</f>
        <v>0</v>
      </c>
      <c r="K589" s="4" t="str">
        <f>IF(ABS(Tabela1[[#This Row],[Dif. Insumo e OS]])&lt;=0.02,"ok ou um centavo","verificar")</f>
        <v>ok ou um centavo</v>
      </c>
    </row>
    <row r="590" spans="1:11" x14ac:dyDescent="0.25">
      <c r="A590" s="1" t="s">
        <v>204</v>
      </c>
      <c r="B590" s="1" t="s">
        <v>207</v>
      </c>
      <c r="C590" s="2">
        <v>3167.1</v>
      </c>
      <c r="D590" s="2">
        <v>0</v>
      </c>
      <c r="E590" s="2">
        <v>0</v>
      </c>
      <c r="F590" s="2">
        <v>0</v>
      </c>
      <c r="G590" s="2">
        <v>15874.06</v>
      </c>
      <c r="H590" s="2">
        <v>0</v>
      </c>
      <c r="I590" s="2">
        <f>SUM(Tabela1[[#This Row],[Mão-de-obra (custo médio)]:[Materiais de troca (custo médio)]])</f>
        <v>15874.06</v>
      </c>
      <c r="J590" s="2">
        <f>Tabela1[[#This Row],[Custos da os]]-Tabela1[[#This Row],[Custo dos insumos]]</f>
        <v>12706.96</v>
      </c>
      <c r="K590" s="2" t="str">
        <f>IF(ABS(Tabela1[[#This Row],[Dif. Insumo e OS]])&lt;=0.02,"ok ou um centavo","verificar")</f>
        <v>verificar</v>
      </c>
    </row>
    <row r="591" spans="1:11" hidden="1" x14ac:dyDescent="0.25">
      <c r="A591" s="3" t="s">
        <v>727</v>
      </c>
      <c r="B591" s="3" t="s">
        <v>729</v>
      </c>
      <c r="C591" s="4">
        <v>51.25</v>
      </c>
      <c r="D591" s="4">
        <v>51.25</v>
      </c>
      <c r="E591" s="4">
        <v>0</v>
      </c>
      <c r="F591" s="4">
        <v>0</v>
      </c>
      <c r="G591" s="4">
        <v>0</v>
      </c>
      <c r="H591" s="4">
        <v>0</v>
      </c>
      <c r="I591" s="4">
        <f>SUM(Tabela1[[#This Row],[Mão-de-obra (custo médio)]:[Materiais de troca (custo médio)]])</f>
        <v>51.25</v>
      </c>
      <c r="J591" s="4">
        <f>Tabela1[[#This Row],[Custos da os]]-Tabela1[[#This Row],[Custo dos insumos]]</f>
        <v>0</v>
      </c>
      <c r="K591" s="4" t="str">
        <f>IF(ABS(Tabela1[[#This Row],[Dif. Insumo e OS]])&lt;=0.02,"ok ou um centavo","verificar")</f>
        <v>ok ou um centavo</v>
      </c>
    </row>
    <row r="592" spans="1:11" x14ac:dyDescent="0.25">
      <c r="A592" s="1" t="s">
        <v>204</v>
      </c>
      <c r="B592" s="1" t="s">
        <v>205</v>
      </c>
      <c r="C592" s="2">
        <v>1230.04</v>
      </c>
      <c r="D592" s="2">
        <v>0</v>
      </c>
      <c r="E592" s="2">
        <v>0</v>
      </c>
      <c r="F592" s="2">
        <v>0</v>
      </c>
      <c r="G592" s="2">
        <v>6701.75</v>
      </c>
      <c r="H592" s="2">
        <v>9343.4599999999991</v>
      </c>
      <c r="I592" s="2">
        <f>SUM(Tabela1[[#This Row],[Mão-de-obra (custo médio)]:[Materiais de troca (custo médio)]])</f>
        <v>16045.21</v>
      </c>
      <c r="J592" s="2">
        <f>Tabela1[[#This Row],[Custos da os]]-Tabela1[[#This Row],[Custo dos insumos]]</f>
        <v>14815.169999999998</v>
      </c>
      <c r="K592" s="2" t="str">
        <f>IF(ABS(Tabela1[[#This Row],[Dif. Insumo e OS]])&lt;=0.02,"ok ou um centavo","verificar")</f>
        <v>verificar</v>
      </c>
    </row>
    <row r="593" spans="1:11" hidden="1" x14ac:dyDescent="0.25">
      <c r="A593" s="3" t="s">
        <v>730</v>
      </c>
      <c r="B593" s="3" t="s">
        <v>732</v>
      </c>
      <c r="C593" s="4">
        <v>14.48</v>
      </c>
      <c r="D593" s="4">
        <v>14.48</v>
      </c>
      <c r="E593" s="4">
        <v>0</v>
      </c>
      <c r="F593" s="4">
        <v>0</v>
      </c>
      <c r="G593" s="4">
        <v>0</v>
      </c>
      <c r="H593" s="4">
        <v>0</v>
      </c>
      <c r="I593" s="4">
        <f>SUM(Tabela1[[#This Row],[Mão-de-obra (custo médio)]:[Materiais de troca (custo médio)]])</f>
        <v>14.48</v>
      </c>
      <c r="J593" s="4">
        <f>Tabela1[[#This Row],[Custos da os]]-Tabela1[[#This Row],[Custo dos insumos]]</f>
        <v>0</v>
      </c>
      <c r="K593" s="4" t="str">
        <f>IF(ABS(Tabela1[[#This Row],[Dif. Insumo e OS]])&lt;=0.02,"ok ou um centavo","verificar")</f>
        <v>ok ou um centavo</v>
      </c>
    </row>
    <row r="594" spans="1:11" hidden="1" x14ac:dyDescent="0.25">
      <c r="A594" s="3" t="s">
        <v>730</v>
      </c>
      <c r="B594" s="3" t="s">
        <v>733</v>
      </c>
      <c r="C594" s="4">
        <v>0.46</v>
      </c>
      <c r="D594" s="4">
        <v>0.46</v>
      </c>
      <c r="E594" s="4">
        <v>0</v>
      </c>
      <c r="F594" s="4">
        <v>0</v>
      </c>
      <c r="G594" s="4">
        <v>0</v>
      </c>
      <c r="H594" s="4">
        <v>0</v>
      </c>
      <c r="I594" s="4">
        <f>SUM(Tabela1[[#This Row],[Mão-de-obra (custo médio)]:[Materiais de troca (custo médio)]])</f>
        <v>0.46</v>
      </c>
      <c r="J594" s="4">
        <f>Tabela1[[#This Row],[Custos da os]]-Tabela1[[#This Row],[Custo dos insumos]]</f>
        <v>0</v>
      </c>
      <c r="K594" s="4" t="str">
        <f>IF(ABS(Tabela1[[#This Row],[Dif. Insumo e OS]])&lt;=0.02,"ok ou um centavo","verificar")</f>
        <v>ok ou um centavo</v>
      </c>
    </row>
    <row r="595" spans="1:11" hidden="1" x14ac:dyDescent="0.25">
      <c r="A595" s="3" t="s">
        <v>730</v>
      </c>
      <c r="B595" s="3" t="s">
        <v>734</v>
      </c>
      <c r="C595" s="4">
        <v>361.89</v>
      </c>
      <c r="D595" s="4">
        <v>361.88</v>
      </c>
      <c r="E595" s="4">
        <v>0</v>
      </c>
      <c r="F595" s="4">
        <v>0</v>
      </c>
      <c r="G595" s="4">
        <v>0</v>
      </c>
      <c r="H595" s="4">
        <v>0</v>
      </c>
      <c r="I595" s="4">
        <f>SUM(Tabela1[[#This Row],[Mão-de-obra (custo médio)]:[Materiais de troca (custo médio)]])</f>
        <v>361.88</v>
      </c>
      <c r="J595" s="4">
        <f>Tabela1[[#This Row],[Custos da os]]-Tabela1[[#This Row],[Custo dos insumos]]</f>
        <v>-9.9999999999909051E-3</v>
      </c>
      <c r="K595" s="4" t="str">
        <f>IF(ABS(Tabela1[[#This Row],[Dif. Insumo e OS]])&lt;=0.02,"ok ou um centavo","verificar")</f>
        <v>ok ou um centavo</v>
      </c>
    </row>
    <row r="596" spans="1:11" hidden="1" x14ac:dyDescent="0.25">
      <c r="A596" s="3" t="s">
        <v>735</v>
      </c>
      <c r="B596" s="3" t="s">
        <v>736</v>
      </c>
      <c r="C596" s="4">
        <v>1361.2</v>
      </c>
      <c r="D596" s="4">
        <v>312.36</v>
      </c>
      <c r="E596" s="4">
        <v>0</v>
      </c>
      <c r="F596" s="4">
        <v>0</v>
      </c>
      <c r="G596" s="4">
        <v>641.27</v>
      </c>
      <c r="H596" s="4">
        <v>407.57</v>
      </c>
      <c r="I596" s="4">
        <f>SUM(Tabela1[[#This Row],[Mão-de-obra (custo médio)]:[Materiais de troca (custo médio)]])</f>
        <v>1361.2</v>
      </c>
      <c r="J596" s="4">
        <f>Tabela1[[#This Row],[Custos da os]]-Tabela1[[#This Row],[Custo dos insumos]]</f>
        <v>0</v>
      </c>
      <c r="K596" s="4" t="str">
        <f>IF(ABS(Tabela1[[#This Row],[Dif. Insumo e OS]])&lt;=0.02,"ok ou um centavo","verificar")</f>
        <v>ok ou um centavo</v>
      </c>
    </row>
    <row r="597" spans="1:11" hidden="1" x14ac:dyDescent="0.25">
      <c r="A597" s="3" t="s">
        <v>735</v>
      </c>
      <c r="B597" s="3" t="s">
        <v>737</v>
      </c>
      <c r="C597" s="4">
        <v>34.25</v>
      </c>
      <c r="D597" s="4">
        <v>23.4</v>
      </c>
      <c r="E597" s="4">
        <v>0</v>
      </c>
      <c r="F597" s="4">
        <v>0</v>
      </c>
      <c r="G597" s="4">
        <v>10.85</v>
      </c>
      <c r="H597" s="4">
        <v>0</v>
      </c>
      <c r="I597" s="4">
        <f>SUM(Tabela1[[#This Row],[Mão-de-obra (custo médio)]:[Materiais de troca (custo médio)]])</f>
        <v>34.25</v>
      </c>
      <c r="J597" s="4">
        <f>Tabela1[[#This Row],[Custos da os]]-Tabela1[[#This Row],[Custo dos insumos]]</f>
        <v>0</v>
      </c>
      <c r="K597" s="4" t="str">
        <f>IF(ABS(Tabela1[[#This Row],[Dif. Insumo e OS]])&lt;=0.02,"ok ou um centavo","verificar")</f>
        <v>ok ou um centavo</v>
      </c>
    </row>
    <row r="598" spans="1:11" hidden="1" x14ac:dyDescent="0.25">
      <c r="A598" s="3" t="s">
        <v>735</v>
      </c>
      <c r="B598" s="3" t="s">
        <v>738</v>
      </c>
      <c r="C598" s="4">
        <v>0.46</v>
      </c>
      <c r="D598" s="4">
        <v>0.46</v>
      </c>
      <c r="E598" s="4">
        <v>0</v>
      </c>
      <c r="F598" s="4">
        <v>0</v>
      </c>
      <c r="G598" s="4">
        <v>0</v>
      </c>
      <c r="H598" s="4">
        <v>0</v>
      </c>
      <c r="I598" s="4">
        <f>SUM(Tabela1[[#This Row],[Mão-de-obra (custo médio)]:[Materiais de troca (custo médio)]])</f>
        <v>0.46</v>
      </c>
      <c r="J598" s="4">
        <f>Tabela1[[#This Row],[Custos da os]]-Tabela1[[#This Row],[Custo dos insumos]]</f>
        <v>0</v>
      </c>
      <c r="K598" s="4" t="str">
        <f>IF(ABS(Tabela1[[#This Row],[Dif. Insumo e OS]])&lt;=0.02,"ok ou um centavo","verificar")</f>
        <v>ok ou um centavo</v>
      </c>
    </row>
    <row r="599" spans="1:11" hidden="1" x14ac:dyDescent="0.25">
      <c r="A599" s="3" t="s">
        <v>735</v>
      </c>
      <c r="B599" s="3" t="s">
        <v>739</v>
      </c>
      <c r="C599" s="4">
        <v>0.46</v>
      </c>
      <c r="D599" s="4">
        <v>0.46</v>
      </c>
      <c r="E599" s="4">
        <v>0</v>
      </c>
      <c r="F599" s="4">
        <v>0</v>
      </c>
      <c r="G599" s="4">
        <v>0</v>
      </c>
      <c r="H599" s="4">
        <v>0</v>
      </c>
      <c r="I599" s="4">
        <f>SUM(Tabela1[[#This Row],[Mão-de-obra (custo médio)]:[Materiais de troca (custo médio)]])</f>
        <v>0.46</v>
      </c>
      <c r="J599" s="4">
        <f>Tabela1[[#This Row],[Custos da os]]-Tabela1[[#This Row],[Custo dos insumos]]</f>
        <v>0</v>
      </c>
      <c r="K599" s="4" t="str">
        <f>IF(ABS(Tabela1[[#This Row],[Dif. Insumo e OS]])&lt;=0.02,"ok ou um centavo","verificar")</f>
        <v>ok ou um centavo</v>
      </c>
    </row>
    <row r="600" spans="1:11" hidden="1" x14ac:dyDescent="0.25">
      <c r="A600" s="3" t="s">
        <v>740</v>
      </c>
      <c r="B600" s="3" t="s">
        <v>741</v>
      </c>
      <c r="C600" s="4">
        <v>11.77</v>
      </c>
      <c r="D600" s="4">
        <v>0.11</v>
      </c>
      <c r="E600" s="4">
        <v>0</v>
      </c>
      <c r="F600" s="4">
        <v>0</v>
      </c>
      <c r="G600" s="4">
        <v>0</v>
      </c>
      <c r="H600" s="4">
        <v>11.66</v>
      </c>
      <c r="I600" s="4">
        <f>SUM(Tabela1[[#This Row],[Mão-de-obra (custo médio)]:[Materiais de troca (custo médio)]])</f>
        <v>11.77</v>
      </c>
      <c r="J600" s="4">
        <f>Tabela1[[#This Row],[Custos da os]]-Tabela1[[#This Row],[Custo dos insumos]]</f>
        <v>0</v>
      </c>
      <c r="K600" s="4" t="str">
        <f>IF(ABS(Tabela1[[#This Row],[Dif. Insumo e OS]])&lt;=0.02,"ok ou um centavo","verificar")</f>
        <v>ok ou um centavo</v>
      </c>
    </row>
    <row r="601" spans="1:11" hidden="1" x14ac:dyDescent="0.25">
      <c r="A601" s="3" t="s">
        <v>742</v>
      </c>
      <c r="B601" s="3" t="s">
        <v>743</v>
      </c>
      <c r="C601" s="4">
        <v>0.22</v>
      </c>
      <c r="D601" s="4">
        <v>0.22</v>
      </c>
      <c r="E601" s="4">
        <v>0</v>
      </c>
      <c r="F601" s="4">
        <v>0</v>
      </c>
      <c r="G601" s="4">
        <v>0</v>
      </c>
      <c r="H601" s="4">
        <v>0</v>
      </c>
      <c r="I601" s="4">
        <f>SUM(Tabela1[[#This Row],[Mão-de-obra (custo médio)]:[Materiais de troca (custo médio)]])</f>
        <v>0.22</v>
      </c>
      <c r="J601" s="4">
        <f>Tabela1[[#This Row],[Custos da os]]-Tabela1[[#This Row],[Custo dos insumos]]</f>
        <v>0</v>
      </c>
      <c r="K601" s="4" t="str">
        <f>IF(ABS(Tabela1[[#This Row],[Dif. Insumo e OS]])&lt;=0.02,"ok ou um centavo","verificar")</f>
        <v>ok ou um centavo</v>
      </c>
    </row>
    <row r="602" spans="1:11" hidden="1" x14ac:dyDescent="0.25">
      <c r="A602" s="3" t="s">
        <v>742</v>
      </c>
      <c r="B602" s="3" t="s">
        <v>744</v>
      </c>
      <c r="C602" s="4">
        <v>1111.76</v>
      </c>
      <c r="D602" s="4">
        <v>0.22</v>
      </c>
      <c r="E602" s="4">
        <v>0</v>
      </c>
      <c r="F602" s="4">
        <v>0</v>
      </c>
      <c r="G602" s="4">
        <v>0</v>
      </c>
      <c r="H602" s="4">
        <v>1111.54</v>
      </c>
      <c r="I602" s="4">
        <f>SUM(Tabela1[[#This Row],[Mão-de-obra (custo médio)]:[Materiais de troca (custo médio)]])</f>
        <v>1111.76</v>
      </c>
      <c r="J602" s="4">
        <f>Tabela1[[#This Row],[Custos da os]]-Tabela1[[#This Row],[Custo dos insumos]]</f>
        <v>0</v>
      </c>
      <c r="K602" s="4" t="str">
        <f>IF(ABS(Tabela1[[#This Row],[Dif. Insumo e OS]])&lt;=0.02,"ok ou um centavo","verificar")</f>
        <v>ok ou um centavo</v>
      </c>
    </row>
    <row r="603" spans="1:11" hidden="1" x14ac:dyDescent="0.25">
      <c r="A603" s="3" t="s">
        <v>742</v>
      </c>
      <c r="B603" s="3" t="s">
        <v>745</v>
      </c>
      <c r="C603" s="4">
        <v>309.07</v>
      </c>
      <c r="D603" s="4">
        <v>309.07</v>
      </c>
      <c r="E603" s="4">
        <v>0</v>
      </c>
      <c r="F603" s="4">
        <v>0</v>
      </c>
      <c r="G603" s="4">
        <v>0</v>
      </c>
      <c r="H603" s="4">
        <v>0</v>
      </c>
      <c r="I603" s="4">
        <f>SUM(Tabela1[[#This Row],[Mão-de-obra (custo médio)]:[Materiais de troca (custo médio)]])</f>
        <v>309.07</v>
      </c>
      <c r="J603" s="4">
        <f>Tabela1[[#This Row],[Custos da os]]-Tabela1[[#This Row],[Custo dos insumos]]</f>
        <v>0</v>
      </c>
      <c r="K603" s="4" t="str">
        <f>IF(ABS(Tabela1[[#This Row],[Dif. Insumo e OS]])&lt;=0.02,"ok ou um centavo","verificar")</f>
        <v>ok ou um centavo</v>
      </c>
    </row>
    <row r="604" spans="1:11" x14ac:dyDescent="0.25">
      <c r="A604" s="1" t="s">
        <v>289</v>
      </c>
      <c r="B604" s="1" t="s">
        <v>290</v>
      </c>
      <c r="C604" s="2">
        <v>6190.26</v>
      </c>
      <c r="D604" s="2">
        <v>0</v>
      </c>
      <c r="E604" s="2">
        <v>0</v>
      </c>
      <c r="F604" s="2">
        <v>0</v>
      </c>
      <c r="G604" s="2">
        <v>428.11</v>
      </c>
      <c r="H604" s="2">
        <v>21634.41</v>
      </c>
      <c r="I604" s="2">
        <f>SUM(Tabela1[[#This Row],[Mão-de-obra (custo médio)]:[Materiais de troca (custo médio)]])</f>
        <v>22062.52</v>
      </c>
      <c r="J604" s="2">
        <f>Tabela1[[#This Row],[Custos da os]]-Tabela1[[#This Row],[Custo dos insumos]]</f>
        <v>15872.26</v>
      </c>
      <c r="K604" s="2" t="str">
        <f>IF(ABS(Tabela1[[#This Row],[Dif. Insumo e OS]])&lt;=0.02,"ok ou um centavo","verificar")</f>
        <v>verificar</v>
      </c>
    </row>
    <row r="605" spans="1:11" hidden="1" x14ac:dyDescent="0.25">
      <c r="A605" s="3" t="s">
        <v>742</v>
      </c>
      <c r="B605" s="3" t="s">
        <v>747</v>
      </c>
      <c r="C605" s="4">
        <v>0.11</v>
      </c>
      <c r="D605" s="4">
        <v>0.11</v>
      </c>
      <c r="E605" s="4">
        <v>0</v>
      </c>
      <c r="F605" s="4">
        <v>0</v>
      </c>
      <c r="G605" s="4">
        <v>0</v>
      </c>
      <c r="H605" s="4">
        <v>0</v>
      </c>
      <c r="I605" s="4">
        <f>SUM(Tabela1[[#This Row],[Mão-de-obra (custo médio)]:[Materiais de troca (custo médio)]])</f>
        <v>0.11</v>
      </c>
      <c r="J605" s="4">
        <f>Tabela1[[#This Row],[Custos da os]]-Tabela1[[#This Row],[Custo dos insumos]]</f>
        <v>0</v>
      </c>
      <c r="K605" s="4" t="str">
        <f>IF(ABS(Tabela1[[#This Row],[Dif. Insumo e OS]])&lt;=0.02,"ok ou um centavo","verificar")</f>
        <v>ok ou um centavo</v>
      </c>
    </row>
    <row r="606" spans="1:11" hidden="1" x14ac:dyDescent="0.25">
      <c r="A606" s="3" t="s">
        <v>742</v>
      </c>
      <c r="B606" s="3" t="s">
        <v>748</v>
      </c>
      <c r="C606" s="4">
        <v>0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f>SUM(Tabela1[[#This Row],[Mão-de-obra (custo médio)]:[Materiais de troca (custo médio)]])</f>
        <v>0</v>
      </c>
      <c r="J606" s="4">
        <f>Tabela1[[#This Row],[Custos da os]]-Tabela1[[#This Row],[Custo dos insumos]]</f>
        <v>0</v>
      </c>
      <c r="K606" s="4" t="str">
        <f>IF(ABS(Tabela1[[#This Row],[Dif. Insumo e OS]])&lt;=0.02,"ok ou um centavo","verificar")</f>
        <v>ok ou um centavo</v>
      </c>
    </row>
    <row r="607" spans="1:11" hidden="1" x14ac:dyDescent="0.25">
      <c r="A607" s="3" t="s">
        <v>749</v>
      </c>
      <c r="B607" s="3" t="s">
        <v>750</v>
      </c>
      <c r="C607" s="4">
        <v>0.26</v>
      </c>
      <c r="D607" s="4">
        <v>0.26</v>
      </c>
      <c r="E607" s="4">
        <v>0</v>
      </c>
      <c r="F607" s="4">
        <v>0</v>
      </c>
      <c r="G607" s="4">
        <v>0</v>
      </c>
      <c r="H607" s="4">
        <v>0</v>
      </c>
      <c r="I607" s="4">
        <f>SUM(Tabela1[[#This Row],[Mão-de-obra (custo médio)]:[Materiais de troca (custo médio)]])</f>
        <v>0.26</v>
      </c>
      <c r="J607" s="4">
        <f>Tabela1[[#This Row],[Custos da os]]-Tabela1[[#This Row],[Custo dos insumos]]</f>
        <v>0</v>
      </c>
      <c r="K607" s="4" t="str">
        <f>IF(ABS(Tabela1[[#This Row],[Dif. Insumo e OS]])&lt;=0.02,"ok ou um centavo","verificar")</f>
        <v>ok ou um centavo</v>
      </c>
    </row>
    <row r="608" spans="1:11" hidden="1" x14ac:dyDescent="0.25">
      <c r="A608" s="3" t="s">
        <v>749</v>
      </c>
      <c r="B608" s="3" t="s">
        <v>751</v>
      </c>
      <c r="C608" s="4">
        <v>2501.19</v>
      </c>
      <c r="D608" s="4">
        <v>0.22</v>
      </c>
      <c r="E608" s="4">
        <v>0</v>
      </c>
      <c r="F608" s="4">
        <v>0</v>
      </c>
      <c r="G608" s="4">
        <v>0</v>
      </c>
      <c r="H608" s="4">
        <v>2500.9699999999998</v>
      </c>
      <c r="I608" s="4">
        <f>SUM(Tabela1[[#This Row],[Mão-de-obra (custo médio)]:[Materiais de troca (custo médio)]])</f>
        <v>2501.1899999999996</v>
      </c>
      <c r="J608" s="4">
        <f>Tabela1[[#This Row],[Custos da os]]-Tabela1[[#This Row],[Custo dos insumos]]</f>
        <v>0</v>
      </c>
      <c r="K608" s="4" t="str">
        <f>IF(ABS(Tabela1[[#This Row],[Dif. Insumo e OS]])&lt;=0.02,"ok ou um centavo","verificar")</f>
        <v>ok ou um centavo</v>
      </c>
    </row>
    <row r="609" spans="1:11" hidden="1" x14ac:dyDescent="0.25">
      <c r="A609" s="3" t="s">
        <v>752</v>
      </c>
      <c r="B609" s="3" t="s">
        <v>753</v>
      </c>
      <c r="C609" s="4">
        <v>1111.77</v>
      </c>
      <c r="D609" s="4">
        <v>0.22</v>
      </c>
      <c r="E609" s="4">
        <v>0</v>
      </c>
      <c r="F609" s="4">
        <v>0</v>
      </c>
      <c r="G609" s="4">
        <v>0</v>
      </c>
      <c r="H609" s="4">
        <v>1111.55</v>
      </c>
      <c r="I609" s="4">
        <f>SUM(Tabela1[[#This Row],[Mão-de-obra (custo médio)]:[Materiais de troca (custo médio)]])</f>
        <v>1111.77</v>
      </c>
      <c r="J609" s="4">
        <f>Tabela1[[#This Row],[Custos da os]]-Tabela1[[#This Row],[Custo dos insumos]]</f>
        <v>0</v>
      </c>
      <c r="K609" s="4" t="str">
        <f>IF(ABS(Tabela1[[#This Row],[Dif. Insumo e OS]])&lt;=0.02,"ok ou um centavo","verificar")</f>
        <v>ok ou um centavo</v>
      </c>
    </row>
    <row r="610" spans="1:11" hidden="1" x14ac:dyDescent="0.25">
      <c r="A610" s="3" t="s">
        <v>752</v>
      </c>
      <c r="B610" s="3" t="s">
        <v>754</v>
      </c>
      <c r="C610" s="4">
        <v>0.22</v>
      </c>
      <c r="D610" s="4">
        <v>0.22</v>
      </c>
      <c r="E610" s="4">
        <v>0</v>
      </c>
      <c r="F610" s="4">
        <v>0</v>
      </c>
      <c r="G610" s="4">
        <v>0</v>
      </c>
      <c r="H610" s="4">
        <v>0</v>
      </c>
      <c r="I610" s="4">
        <f>SUM(Tabela1[[#This Row],[Mão-de-obra (custo médio)]:[Materiais de troca (custo médio)]])</f>
        <v>0.22</v>
      </c>
      <c r="J610" s="4">
        <f>Tabela1[[#This Row],[Custos da os]]-Tabela1[[#This Row],[Custo dos insumos]]</f>
        <v>0</v>
      </c>
      <c r="K610" s="4" t="str">
        <f>IF(ABS(Tabela1[[#This Row],[Dif. Insumo e OS]])&lt;=0.02,"ok ou um centavo","verificar")</f>
        <v>ok ou um centavo</v>
      </c>
    </row>
    <row r="611" spans="1:11" hidden="1" x14ac:dyDescent="0.25">
      <c r="A611" s="3" t="s">
        <v>752</v>
      </c>
      <c r="B611" s="3" t="s">
        <v>755</v>
      </c>
      <c r="C611" s="4">
        <v>0.22</v>
      </c>
      <c r="D611" s="4">
        <v>0.22</v>
      </c>
      <c r="E611" s="4">
        <v>0</v>
      </c>
      <c r="F611" s="4">
        <v>0</v>
      </c>
      <c r="G611" s="4">
        <v>0</v>
      </c>
      <c r="H611" s="4">
        <v>0</v>
      </c>
      <c r="I611" s="4">
        <f>SUM(Tabela1[[#This Row],[Mão-de-obra (custo médio)]:[Materiais de troca (custo médio)]])</f>
        <v>0.22</v>
      </c>
      <c r="J611" s="4">
        <f>Tabela1[[#This Row],[Custos da os]]-Tabela1[[#This Row],[Custo dos insumos]]</f>
        <v>0</v>
      </c>
      <c r="K611" s="4" t="str">
        <f>IF(ABS(Tabela1[[#This Row],[Dif. Insumo e OS]])&lt;=0.02,"ok ou um centavo","verificar")</f>
        <v>ok ou um centavo</v>
      </c>
    </row>
    <row r="612" spans="1:11" hidden="1" x14ac:dyDescent="0.25">
      <c r="A612" s="3" t="s">
        <v>752</v>
      </c>
      <c r="B612" s="3" t="s">
        <v>756</v>
      </c>
      <c r="C612" s="4">
        <v>294.76</v>
      </c>
      <c r="D612" s="4">
        <v>0.22</v>
      </c>
      <c r="E612" s="4">
        <v>0</v>
      </c>
      <c r="F612" s="4">
        <v>0</v>
      </c>
      <c r="G612" s="4">
        <v>0</v>
      </c>
      <c r="H612" s="4">
        <v>294.54000000000002</v>
      </c>
      <c r="I612" s="4">
        <f>SUM(Tabela1[[#This Row],[Mão-de-obra (custo médio)]:[Materiais de troca (custo médio)]])</f>
        <v>294.76000000000005</v>
      </c>
      <c r="J612" s="4">
        <f>Tabela1[[#This Row],[Custos da os]]-Tabela1[[#This Row],[Custo dos insumos]]</f>
        <v>0</v>
      </c>
      <c r="K612" s="4" t="str">
        <f>IF(ABS(Tabela1[[#This Row],[Dif. Insumo e OS]])&lt;=0.02,"ok ou um centavo","verificar")</f>
        <v>ok ou um centavo</v>
      </c>
    </row>
    <row r="613" spans="1:11" hidden="1" x14ac:dyDescent="0.25">
      <c r="A613" s="3" t="s">
        <v>752</v>
      </c>
      <c r="B613" s="3" t="s">
        <v>757</v>
      </c>
      <c r="C613" s="4">
        <v>93.54</v>
      </c>
      <c r="D613" s="4">
        <v>0.22</v>
      </c>
      <c r="E613" s="4">
        <v>0</v>
      </c>
      <c r="F613" s="4">
        <v>0</v>
      </c>
      <c r="G613" s="4">
        <v>0</v>
      </c>
      <c r="H613" s="4">
        <v>93.32</v>
      </c>
      <c r="I613" s="4">
        <f>SUM(Tabela1[[#This Row],[Mão-de-obra (custo médio)]:[Materiais de troca (custo médio)]])</f>
        <v>93.539999999999992</v>
      </c>
      <c r="J613" s="4">
        <f>Tabela1[[#This Row],[Custos da os]]-Tabela1[[#This Row],[Custo dos insumos]]</f>
        <v>0</v>
      </c>
      <c r="K613" s="4" t="str">
        <f>IF(ABS(Tabela1[[#This Row],[Dif. Insumo e OS]])&lt;=0.02,"ok ou um centavo","verificar")</f>
        <v>ok ou um centavo</v>
      </c>
    </row>
    <row r="614" spans="1:11" hidden="1" x14ac:dyDescent="0.25">
      <c r="A614" s="3" t="s">
        <v>752</v>
      </c>
      <c r="B614" s="3" t="s">
        <v>758</v>
      </c>
      <c r="C614" s="4">
        <v>0.22</v>
      </c>
      <c r="D614" s="4">
        <v>0.22</v>
      </c>
      <c r="E614" s="4">
        <v>0</v>
      </c>
      <c r="F614" s="4">
        <v>0</v>
      </c>
      <c r="G614" s="4">
        <v>0</v>
      </c>
      <c r="H614" s="4">
        <v>0</v>
      </c>
      <c r="I614" s="4">
        <f>SUM(Tabela1[[#This Row],[Mão-de-obra (custo médio)]:[Materiais de troca (custo médio)]])</f>
        <v>0.22</v>
      </c>
      <c r="J614" s="4">
        <f>Tabela1[[#This Row],[Custos da os]]-Tabela1[[#This Row],[Custo dos insumos]]</f>
        <v>0</v>
      </c>
      <c r="K614" s="4" t="str">
        <f>IF(ABS(Tabela1[[#This Row],[Dif. Insumo e OS]])&lt;=0.02,"ok ou um centavo","verificar")</f>
        <v>ok ou um centavo</v>
      </c>
    </row>
    <row r="615" spans="1:11" x14ac:dyDescent="0.25">
      <c r="A615" s="1" t="s">
        <v>234</v>
      </c>
      <c r="B615" s="1" t="s">
        <v>235</v>
      </c>
      <c r="C615" s="2">
        <v>5269.94</v>
      </c>
      <c r="D615" s="2">
        <v>0</v>
      </c>
      <c r="E615" s="2">
        <v>0</v>
      </c>
      <c r="F615" s="2">
        <v>0</v>
      </c>
      <c r="G615" s="2">
        <v>8518.49</v>
      </c>
      <c r="H615" s="2">
        <v>14963.63</v>
      </c>
      <c r="I615" s="2">
        <f>SUM(Tabela1[[#This Row],[Mão-de-obra (custo médio)]:[Materiais de troca (custo médio)]])</f>
        <v>23482.12</v>
      </c>
      <c r="J615" s="2">
        <f>Tabela1[[#This Row],[Custos da os]]-Tabela1[[#This Row],[Custo dos insumos]]</f>
        <v>18212.18</v>
      </c>
      <c r="K615" s="2" t="str">
        <f>IF(ABS(Tabela1[[#This Row],[Dif. Insumo e OS]])&lt;=0.02,"ok ou um centavo","verificar")</f>
        <v>verificar</v>
      </c>
    </row>
    <row r="616" spans="1:11" hidden="1" x14ac:dyDescent="0.25">
      <c r="A616" s="3" t="s">
        <v>760</v>
      </c>
      <c r="B616" s="3" t="s">
        <v>761</v>
      </c>
      <c r="C616" s="4">
        <v>329.49</v>
      </c>
      <c r="D616" s="4">
        <v>0.22</v>
      </c>
      <c r="E616" s="4">
        <v>0</v>
      </c>
      <c r="F616" s="4">
        <v>0</v>
      </c>
      <c r="G616" s="4">
        <v>0</v>
      </c>
      <c r="H616" s="4">
        <v>329.27</v>
      </c>
      <c r="I616" s="4">
        <f>SUM(Tabela1[[#This Row],[Mão-de-obra (custo médio)]:[Materiais de troca (custo médio)]])</f>
        <v>329.49</v>
      </c>
      <c r="J616" s="4">
        <f>Tabela1[[#This Row],[Custos da os]]-Tabela1[[#This Row],[Custo dos insumos]]</f>
        <v>0</v>
      </c>
      <c r="K616" s="4" t="str">
        <f>IF(ABS(Tabela1[[#This Row],[Dif. Insumo e OS]])&lt;=0.02,"ok ou um centavo","verificar")</f>
        <v>ok ou um centavo</v>
      </c>
    </row>
    <row r="617" spans="1:11" hidden="1" x14ac:dyDescent="0.25">
      <c r="A617" s="3" t="s">
        <v>760</v>
      </c>
      <c r="B617" s="3" t="s">
        <v>762</v>
      </c>
      <c r="C617" s="4">
        <v>1980.84</v>
      </c>
      <c r="D617" s="4">
        <v>0.22</v>
      </c>
      <c r="E617" s="4">
        <v>0</v>
      </c>
      <c r="F617" s="4">
        <v>0</v>
      </c>
      <c r="G617" s="4">
        <v>0</v>
      </c>
      <c r="H617" s="4">
        <v>1980.62</v>
      </c>
      <c r="I617" s="4">
        <f>SUM(Tabela1[[#This Row],[Mão-de-obra (custo médio)]:[Materiais de troca (custo médio)]])</f>
        <v>1980.84</v>
      </c>
      <c r="J617" s="4">
        <f>Tabela1[[#This Row],[Custos da os]]-Tabela1[[#This Row],[Custo dos insumos]]</f>
        <v>0</v>
      </c>
      <c r="K617" s="4" t="str">
        <f>IF(ABS(Tabela1[[#This Row],[Dif. Insumo e OS]])&lt;=0.02,"ok ou um centavo","verificar")</f>
        <v>ok ou um centavo</v>
      </c>
    </row>
    <row r="618" spans="1:11" hidden="1" x14ac:dyDescent="0.25">
      <c r="A618" s="3" t="s">
        <v>760</v>
      </c>
      <c r="B618" s="3" t="s">
        <v>763</v>
      </c>
      <c r="C618" s="4">
        <v>658.76</v>
      </c>
      <c r="D618" s="4">
        <v>0.22</v>
      </c>
      <c r="E618" s="4">
        <v>0</v>
      </c>
      <c r="F618" s="4">
        <v>0</v>
      </c>
      <c r="G618" s="4">
        <v>0</v>
      </c>
      <c r="H618" s="4">
        <v>658.54</v>
      </c>
      <c r="I618" s="4">
        <f>SUM(Tabela1[[#This Row],[Mão-de-obra (custo médio)]:[Materiais de troca (custo médio)]])</f>
        <v>658.76</v>
      </c>
      <c r="J618" s="4">
        <f>Tabela1[[#This Row],[Custos da os]]-Tabela1[[#This Row],[Custo dos insumos]]</f>
        <v>0</v>
      </c>
      <c r="K618" s="4" t="str">
        <f>IF(ABS(Tabela1[[#This Row],[Dif. Insumo e OS]])&lt;=0.02,"ok ou um centavo","verificar")</f>
        <v>ok ou um centavo</v>
      </c>
    </row>
    <row r="619" spans="1:11" hidden="1" x14ac:dyDescent="0.25">
      <c r="A619" s="3" t="s">
        <v>760</v>
      </c>
      <c r="B619" s="3" t="s">
        <v>764</v>
      </c>
      <c r="C619" s="4">
        <v>989.51</v>
      </c>
      <c r="D619" s="4">
        <v>0.11</v>
      </c>
      <c r="E619" s="4">
        <v>0</v>
      </c>
      <c r="F619" s="4">
        <v>0</v>
      </c>
      <c r="G619" s="4">
        <v>0</v>
      </c>
      <c r="H619" s="4">
        <v>989.4</v>
      </c>
      <c r="I619" s="4">
        <f>SUM(Tabela1[[#This Row],[Mão-de-obra (custo médio)]:[Materiais de troca (custo médio)]])</f>
        <v>989.51</v>
      </c>
      <c r="J619" s="4">
        <f>Tabela1[[#This Row],[Custos da os]]-Tabela1[[#This Row],[Custo dos insumos]]</f>
        <v>0</v>
      </c>
      <c r="K619" s="4" t="str">
        <f>IF(ABS(Tabela1[[#This Row],[Dif. Insumo e OS]])&lt;=0.02,"ok ou um centavo","verificar")</f>
        <v>ok ou um centavo</v>
      </c>
    </row>
    <row r="620" spans="1:11" hidden="1" x14ac:dyDescent="0.25">
      <c r="A620" s="3" t="s">
        <v>765</v>
      </c>
      <c r="B620" s="3" t="s">
        <v>766</v>
      </c>
      <c r="C620" s="4">
        <v>660.34</v>
      </c>
      <c r="D620" s="4">
        <v>0.22</v>
      </c>
      <c r="E620" s="4">
        <v>0</v>
      </c>
      <c r="F620" s="4">
        <v>0</v>
      </c>
      <c r="G620" s="4">
        <v>0</v>
      </c>
      <c r="H620" s="4">
        <v>660.12</v>
      </c>
      <c r="I620" s="4">
        <f>SUM(Tabela1[[#This Row],[Mão-de-obra (custo médio)]:[Materiais de troca (custo médio)]])</f>
        <v>660.34</v>
      </c>
      <c r="J620" s="4">
        <f>Tabela1[[#This Row],[Custos da os]]-Tabela1[[#This Row],[Custo dos insumos]]</f>
        <v>0</v>
      </c>
      <c r="K620" s="4" t="str">
        <f>IF(ABS(Tabela1[[#This Row],[Dif. Insumo e OS]])&lt;=0.02,"ok ou um centavo","verificar")</f>
        <v>ok ou um centavo</v>
      </c>
    </row>
    <row r="621" spans="1:11" hidden="1" x14ac:dyDescent="0.25">
      <c r="A621" s="3" t="s">
        <v>765</v>
      </c>
      <c r="B621" s="3" t="s">
        <v>767</v>
      </c>
      <c r="C621" s="4">
        <v>0.22</v>
      </c>
      <c r="D621" s="4">
        <v>0.22</v>
      </c>
      <c r="E621" s="4">
        <v>0</v>
      </c>
      <c r="F621" s="4">
        <v>0</v>
      </c>
      <c r="G621" s="4">
        <v>0</v>
      </c>
      <c r="H621" s="4">
        <v>0</v>
      </c>
      <c r="I621" s="4">
        <f>SUM(Tabela1[[#This Row],[Mão-de-obra (custo médio)]:[Materiais de troca (custo médio)]])</f>
        <v>0.22</v>
      </c>
      <c r="J621" s="4">
        <f>Tabela1[[#This Row],[Custos da os]]-Tabela1[[#This Row],[Custo dos insumos]]</f>
        <v>0</v>
      </c>
      <c r="K621" s="4" t="str">
        <f>IF(ABS(Tabela1[[#This Row],[Dif. Insumo e OS]])&lt;=0.02,"ok ou um centavo","verificar")</f>
        <v>ok ou um centavo</v>
      </c>
    </row>
    <row r="622" spans="1:11" hidden="1" x14ac:dyDescent="0.25">
      <c r="A622" s="3" t="s">
        <v>765</v>
      </c>
      <c r="B622" s="3" t="s">
        <v>768</v>
      </c>
      <c r="C622" s="4">
        <v>662.38</v>
      </c>
      <c r="D622" s="4">
        <v>0.22</v>
      </c>
      <c r="E622" s="4">
        <v>0</v>
      </c>
      <c r="F622" s="4">
        <v>0</v>
      </c>
      <c r="G622" s="4">
        <v>0</v>
      </c>
      <c r="H622" s="4">
        <v>662.16</v>
      </c>
      <c r="I622" s="4">
        <f>SUM(Tabela1[[#This Row],[Mão-de-obra (custo médio)]:[Materiais de troca (custo médio)]])</f>
        <v>662.38</v>
      </c>
      <c r="J622" s="4">
        <f>Tabela1[[#This Row],[Custos da os]]-Tabela1[[#This Row],[Custo dos insumos]]</f>
        <v>0</v>
      </c>
      <c r="K622" s="4" t="str">
        <f>IF(ABS(Tabela1[[#This Row],[Dif. Insumo e OS]])&lt;=0.02,"ok ou um centavo","verificar")</f>
        <v>ok ou um centavo</v>
      </c>
    </row>
    <row r="623" spans="1:11" hidden="1" x14ac:dyDescent="0.25">
      <c r="A623" s="3" t="s">
        <v>765</v>
      </c>
      <c r="B623" s="3" t="s">
        <v>769</v>
      </c>
      <c r="C623" s="4">
        <v>333.11</v>
      </c>
      <c r="D623" s="4">
        <v>0.22</v>
      </c>
      <c r="E623" s="4">
        <v>0</v>
      </c>
      <c r="F623" s="4">
        <v>0</v>
      </c>
      <c r="G623" s="4">
        <v>0</v>
      </c>
      <c r="H623" s="4">
        <v>332.89</v>
      </c>
      <c r="I623" s="4">
        <f>SUM(Tabela1[[#This Row],[Mão-de-obra (custo médio)]:[Materiais de troca (custo médio)]])</f>
        <v>333.11</v>
      </c>
      <c r="J623" s="4">
        <f>Tabela1[[#This Row],[Custos da os]]-Tabela1[[#This Row],[Custo dos insumos]]</f>
        <v>0</v>
      </c>
      <c r="K623" s="4" t="str">
        <f>IF(ABS(Tabela1[[#This Row],[Dif. Insumo e OS]])&lt;=0.02,"ok ou um centavo","verificar")</f>
        <v>ok ou um centavo</v>
      </c>
    </row>
    <row r="624" spans="1:11" hidden="1" x14ac:dyDescent="0.25">
      <c r="A624" s="3" t="s">
        <v>765</v>
      </c>
      <c r="B624" s="3" t="s">
        <v>770</v>
      </c>
      <c r="C624" s="4">
        <v>666.01</v>
      </c>
      <c r="D624" s="4">
        <v>0.22</v>
      </c>
      <c r="E624" s="4">
        <v>0</v>
      </c>
      <c r="F624" s="4">
        <v>0</v>
      </c>
      <c r="G624" s="4">
        <v>0</v>
      </c>
      <c r="H624" s="4">
        <v>665.79</v>
      </c>
      <c r="I624" s="4">
        <f>SUM(Tabela1[[#This Row],[Mão-de-obra (custo médio)]:[Materiais de troca (custo médio)]])</f>
        <v>666.01</v>
      </c>
      <c r="J624" s="4">
        <f>Tabela1[[#This Row],[Custos da os]]-Tabela1[[#This Row],[Custo dos insumos]]</f>
        <v>0</v>
      </c>
      <c r="K624" s="4" t="str">
        <f>IF(ABS(Tabela1[[#This Row],[Dif. Insumo e OS]])&lt;=0.02,"ok ou um centavo","verificar")</f>
        <v>ok ou um centavo</v>
      </c>
    </row>
    <row r="625" spans="1:11" hidden="1" x14ac:dyDescent="0.25">
      <c r="A625" s="3" t="s">
        <v>765</v>
      </c>
      <c r="B625" s="3" t="s">
        <v>771</v>
      </c>
      <c r="C625" s="4">
        <v>989.65</v>
      </c>
      <c r="D625" s="4">
        <v>0.26</v>
      </c>
      <c r="E625" s="4">
        <v>0</v>
      </c>
      <c r="F625" s="4">
        <v>0</v>
      </c>
      <c r="G625" s="4">
        <v>0</v>
      </c>
      <c r="H625" s="4">
        <v>989.39</v>
      </c>
      <c r="I625" s="4">
        <f>SUM(Tabela1[[#This Row],[Mão-de-obra (custo médio)]:[Materiais de troca (custo médio)]])</f>
        <v>989.65</v>
      </c>
      <c r="J625" s="4">
        <f>Tabela1[[#This Row],[Custos da os]]-Tabela1[[#This Row],[Custo dos insumos]]</f>
        <v>0</v>
      </c>
      <c r="K625" s="4" t="str">
        <f>IF(ABS(Tabela1[[#This Row],[Dif. Insumo e OS]])&lt;=0.02,"ok ou um centavo","verificar")</f>
        <v>ok ou um centavo</v>
      </c>
    </row>
    <row r="626" spans="1:11" hidden="1" x14ac:dyDescent="0.25">
      <c r="A626" s="3" t="s">
        <v>765</v>
      </c>
      <c r="B626" s="3" t="s">
        <v>772</v>
      </c>
      <c r="C626" s="4">
        <v>1326.02</v>
      </c>
      <c r="D626" s="4">
        <v>0.11</v>
      </c>
      <c r="E626" s="4">
        <v>0</v>
      </c>
      <c r="F626" s="4">
        <v>0</v>
      </c>
      <c r="G626" s="4">
        <v>0</v>
      </c>
      <c r="H626" s="4">
        <v>1325.91</v>
      </c>
      <c r="I626" s="4">
        <f>SUM(Tabela1[[#This Row],[Mão-de-obra (custo médio)]:[Materiais de troca (custo médio)]])</f>
        <v>1326.02</v>
      </c>
      <c r="J626" s="4">
        <f>Tabela1[[#This Row],[Custos da os]]-Tabela1[[#This Row],[Custo dos insumos]]</f>
        <v>0</v>
      </c>
      <c r="K626" s="4" t="str">
        <f>IF(ABS(Tabela1[[#This Row],[Dif. Insumo e OS]])&lt;=0.02,"ok ou um centavo","verificar")</f>
        <v>ok ou um centavo</v>
      </c>
    </row>
    <row r="627" spans="1:11" hidden="1" x14ac:dyDescent="0.25">
      <c r="A627" s="3" t="s">
        <v>773</v>
      </c>
      <c r="B627" s="3" t="s">
        <v>774</v>
      </c>
      <c r="C627" s="4">
        <v>658.76</v>
      </c>
      <c r="D627" s="4">
        <v>0.22</v>
      </c>
      <c r="E627" s="4">
        <v>0</v>
      </c>
      <c r="F627" s="4">
        <v>0</v>
      </c>
      <c r="G627" s="4">
        <v>0</v>
      </c>
      <c r="H627" s="4">
        <v>658.54</v>
      </c>
      <c r="I627" s="4">
        <f>SUM(Tabela1[[#This Row],[Mão-de-obra (custo médio)]:[Materiais de troca (custo médio)]])</f>
        <v>658.76</v>
      </c>
      <c r="J627" s="4">
        <f>Tabela1[[#This Row],[Custos da os]]-Tabela1[[#This Row],[Custo dos insumos]]</f>
        <v>0</v>
      </c>
      <c r="K627" s="4" t="str">
        <f>IF(ABS(Tabela1[[#This Row],[Dif. Insumo e OS]])&lt;=0.02,"ok ou um centavo","verificar")</f>
        <v>ok ou um centavo</v>
      </c>
    </row>
    <row r="628" spans="1:11" hidden="1" x14ac:dyDescent="0.25">
      <c r="A628" s="3" t="s">
        <v>773</v>
      </c>
      <c r="B628" s="3" t="s">
        <v>775</v>
      </c>
      <c r="C628" s="4">
        <v>998.91</v>
      </c>
      <c r="D628" s="4">
        <v>0.22</v>
      </c>
      <c r="E628" s="4">
        <v>0</v>
      </c>
      <c r="F628" s="4">
        <v>0</v>
      </c>
      <c r="G628" s="4">
        <v>0</v>
      </c>
      <c r="H628" s="4">
        <v>998.69</v>
      </c>
      <c r="I628" s="4">
        <f>SUM(Tabela1[[#This Row],[Mão-de-obra (custo médio)]:[Materiais de troca (custo médio)]])</f>
        <v>998.91000000000008</v>
      </c>
      <c r="J628" s="4">
        <f>Tabela1[[#This Row],[Custos da os]]-Tabela1[[#This Row],[Custo dos insumos]]</f>
        <v>0</v>
      </c>
      <c r="K628" s="4" t="str">
        <f>IF(ABS(Tabela1[[#This Row],[Dif. Insumo e OS]])&lt;=0.02,"ok ou um centavo","verificar")</f>
        <v>ok ou um centavo</v>
      </c>
    </row>
    <row r="629" spans="1:11" hidden="1" x14ac:dyDescent="0.25">
      <c r="A629" s="3" t="s">
        <v>773</v>
      </c>
      <c r="B629" s="3" t="s">
        <v>776</v>
      </c>
      <c r="C629" s="4">
        <v>0.11</v>
      </c>
      <c r="D629" s="4">
        <v>0.11</v>
      </c>
      <c r="E629" s="4">
        <v>0</v>
      </c>
      <c r="F629" s="4">
        <v>0</v>
      </c>
      <c r="G629" s="4">
        <v>0</v>
      </c>
      <c r="H629" s="4">
        <v>0</v>
      </c>
      <c r="I629" s="4">
        <f>SUM(Tabela1[[#This Row],[Mão-de-obra (custo médio)]:[Materiais de troca (custo médio)]])</f>
        <v>0.11</v>
      </c>
      <c r="J629" s="4">
        <f>Tabela1[[#This Row],[Custos da os]]-Tabela1[[#This Row],[Custo dos insumos]]</f>
        <v>0</v>
      </c>
      <c r="K629" s="4" t="str">
        <f>IF(ABS(Tabela1[[#This Row],[Dif. Insumo e OS]])&lt;=0.02,"ok ou um centavo","verificar")</f>
        <v>ok ou um centavo</v>
      </c>
    </row>
    <row r="630" spans="1:11" hidden="1" x14ac:dyDescent="0.25">
      <c r="A630" s="3" t="s">
        <v>777</v>
      </c>
      <c r="B630" s="3" t="s">
        <v>778</v>
      </c>
      <c r="C630" s="4">
        <v>0.22</v>
      </c>
      <c r="D630" s="4">
        <v>0.22</v>
      </c>
      <c r="E630" s="4">
        <v>0</v>
      </c>
      <c r="F630" s="4">
        <v>0</v>
      </c>
      <c r="G630" s="4">
        <v>0</v>
      </c>
      <c r="H630" s="4">
        <v>0</v>
      </c>
      <c r="I630" s="4">
        <f>SUM(Tabela1[[#This Row],[Mão-de-obra (custo médio)]:[Materiais de troca (custo médio)]])</f>
        <v>0.22</v>
      </c>
      <c r="J630" s="4">
        <f>Tabela1[[#This Row],[Custos da os]]-Tabela1[[#This Row],[Custo dos insumos]]</f>
        <v>0</v>
      </c>
      <c r="K630" s="4" t="str">
        <f>IF(ABS(Tabela1[[#This Row],[Dif. Insumo e OS]])&lt;=0.02,"ok ou um centavo","verificar")</f>
        <v>ok ou um centavo</v>
      </c>
    </row>
    <row r="631" spans="1:11" hidden="1" x14ac:dyDescent="0.25">
      <c r="A631" s="3" t="s">
        <v>777</v>
      </c>
      <c r="B631" s="3" t="s">
        <v>779</v>
      </c>
      <c r="C631" s="4">
        <v>80.760000000000005</v>
      </c>
      <c r="D631" s="4">
        <v>58.87</v>
      </c>
      <c r="E631" s="4">
        <v>0</v>
      </c>
      <c r="F631" s="4">
        <v>0</v>
      </c>
      <c r="G631" s="4">
        <v>21.9</v>
      </c>
      <c r="H631" s="4">
        <v>0</v>
      </c>
      <c r="I631" s="4">
        <f>SUM(Tabela1[[#This Row],[Mão-de-obra (custo médio)]:[Materiais de troca (custo médio)]])</f>
        <v>80.77</v>
      </c>
      <c r="J631" s="4">
        <f>Tabela1[[#This Row],[Custos da os]]-Tabela1[[#This Row],[Custo dos insumos]]</f>
        <v>9.9999999999909051E-3</v>
      </c>
      <c r="K631" s="4" t="str">
        <f>IF(ABS(Tabela1[[#This Row],[Dif. Insumo e OS]])&lt;=0.02,"ok ou um centavo","verificar")</f>
        <v>ok ou um centavo</v>
      </c>
    </row>
    <row r="632" spans="1:11" hidden="1" x14ac:dyDescent="0.25">
      <c r="A632" s="3" t="s">
        <v>777</v>
      </c>
      <c r="B632" s="3" t="s">
        <v>780</v>
      </c>
      <c r="C632" s="4">
        <v>11.6</v>
      </c>
      <c r="D632" s="4">
        <v>11.6</v>
      </c>
      <c r="E632" s="4">
        <v>0</v>
      </c>
      <c r="F632" s="4">
        <v>0</v>
      </c>
      <c r="G632" s="4">
        <v>0</v>
      </c>
      <c r="H632" s="4">
        <v>0</v>
      </c>
      <c r="I632" s="4">
        <f>SUM(Tabela1[[#This Row],[Mão-de-obra (custo médio)]:[Materiais de troca (custo médio)]])</f>
        <v>11.6</v>
      </c>
      <c r="J632" s="4">
        <f>Tabela1[[#This Row],[Custos da os]]-Tabela1[[#This Row],[Custo dos insumos]]</f>
        <v>0</v>
      </c>
      <c r="K632" s="4" t="str">
        <f>IF(ABS(Tabela1[[#This Row],[Dif. Insumo e OS]])&lt;=0.02,"ok ou um centavo","verificar")</f>
        <v>ok ou um centavo</v>
      </c>
    </row>
    <row r="633" spans="1:11" hidden="1" x14ac:dyDescent="0.25">
      <c r="A633" s="3" t="s">
        <v>777</v>
      </c>
      <c r="B633" s="3" t="s">
        <v>781</v>
      </c>
      <c r="C633" s="4">
        <v>407.66</v>
      </c>
      <c r="D633" s="4">
        <v>0.46</v>
      </c>
      <c r="E633" s="4">
        <v>0</v>
      </c>
      <c r="F633" s="4">
        <v>0</v>
      </c>
      <c r="G633" s="4">
        <v>0</v>
      </c>
      <c r="H633" s="4">
        <v>407.2</v>
      </c>
      <c r="I633" s="4">
        <f>SUM(Tabela1[[#This Row],[Mão-de-obra (custo médio)]:[Materiais de troca (custo médio)]])</f>
        <v>407.65999999999997</v>
      </c>
      <c r="J633" s="4">
        <f>Tabela1[[#This Row],[Custos da os]]-Tabela1[[#This Row],[Custo dos insumos]]</f>
        <v>0</v>
      </c>
      <c r="K633" s="4" t="str">
        <f>IF(ABS(Tabela1[[#This Row],[Dif. Insumo e OS]])&lt;=0.02,"ok ou um centavo","verificar")</f>
        <v>ok ou um centavo</v>
      </c>
    </row>
    <row r="634" spans="1:11" hidden="1" x14ac:dyDescent="0.25">
      <c r="A634" s="3" t="s">
        <v>782</v>
      </c>
      <c r="B634" s="3" t="s">
        <v>783</v>
      </c>
      <c r="C634" s="4">
        <v>3260.68</v>
      </c>
      <c r="D634" s="4">
        <v>208.34</v>
      </c>
      <c r="E634" s="4">
        <v>0</v>
      </c>
      <c r="F634" s="4">
        <v>0</v>
      </c>
      <c r="G634" s="4">
        <v>27.36</v>
      </c>
      <c r="H634" s="4">
        <v>3024.99</v>
      </c>
      <c r="I634" s="4">
        <f>SUM(Tabela1[[#This Row],[Mão-de-obra (custo médio)]:[Materiais de troca (custo médio)]])</f>
        <v>3260.6899999999996</v>
      </c>
      <c r="J634" s="4">
        <f>Tabela1[[#This Row],[Custos da os]]-Tabela1[[#This Row],[Custo dos insumos]]</f>
        <v>9.9999999997635314E-3</v>
      </c>
      <c r="K634" s="4" t="str">
        <f>IF(ABS(Tabela1[[#This Row],[Dif. Insumo e OS]])&lt;=0.02,"ok ou um centavo","verificar")</f>
        <v>ok ou um centavo</v>
      </c>
    </row>
    <row r="635" spans="1:11" hidden="1" x14ac:dyDescent="0.25">
      <c r="A635" s="3" t="s">
        <v>782</v>
      </c>
      <c r="B635" s="3" t="s">
        <v>784</v>
      </c>
      <c r="C635" s="4">
        <v>0.46</v>
      </c>
      <c r="D635" s="4">
        <v>0.46</v>
      </c>
      <c r="E635" s="4">
        <v>0</v>
      </c>
      <c r="F635" s="4">
        <v>0</v>
      </c>
      <c r="G635" s="4">
        <v>0</v>
      </c>
      <c r="H635" s="4">
        <v>0</v>
      </c>
      <c r="I635" s="4">
        <f>SUM(Tabela1[[#This Row],[Mão-de-obra (custo médio)]:[Materiais de troca (custo médio)]])</f>
        <v>0.46</v>
      </c>
      <c r="J635" s="4">
        <f>Tabela1[[#This Row],[Custos da os]]-Tabela1[[#This Row],[Custo dos insumos]]</f>
        <v>0</v>
      </c>
      <c r="K635" s="4" t="str">
        <f>IF(ABS(Tabela1[[#This Row],[Dif. Insumo e OS]])&lt;=0.02,"ok ou um centavo","verificar")</f>
        <v>ok ou um centavo</v>
      </c>
    </row>
    <row r="636" spans="1:11" hidden="1" x14ac:dyDescent="0.25">
      <c r="A636" s="3" t="s">
        <v>785</v>
      </c>
      <c r="B636" s="3" t="s">
        <v>786</v>
      </c>
      <c r="C636" s="4">
        <v>462.78</v>
      </c>
      <c r="D636" s="4">
        <v>0.22</v>
      </c>
      <c r="E636" s="4">
        <v>0</v>
      </c>
      <c r="F636" s="4">
        <v>0</v>
      </c>
      <c r="G636" s="4">
        <v>0</v>
      </c>
      <c r="H636" s="4">
        <v>462.56</v>
      </c>
      <c r="I636" s="4">
        <f>SUM(Tabela1[[#This Row],[Mão-de-obra (custo médio)]:[Materiais de troca (custo médio)]])</f>
        <v>462.78000000000003</v>
      </c>
      <c r="J636" s="4">
        <f>Tabela1[[#This Row],[Custos da os]]-Tabela1[[#This Row],[Custo dos insumos]]</f>
        <v>0</v>
      </c>
      <c r="K636" s="4" t="str">
        <f>IF(ABS(Tabela1[[#This Row],[Dif. Insumo e OS]])&lt;=0.02,"ok ou um centavo","verificar")</f>
        <v>ok ou um centavo</v>
      </c>
    </row>
    <row r="637" spans="1:11" hidden="1" x14ac:dyDescent="0.25">
      <c r="A637" s="3" t="s">
        <v>787</v>
      </c>
      <c r="B637" s="3" t="s">
        <v>788</v>
      </c>
      <c r="C637" s="4">
        <v>343.96</v>
      </c>
      <c r="D637" s="4">
        <v>0.22</v>
      </c>
      <c r="E637" s="4">
        <v>0</v>
      </c>
      <c r="F637" s="4">
        <v>0</v>
      </c>
      <c r="G637" s="4">
        <v>0</v>
      </c>
      <c r="H637" s="4">
        <v>343.74</v>
      </c>
      <c r="I637" s="4">
        <f>SUM(Tabela1[[#This Row],[Mão-de-obra (custo médio)]:[Materiais de troca (custo médio)]])</f>
        <v>343.96000000000004</v>
      </c>
      <c r="J637" s="4">
        <f>Tabela1[[#This Row],[Custos da os]]-Tabela1[[#This Row],[Custo dos insumos]]</f>
        <v>0</v>
      </c>
      <c r="K637" s="4" t="str">
        <f>IF(ABS(Tabela1[[#This Row],[Dif. Insumo e OS]])&lt;=0.02,"ok ou um centavo","verificar")</f>
        <v>ok ou um centavo</v>
      </c>
    </row>
    <row r="638" spans="1:11" hidden="1" x14ac:dyDescent="0.25">
      <c r="A638" s="3" t="s">
        <v>787</v>
      </c>
      <c r="B638" s="3" t="s">
        <v>789</v>
      </c>
      <c r="C638" s="4">
        <v>6.06</v>
      </c>
      <c r="D638" s="4">
        <v>0.22</v>
      </c>
      <c r="E638" s="4">
        <v>0</v>
      </c>
      <c r="F638" s="4">
        <v>0</v>
      </c>
      <c r="G638" s="4">
        <v>0</v>
      </c>
      <c r="H638" s="4">
        <v>5.84</v>
      </c>
      <c r="I638" s="4">
        <f>SUM(Tabela1[[#This Row],[Mão-de-obra (custo médio)]:[Materiais de troca (custo médio)]])</f>
        <v>6.06</v>
      </c>
      <c r="J638" s="4">
        <f>Tabela1[[#This Row],[Custos da os]]-Tabela1[[#This Row],[Custo dos insumos]]</f>
        <v>0</v>
      </c>
      <c r="K638" s="4" t="str">
        <f>IF(ABS(Tabela1[[#This Row],[Dif. Insumo e OS]])&lt;=0.02,"ok ou um centavo","verificar")</f>
        <v>ok ou um centavo</v>
      </c>
    </row>
    <row r="639" spans="1:11" hidden="1" x14ac:dyDescent="0.25">
      <c r="A639" s="3" t="s">
        <v>787</v>
      </c>
      <c r="B639" s="3" t="s">
        <v>790</v>
      </c>
      <c r="C639" s="4">
        <v>0.22</v>
      </c>
      <c r="D639" s="4">
        <v>0.22</v>
      </c>
      <c r="E639" s="4">
        <v>0</v>
      </c>
      <c r="F639" s="4">
        <v>0</v>
      </c>
      <c r="G639" s="4">
        <v>0</v>
      </c>
      <c r="H639" s="4">
        <v>0</v>
      </c>
      <c r="I639" s="4">
        <f>SUM(Tabela1[[#This Row],[Mão-de-obra (custo médio)]:[Materiais de troca (custo médio)]])</f>
        <v>0.22</v>
      </c>
      <c r="J639" s="4">
        <f>Tabela1[[#This Row],[Custos da os]]-Tabela1[[#This Row],[Custo dos insumos]]</f>
        <v>0</v>
      </c>
      <c r="K639" s="4" t="str">
        <f>IF(ABS(Tabela1[[#This Row],[Dif. Insumo e OS]])&lt;=0.02,"ok ou um centavo","verificar")</f>
        <v>ok ou um centavo</v>
      </c>
    </row>
    <row r="640" spans="1:11" hidden="1" x14ac:dyDescent="0.25">
      <c r="A640" s="3" t="s">
        <v>791</v>
      </c>
      <c r="B640" s="3" t="s">
        <v>792</v>
      </c>
      <c r="C640" s="4">
        <v>333.01</v>
      </c>
      <c r="D640" s="4">
        <v>0.11</v>
      </c>
      <c r="E640" s="4">
        <v>0</v>
      </c>
      <c r="F640" s="4">
        <v>0</v>
      </c>
      <c r="G640" s="4">
        <v>0</v>
      </c>
      <c r="H640" s="4">
        <v>332.9</v>
      </c>
      <c r="I640" s="4">
        <f>SUM(Tabela1[[#This Row],[Mão-de-obra (custo médio)]:[Materiais de troca (custo médio)]])</f>
        <v>333.01</v>
      </c>
      <c r="J640" s="4">
        <f>Tabela1[[#This Row],[Custos da os]]-Tabela1[[#This Row],[Custo dos insumos]]</f>
        <v>0</v>
      </c>
      <c r="K640" s="4" t="str">
        <f>IF(ABS(Tabela1[[#This Row],[Dif. Insumo e OS]])&lt;=0.02,"ok ou um centavo","verificar")</f>
        <v>ok ou um centavo</v>
      </c>
    </row>
    <row r="641" spans="1:11" hidden="1" x14ac:dyDescent="0.25">
      <c r="A641" s="3" t="s">
        <v>793</v>
      </c>
      <c r="B641" s="3" t="s">
        <v>794</v>
      </c>
      <c r="C641" s="4">
        <v>324.83</v>
      </c>
      <c r="D641" s="4">
        <v>0.22</v>
      </c>
      <c r="E641" s="4">
        <v>0</v>
      </c>
      <c r="F641" s="4">
        <v>0</v>
      </c>
      <c r="G641" s="4">
        <v>0</v>
      </c>
      <c r="H641" s="4">
        <v>324.61</v>
      </c>
      <c r="I641" s="4">
        <f>SUM(Tabela1[[#This Row],[Mão-de-obra (custo médio)]:[Materiais de troca (custo médio)]])</f>
        <v>324.83000000000004</v>
      </c>
      <c r="J641" s="4">
        <f>Tabela1[[#This Row],[Custos da os]]-Tabela1[[#This Row],[Custo dos insumos]]</f>
        <v>0</v>
      </c>
      <c r="K641" s="4" t="str">
        <f>IF(ABS(Tabela1[[#This Row],[Dif. Insumo e OS]])&lt;=0.02,"ok ou um centavo","verificar")</f>
        <v>ok ou um centavo</v>
      </c>
    </row>
    <row r="642" spans="1:11" hidden="1" x14ac:dyDescent="0.25">
      <c r="A642" s="3" t="s">
        <v>793</v>
      </c>
      <c r="B642" s="3" t="s">
        <v>795</v>
      </c>
      <c r="C642" s="4">
        <v>34.58</v>
      </c>
      <c r="D642" s="4">
        <v>34.58</v>
      </c>
      <c r="E642" s="4">
        <v>0</v>
      </c>
      <c r="F642" s="4">
        <v>0</v>
      </c>
      <c r="G642" s="4">
        <v>0</v>
      </c>
      <c r="H642" s="4">
        <v>0</v>
      </c>
      <c r="I642" s="4">
        <f>SUM(Tabela1[[#This Row],[Mão-de-obra (custo médio)]:[Materiais de troca (custo médio)]])</f>
        <v>34.58</v>
      </c>
      <c r="J642" s="4">
        <f>Tabela1[[#This Row],[Custos da os]]-Tabela1[[#This Row],[Custo dos insumos]]</f>
        <v>0</v>
      </c>
      <c r="K642" s="4" t="str">
        <f>IF(ABS(Tabela1[[#This Row],[Dif. Insumo e OS]])&lt;=0.02,"ok ou um centavo","verificar")</f>
        <v>ok ou um centavo</v>
      </c>
    </row>
    <row r="643" spans="1:11" hidden="1" x14ac:dyDescent="0.25">
      <c r="A643" s="3" t="s">
        <v>793</v>
      </c>
      <c r="B643" s="3" t="s">
        <v>796</v>
      </c>
      <c r="C643" s="4">
        <v>278.10000000000002</v>
      </c>
      <c r="D643" s="4">
        <v>0.22</v>
      </c>
      <c r="E643" s="4">
        <v>0</v>
      </c>
      <c r="F643" s="4">
        <v>0</v>
      </c>
      <c r="G643" s="4">
        <v>0</v>
      </c>
      <c r="H643" s="4">
        <v>277.88</v>
      </c>
      <c r="I643" s="4">
        <f>SUM(Tabela1[[#This Row],[Mão-de-obra (custo médio)]:[Materiais de troca (custo médio)]])</f>
        <v>278.10000000000002</v>
      </c>
      <c r="J643" s="4">
        <f>Tabela1[[#This Row],[Custos da os]]-Tabela1[[#This Row],[Custo dos insumos]]</f>
        <v>0</v>
      </c>
      <c r="K643" s="4" t="str">
        <f>IF(ABS(Tabela1[[#This Row],[Dif. Insumo e OS]])&lt;=0.02,"ok ou um centavo","verificar")</f>
        <v>ok ou um centavo</v>
      </c>
    </row>
    <row r="644" spans="1:11" hidden="1" x14ac:dyDescent="0.25">
      <c r="A644" s="3" t="s">
        <v>793</v>
      </c>
      <c r="B644" s="3" t="s">
        <v>797</v>
      </c>
      <c r="C644" s="4">
        <v>555.99</v>
      </c>
      <c r="D644" s="4">
        <v>0.22</v>
      </c>
      <c r="E644" s="4">
        <v>0</v>
      </c>
      <c r="F644" s="4">
        <v>0</v>
      </c>
      <c r="G644" s="4">
        <v>0</v>
      </c>
      <c r="H644" s="4">
        <v>555.77</v>
      </c>
      <c r="I644" s="4">
        <f>SUM(Tabela1[[#This Row],[Mão-de-obra (custo médio)]:[Materiais de troca (custo médio)]])</f>
        <v>555.99</v>
      </c>
      <c r="J644" s="4">
        <f>Tabela1[[#This Row],[Custos da os]]-Tabela1[[#This Row],[Custo dos insumos]]</f>
        <v>0</v>
      </c>
      <c r="K644" s="4" t="str">
        <f>IF(ABS(Tabela1[[#This Row],[Dif. Insumo e OS]])&lt;=0.02,"ok ou um centavo","verificar")</f>
        <v>ok ou um centavo</v>
      </c>
    </row>
    <row r="645" spans="1:11" hidden="1" x14ac:dyDescent="0.25">
      <c r="A645" s="3" t="s">
        <v>798</v>
      </c>
      <c r="B645" s="3" t="s">
        <v>799</v>
      </c>
      <c r="C645" s="4">
        <v>2003.4</v>
      </c>
      <c r="D645" s="4">
        <v>0.22</v>
      </c>
      <c r="E645" s="4">
        <v>0</v>
      </c>
      <c r="F645" s="4">
        <v>0</v>
      </c>
      <c r="G645" s="4">
        <v>0</v>
      </c>
      <c r="H645" s="4">
        <v>2003.18</v>
      </c>
      <c r="I645" s="4">
        <f>SUM(Tabela1[[#This Row],[Mão-de-obra (custo médio)]:[Materiais de troca (custo médio)]])</f>
        <v>2003.4</v>
      </c>
      <c r="J645" s="4">
        <f>Tabela1[[#This Row],[Custos da os]]-Tabela1[[#This Row],[Custo dos insumos]]</f>
        <v>0</v>
      </c>
      <c r="K645" s="4" t="str">
        <f>IF(ABS(Tabela1[[#This Row],[Dif. Insumo e OS]])&lt;=0.02,"ok ou um centavo","verificar")</f>
        <v>ok ou um centavo</v>
      </c>
    </row>
    <row r="646" spans="1:11" hidden="1" x14ac:dyDescent="0.25">
      <c r="A646" s="3" t="s">
        <v>798</v>
      </c>
      <c r="B646" s="3" t="s">
        <v>800</v>
      </c>
      <c r="C646" s="4">
        <v>660.34</v>
      </c>
      <c r="D646" s="4">
        <v>0.22</v>
      </c>
      <c r="E646" s="4">
        <v>0</v>
      </c>
      <c r="F646" s="4">
        <v>0</v>
      </c>
      <c r="G646" s="4">
        <v>0</v>
      </c>
      <c r="H646" s="4">
        <v>660.12</v>
      </c>
      <c r="I646" s="4">
        <f>SUM(Tabela1[[#This Row],[Mão-de-obra (custo médio)]:[Materiais de troca (custo médio)]])</f>
        <v>660.34</v>
      </c>
      <c r="J646" s="4">
        <f>Tabela1[[#This Row],[Custos da os]]-Tabela1[[#This Row],[Custo dos insumos]]</f>
        <v>0</v>
      </c>
      <c r="K646" s="4" t="str">
        <f>IF(ABS(Tabela1[[#This Row],[Dif. Insumo e OS]])&lt;=0.02,"ok ou um centavo","verificar")</f>
        <v>ok ou um centavo</v>
      </c>
    </row>
    <row r="647" spans="1:11" hidden="1" x14ac:dyDescent="0.25">
      <c r="A647" s="3" t="s">
        <v>798</v>
      </c>
      <c r="B647" s="3" t="s">
        <v>801</v>
      </c>
      <c r="C647" s="4">
        <v>333.11</v>
      </c>
      <c r="D647" s="4">
        <v>0.22</v>
      </c>
      <c r="E647" s="4">
        <v>0</v>
      </c>
      <c r="F647" s="4">
        <v>0</v>
      </c>
      <c r="G647" s="4">
        <v>0</v>
      </c>
      <c r="H647" s="4">
        <v>332.89</v>
      </c>
      <c r="I647" s="4">
        <f>SUM(Tabela1[[#This Row],[Mão-de-obra (custo médio)]:[Materiais de troca (custo médio)]])</f>
        <v>333.11</v>
      </c>
      <c r="J647" s="4">
        <f>Tabela1[[#This Row],[Custos da os]]-Tabela1[[#This Row],[Custo dos insumos]]</f>
        <v>0</v>
      </c>
      <c r="K647" s="4" t="str">
        <f>IF(ABS(Tabela1[[#This Row],[Dif. Insumo e OS]])&lt;=0.02,"ok ou um centavo","verificar")</f>
        <v>ok ou um centavo</v>
      </c>
    </row>
    <row r="648" spans="1:11" hidden="1" x14ac:dyDescent="0.25">
      <c r="A648" s="3" t="s">
        <v>798</v>
      </c>
      <c r="B648" s="3" t="s">
        <v>802</v>
      </c>
      <c r="C648" s="4">
        <v>666</v>
      </c>
      <c r="D648" s="4">
        <v>0.22</v>
      </c>
      <c r="E648" s="4">
        <v>0</v>
      </c>
      <c r="F648" s="4">
        <v>0</v>
      </c>
      <c r="G648" s="4">
        <v>0</v>
      </c>
      <c r="H648" s="4">
        <v>665.78</v>
      </c>
      <c r="I648" s="4">
        <f>SUM(Tabela1[[#This Row],[Mão-de-obra (custo médio)]:[Materiais de troca (custo médio)]])</f>
        <v>666</v>
      </c>
      <c r="J648" s="4">
        <f>Tabela1[[#This Row],[Custos da os]]-Tabela1[[#This Row],[Custo dos insumos]]</f>
        <v>0</v>
      </c>
      <c r="K648" s="4" t="str">
        <f>IF(ABS(Tabela1[[#This Row],[Dif. Insumo e OS]])&lt;=0.02,"ok ou um centavo","verificar")</f>
        <v>ok ou um centavo</v>
      </c>
    </row>
    <row r="649" spans="1:11" hidden="1" x14ac:dyDescent="0.25">
      <c r="A649" s="3" t="s">
        <v>798</v>
      </c>
      <c r="B649" s="3" t="s">
        <v>803</v>
      </c>
      <c r="C649" s="4">
        <v>6.06</v>
      </c>
      <c r="D649" s="4">
        <v>0.22</v>
      </c>
      <c r="E649" s="4">
        <v>0</v>
      </c>
      <c r="F649" s="4">
        <v>0</v>
      </c>
      <c r="G649" s="4">
        <v>0</v>
      </c>
      <c r="H649" s="4">
        <v>5.84</v>
      </c>
      <c r="I649" s="4">
        <f>SUM(Tabela1[[#This Row],[Mão-de-obra (custo médio)]:[Materiais de troca (custo médio)]])</f>
        <v>6.06</v>
      </c>
      <c r="J649" s="4">
        <f>Tabela1[[#This Row],[Custos da os]]-Tabela1[[#This Row],[Custo dos insumos]]</f>
        <v>0</v>
      </c>
      <c r="K649" s="4" t="str">
        <f>IF(ABS(Tabela1[[#This Row],[Dif. Insumo e OS]])&lt;=0.02,"ok ou um centavo","verificar")</f>
        <v>ok ou um centavo</v>
      </c>
    </row>
    <row r="650" spans="1:11" hidden="1" x14ac:dyDescent="0.25">
      <c r="A650" s="3" t="s">
        <v>798</v>
      </c>
      <c r="B650" s="3" t="s">
        <v>804</v>
      </c>
      <c r="C650" s="4">
        <v>333.11</v>
      </c>
      <c r="D650" s="4">
        <v>0.22</v>
      </c>
      <c r="E650" s="4">
        <v>0</v>
      </c>
      <c r="F650" s="4">
        <v>0</v>
      </c>
      <c r="G650" s="4">
        <v>0</v>
      </c>
      <c r="H650" s="4">
        <v>332.89</v>
      </c>
      <c r="I650" s="4">
        <f>SUM(Tabela1[[#This Row],[Mão-de-obra (custo médio)]:[Materiais de troca (custo médio)]])</f>
        <v>333.11</v>
      </c>
      <c r="J650" s="4">
        <f>Tabela1[[#This Row],[Custos da os]]-Tabela1[[#This Row],[Custo dos insumos]]</f>
        <v>0</v>
      </c>
      <c r="K650" s="4" t="str">
        <f>IF(ABS(Tabela1[[#This Row],[Dif. Insumo e OS]])&lt;=0.02,"ok ou um centavo","verificar")</f>
        <v>ok ou um centavo</v>
      </c>
    </row>
    <row r="651" spans="1:11" hidden="1" x14ac:dyDescent="0.25">
      <c r="A651" s="3" t="s">
        <v>798</v>
      </c>
      <c r="B651" s="3" t="s">
        <v>805</v>
      </c>
      <c r="C651" s="4">
        <v>6.06</v>
      </c>
      <c r="D651" s="4">
        <v>0.22</v>
      </c>
      <c r="E651" s="4">
        <v>0</v>
      </c>
      <c r="F651" s="4">
        <v>0</v>
      </c>
      <c r="G651" s="4">
        <v>0</v>
      </c>
      <c r="H651" s="4">
        <v>5.84</v>
      </c>
      <c r="I651" s="4">
        <f>SUM(Tabela1[[#This Row],[Mão-de-obra (custo médio)]:[Materiais de troca (custo médio)]])</f>
        <v>6.06</v>
      </c>
      <c r="J651" s="4">
        <f>Tabela1[[#This Row],[Custos da os]]-Tabela1[[#This Row],[Custo dos insumos]]</f>
        <v>0</v>
      </c>
      <c r="K651" s="4" t="str">
        <f>IF(ABS(Tabela1[[#This Row],[Dif. Insumo e OS]])&lt;=0.02,"ok ou um centavo","verificar")</f>
        <v>ok ou um centavo</v>
      </c>
    </row>
    <row r="652" spans="1:11" hidden="1" x14ac:dyDescent="0.25">
      <c r="A652" s="3" t="s">
        <v>798</v>
      </c>
      <c r="B652" s="3" t="s">
        <v>806</v>
      </c>
      <c r="C652" s="4">
        <v>0.22</v>
      </c>
      <c r="D652" s="4">
        <v>0.22</v>
      </c>
      <c r="E652" s="4">
        <v>0</v>
      </c>
      <c r="F652" s="4">
        <v>0</v>
      </c>
      <c r="G652" s="4">
        <v>0</v>
      </c>
      <c r="H652" s="4">
        <v>0</v>
      </c>
      <c r="I652" s="4">
        <f>SUM(Tabela1[[#This Row],[Mão-de-obra (custo médio)]:[Materiais de troca (custo médio)]])</f>
        <v>0.22</v>
      </c>
      <c r="J652" s="4">
        <f>Tabela1[[#This Row],[Custos da os]]-Tabela1[[#This Row],[Custo dos insumos]]</f>
        <v>0</v>
      </c>
      <c r="K652" s="4" t="str">
        <f>IF(ABS(Tabela1[[#This Row],[Dif. Insumo e OS]])&lt;=0.02,"ok ou um centavo","verificar")</f>
        <v>ok ou um centavo</v>
      </c>
    </row>
    <row r="653" spans="1:11" hidden="1" x14ac:dyDescent="0.25">
      <c r="A653" s="3" t="s">
        <v>798</v>
      </c>
      <c r="B653" s="3" t="s">
        <v>807</v>
      </c>
      <c r="C653" s="4">
        <v>6.06</v>
      </c>
      <c r="D653" s="4">
        <v>0.22</v>
      </c>
      <c r="E653" s="4">
        <v>0</v>
      </c>
      <c r="F653" s="4">
        <v>0</v>
      </c>
      <c r="G653" s="4">
        <v>0</v>
      </c>
      <c r="H653" s="4">
        <v>5.84</v>
      </c>
      <c r="I653" s="4">
        <f>SUM(Tabela1[[#This Row],[Mão-de-obra (custo médio)]:[Materiais de troca (custo médio)]])</f>
        <v>6.06</v>
      </c>
      <c r="J653" s="4">
        <f>Tabela1[[#This Row],[Custos da os]]-Tabela1[[#This Row],[Custo dos insumos]]</f>
        <v>0</v>
      </c>
      <c r="K653" s="4" t="str">
        <f>IF(ABS(Tabela1[[#This Row],[Dif. Insumo e OS]])&lt;=0.02,"ok ou um centavo","verificar")</f>
        <v>ok ou um centavo</v>
      </c>
    </row>
    <row r="654" spans="1:11" hidden="1" x14ac:dyDescent="0.25">
      <c r="A654" s="3" t="s">
        <v>798</v>
      </c>
      <c r="B654" s="3" t="s">
        <v>808</v>
      </c>
      <c r="C654" s="4">
        <v>0.11</v>
      </c>
      <c r="D654" s="4">
        <v>0.11</v>
      </c>
      <c r="E654" s="4">
        <v>0</v>
      </c>
      <c r="F654" s="4">
        <v>0</v>
      </c>
      <c r="G654" s="4">
        <v>0</v>
      </c>
      <c r="H654" s="4">
        <v>0</v>
      </c>
      <c r="I654" s="4">
        <f>SUM(Tabela1[[#This Row],[Mão-de-obra (custo médio)]:[Materiais de troca (custo médio)]])</f>
        <v>0.11</v>
      </c>
      <c r="J654" s="4">
        <f>Tabela1[[#This Row],[Custos da os]]-Tabela1[[#This Row],[Custo dos insumos]]</f>
        <v>0</v>
      </c>
      <c r="K654" s="4" t="str">
        <f>IF(ABS(Tabela1[[#This Row],[Dif. Insumo e OS]])&lt;=0.02,"ok ou um centavo","verificar")</f>
        <v>ok ou um centavo</v>
      </c>
    </row>
    <row r="655" spans="1:11" hidden="1" x14ac:dyDescent="0.25">
      <c r="A655" s="3" t="s">
        <v>809</v>
      </c>
      <c r="B655" s="3" t="s">
        <v>810</v>
      </c>
      <c r="C655" s="4">
        <v>658.76</v>
      </c>
      <c r="D655" s="4">
        <v>0.22</v>
      </c>
      <c r="E655" s="4">
        <v>0</v>
      </c>
      <c r="F655" s="4">
        <v>0</v>
      </c>
      <c r="G655" s="4">
        <v>0</v>
      </c>
      <c r="H655" s="4">
        <v>658.54</v>
      </c>
      <c r="I655" s="4">
        <f>SUM(Tabela1[[#This Row],[Mão-de-obra (custo médio)]:[Materiais de troca (custo médio)]])</f>
        <v>658.76</v>
      </c>
      <c r="J655" s="4">
        <f>Tabela1[[#This Row],[Custos da os]]-Tabela1[[#This Row],[Custo dos insumos]]</f>
        <v>0</v>
      </c>
      <c r="K655" s="4" t="str">
        <f>IF(ABS(Tabela1[[#This Row],[Dif. Insumo e OS]])&lt;=0.02,"ok ou um centavo","verificar")</f>
        <v>ok ou um centavo</v>
      </c>
    </row>
    <row r="656" spans="1:11" hidden="1" x14ac:dyDescent="0.25">
      <c r="A656" s="3" t="s">
        <v>809</v>
      </c>
      <c r="B656" s="3" t="s">
        <v>811</v>
      </c>
      <c r="C656" s="4">
        <v>329.49</v>
      </c>
      <c r="D656" s="4">
        <v>0.22</v>
      </c>
      <c r="E656" s="4">
        <v>0</v>
      </c>
      <c r="F656" s="4">
        <v>0</v>
      </c>
      <c r="G656" s="4">
        <v>0</v>
      </c>
      <c r="H656" s="4">
        <v>329.27</v>
      </c>
      <c r="I656" s="4">
        <f>SUM(Tabela1[[#This Row],[Mão-de-obra (custo médio)]:[Materiais de troca (custo médio)]])</f>
        <v>329.49</v>
      </c>
      <c r="J656" s="4">
        <f>Tabela1[[#This Row],[Custos da os]]-Tabela1[[#This Row],[Custo dos insumos]]</f>
        <v>0</v>
      </c>
      <c r="K656" s="4" t="str">
        <f>IF(ABS(Tabela1[[#This Row],[Dif. Insumo e OS]])&lt;=0.02,"ok ou um centavo","verificar")</f>
        <v>ok ou um centavo</v>
      </c>
    </row>
    <row r="657" spans="1:11" hidden="1" x14ac:dyDescent="0.25">
      <c r="A657" s="3" t="s">
        <v>809</v>
      </c>
      <c r="B657" s="3" t="s">
        <v>812</v>
      </c>
      <c r="C657" s="4">
        <v>329.49</v>
      </c>
      <c r="D657" s="4">
        <v>0.22</v>
      </c>
      <c r="E657" s="4">
        <v>0</v>
      </c>
      <c r="F657" s="4">
        <v>0</v>
      </c>
      <c r="G657" s="4">
        <v>0</v>
      </c>
      <c r="H657" s="4">
        <v>329.27</v>
      </c>
      <c r="I657" s="4">
        <f>SUM(Tabela1[[#This Row],[Mão-de-obra (custo médio)]:[Materiais de troca (custo médio)]])</f>
        <v>329.49</v>
      </c>
      <c r="J657" s="4">
        <f>Tabela1[[#This Row],[Custos da os]]-Tabela1[[#This Row],[Custo dos insumos]]</f>
        <v>0</v>
      </c>
      <c r="K657" s="4" t="str">
        <f>IF(ABS(Tabela1[[#This Row],[Dif. Insumo e OS]])&lt;=0.02,"ok ou um centavo","verificar")</f>
        <v>ok ou um centavo</v>
      </c>
    </row>
    <row r="658" spans="1:11" hidden="1" x14ac:dyDescent="0.25">
      <c r="A658" s="3" t="s">
        <v>809</v>
      </c>
      <c r="B658" s="3" t="s">
        <v>813</v>
      </c>
      <c r="C658" s="4">
        <v>329.49</v>
      </c>
      <c r="D658" s="4">
        <v>0.22</v>
      </c>
      <c r="E658" s="4">
        <v>0</v>
      </c>
      <c r="F658" s="4">
        <v>0</v>
      </c>
      <c r="G658" s="4">
        <v>0</v>
      </c>
      <c r="H658" s="4">
        <v>329.27</v>
      </c>
      <c r="I658" s="4">
        <f>SUM(Tabela1[[#This Row],[Mão-de-obra (custo médio)]:[Materiais de troca (custo médio)]])</f>
        <v>329.49</v>
      </c>
      <c r="J658" s="4">
        <f>Tabela1[[#This Row],[Custos da os]]-Tabela1[[#This Row],[Custo dos insumos]]</f>
        <v>0</v>
      </c>
      <c r="K658" s="4" t="str">
        <f>IF(ABS(Tabela1[[#This Row],[Dif. Insumo e OS]])&lt;=0.02,"ok ou um centavo","verificar")</f>
        <v>ok ou um centavo</v>
      </c>
    </row>
    <row r="659" spans="1:11" hidden="1" x14ac:dyDescent="0.25">
      <c r="A659" s="3" t="s">
        <v>809</v>
      </c>
      <c r="B659" s="3" t="s">
        <v>814</v>
      </c>
      <c r="C659" s="4">
        <v>658.76</v>
      </c>
      <c r="D659" s="4">
        <v>0.22</v>
      </c>
      <c r="E659" s="4">
        <v>0</v>
      </c>
      <c r="F659" s="4">
        <v>0</v>
      </c>
      <c r="G659" s="4">
        <v>0</v>
      </c>
      <c r="H659" s="4">
        <v>658.54</v>
      </c>
      <c r="I659" s="4">
        <f>SUM(Tabela1[[#This Row],[Mão-de-obra (custo médio)]:[Materiais de troca (custo médio)]])</f>
        <v>658.76</v>
      </c>
      <c r="J659" s="4">
        <f>Tabela1[[#This Row],[Custos da os]]-Tabela1[[#This Row],[Custo dos insumos]]</f>
        <v>0</v>
      </c>
      <c r="K659" s="4" t="str">
        <f>IF(ABS(Tabela1[[#This Row],[Dif. Insumo e OS]])&lt;=0.02,"ok ou um centavo","verificar")</f>
        <v>ok ou um centavo</v>
      </c>
    </row>
    <row r="660" spans="1:11" hidden="1" x14ac:dyDescent="0.25">
      <c r="A660" s="3" t="s">
        <v>809</v>
      </c>
      <c r="B660" s="3" t="s">
        <v>815</v>
      </c>
      <c r="C660" s="4">
        <v>329.49</v>
      </c>
      <c r="D660" s="4">
        <v>0.22</v>
      </c>
      <c r="E660" s="4">
        <v>0</v>
      </c>
      <c r="F660" s="4">
        <v>0</v>
      </c>
      <c r="G660" s="4">
        <v>0</v>
      </c>
      <c r="H660" s="4">
        <v>329.27</v>
      </c>
      <c r="I660" s="4">
        <f>SUM(Tabela1[[#This Row],[Mão-de-obra (custo médio)]:[Materiais de troca (custo médio)]])</f>
        <v>329.49</v>
      </c>
      <c r="J660" s="4">
        <f>Tabela1[[#This Row],[Custos da os]]-Tabela1[[#This Row],[Custo dos insumos]]</f>
        <v>0</v>
      </c>
      <c r="K660" s="4" t="str">
        <f>IF(ABS(Tabela1[[#This Row],[Dif. Insumo e OS]])&lt;=0.02,"ok ou um centavo","verificar")</f>
        <v>ok ou um centavo</v>
      </c>
    </row>
    <row r="661" spans="1:11" hidden="1" x14ac:dyDescent="0.25">
      <c r="A661" s="3" t="s">
        <v>809</v>
      </c>
      <c r="B661" s="3" t="s">
        <v>816</v>
      </c>
      <c r="C661" s="4">
        <v>662.38</v>
      </c>
      <c r="D661" s="4">
        <v>0.22</v>
      </c>
      <c r="E661" s="4">
        <v>0</v>
      </c>
      <c r="F661" s="4">
        <v>0</v>
      </c>
      <c r="G661" s="4">
        <v>0</v>
      </c>
      <c r="H661" s="4">
        <v>662.16</v>
      </c>
      <c r="I661" s="4">
        <f>SUM(Tabela1[[#This Row],[Mão-de-obra (custo médio)]:[Materiais de troca (custo médio)]])</f>
        <v>662.38</v>
      </c>
      <c r="J661" s="4">
        <f>Tabela1[[#This Row],[Custos da os]]-Tabela1[[#This Row],[Custo dos insumos]]</f>
        <v>0</v>
      </c>
      <c r="K661" s="4" t="str">
        <f>IF(ABS(Tabela1[[#This Row],[Dif. Insumo e OS]])&lt;=0.02,"ok ou um centavo","verificar")</f>
        <v>ok ou um centavo</v>
      </c>
    </row>
    <row r="662" spans="1:11" hidden="1" x14ac:dyDescent="0.25">
      <c r="A662" s="3" t="s">
        <v>809</v>
      </c>
      <c r="B662" s="3" t="s">
        <v>817</v>
      </c>
      <c r="C662" s="4">
        <v>5.1100000000000003</v>
      </c>
      <c r="D662" s="4">
        <v>0.11</v>
      </c>
      <c r="E662" s="4">
        <v>0</v>
      </c>
      <c r="F662" s="4">
        <v>0</v>
      </c>
      <c r="G662" s="4">
        <v>0</v>
      </c>
      <c r="H662" s="4">
        <v>5</v>
      </c>
      <c r="I662" s="4">
        <f>SUM(Tabela1[[#This Row],[Mão-de-obra (custo médio)]:[Materiais de troca (custo médio)]])</f>
        <v>5.1100000000000003</v>
      </c>
      <c r="J662" s="4">
        <f>Tabela1[[#This Row],[Custos da os]]-Tabela1[[#This Row],[Custo dos insumos]]</f>
        <v>0</v>
      </c>
      <c r="K662" s="4" t="str">
        <f>IF(ABS(Tabela1[[#This Row],[Dif. Insumo e OS]])&lt;=0.02,"ok ou um centavo","verificar")</f>
        <v>ok ou um centavo</v>
      </c>
    </row>
    <row r="663" spans="1:11" hidden="1" x14ac:dyDescent="0.25">
      <c r="A663" s="3" t="s">
        <v>809</v>
      </c>
      <c r="B663" s="3" t="s">
        <v>818</v>
      </c>
      <c r="C663" s="4">
        <v>0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f>SUM(Tabela1[[#This Row],[Mão-de-obra (custo médio)]:[Materiais de troca (custo médio)]])</f>
        <v>0</v>
      </c>
      <c r="J663" s="4">
        <f>Tabela1[[#This Row],[Custos da os]]-Tabela1[[#This Row],[Custo dos insumos]]</f>
        <v>0</v>
      </c>
      <c r="K663" s="4" t="str">
        <f>IF(ABS(Tabela1[[#This Row],[Dif. Insumo e OS]])&lt;=0.02,"ok ou um centavo","verificar")</f>
        <v>ok ou um centavo</v>
      </c>
    </row>
    <row r="664" spans="1:11" hidden="1" x14ac:dyDescent="0.25">
      <c r="A664" s="3" t="s">
        <v>819</v>
      </c>
      <c r="B664" s="3" t="s">
        <v>820</v>
      </c>
      <c r="C664" s="4">
        <v>1646.57</v>
      </c>
      <c r="D664" s="4">
        <v>0.22</v>
      </c>
      <c r="E664" s="4">
        <v>0</v>
      </c>
      <c r="F664" s="4">
        <v>0</v>
      </c>
      <c r="G664" s="4">
        <v>0</v>
      </c>
      <c r="H664" s="4">
        <v>1646.35</v>
      </c>
      <c r="I664" s="4">
        <f>SUM(Tabela1[[#This Row],[Mão-de-obra (custo médio)]:[Materiais de troca (custo médio)]])</f>
        <v>1646.57</v>
      </c>
      <c r="J664" s="4">
        <f>Tabela1[[#This Row],[Custos da os]]-Tabela1[[#This Row],[Custo dos insumos]]</f>
        <v>0</v>
      </c>
      <c r="K664" s="4" t="str">
        <f>IF(ABS(Tabela1[[#This Row],[Dif. Insumo e OS]])&lt;=0.02,"ok ou um centavo","verificar")</f>
        <v>ok ou um centavo</v>
      </c>
    </row>
    <row r="665" spans="1:11" hidden="1" x14ac:dyDescent="0.25">
      <c r="A665" s="3" t="s">
        <v>819</v>
      </c>
      <c r="B665" s="3" t="s">
        <v>821</v>
      </c>
      <c r="C665" s="4">
        <v>5.22</v>
      </c>
      <c r="D665" s="4">
        <v>0.22</v>
      </c>
      <c r="E665" s="4">
        <v>0</v>
      </c>
      <c r="F665" s="4">
        <v>0</v>
      </c>
      <c r="G665" s="4">
        <v>0</v>
      </c>
      <c r="H665" s="4">
        <v>5</v>
      </c>
      <c r="I665" s="4">
        <f>SUM(Tabela1[[#This Row],[Mão-de-obra (custo médio)]:[Materiais de troca (custo médio)]])</f>
        <v>5.22</v>
      </c>
      <c r="J665" s="4">
        <f>Tabela1[[#This Row],[Custos da os]]-Tabela1[[#This Row],[Custo dos insumos]]</f>
        <v>0</v>
      </c>
      <c r="K665" s="4" t="str">
        <f>IF(ABS(Tabela1[[#This Row],[Dif. Insumo e OS]])&lt;=0.02,"ok ou um centavo","verificar")</f>
        <v>ok ou um centavo</v>
      </c>
    </row>
    <row r="666" spans="1:11" hidden="1" x14ac:dyDescent="0.25">
      <c r="A666" s="3" t="s">
        <v>819</v>
      </c>
      <c r="B666" s="3" t="s">
        <v>822</v>
      </c>
      <c r="C666" s="4">
        <v>329.49</v>
      </c>
      <c r="D666" s="4">
        <v>0.22</v>
      </c>
      <c r="E666" s="4">
        <v>0</v>
      </c>
      <c r="F666" s="4">
        <v>0</v>
      </c>
      <c r="G666" s="4">
        <v>0</v>
      </c>
      <c r="H666" s="4">
        <v>329.27</v>
      </c>
      <c r="I666" s="4">
        <f>SUM(Tabela1[[#This Row],[Mão-de-obra (custo médio)]:[Materiais de troca (custo médio)]])</f>
        <v>329.49</v>
      </c>
      <c r="J666" s="4">
        <f>Tabela1[[#This Row],[Custos da os]]-Tabela1[[#This Row],[Custo dos insumos]]</f>
        <v>0</v>
      </c>
      <c r="K666" s="4" t="str">
        <f>IF(ABS(Tabela1[[#This Row],[Dif. Insumo e OS]])&lt;=0.02,"ok ou um centavo","verificar")</f>
        <v>ok ou um centavo</v>
      </c>
    </row>
    <row r="667" spans="1:11" hidden="1" x14ac:dyDescent="0.25">
      <c r="A667" s="3" t="s">
        <v>819</v>
      </c>
      <c r="B667" s="3" t="s">
        <v>823</v>
      </c>
      <c r="C667" s="4">
        <v>123.41</v>
      </c>
      <c r="D667" s="4">
        <v>94.11</v>
      </c>
      <c r="E667" s="4">
        <v>0</v>
      </c>
      <c r="F667" s="4">
        <v>0</v>
      </c>
      <c r="G667" s="4">
        <v>0</v>
      </c>
      <c r="H667" s="4">
        <v>29.3</v>
      </c>
      <c r="I667" s="4">
        <f>SUM(Tabela1[[#This Row],[Mão-de-obra (custo médio)]:[Materiais de troca (custo médio)]])</f>
        <v>123.41</v>
      </c>
      <c r="J667" s="4">
        <f>Tabela1[[#This Row],[Custos da os]]-Tabela1[[#This Row],[Custo dos insumos]]</f>
        <v>0</v>
      </c>
      <c r="K667" s="4" t="str">
        <f>IF(ABS(Tabela1[[#This Row],[Dif. Insumo e OS]])&lt;=0.02,"ok ou um centavo","verificar")</f>
        <v>ok ou um centavo</v>
      </c>
    </row>
    <row r="668" spans="1:11" hidden="1" x14ac:dyDescent="0.25">
      <c r="A668" s="3" t="s">
        <v>819</v>
      </c>
      <c r="B668" s="3" t="s">
        <v>824</v>
      </c>
      <c r="C668" s="4">
        <v>418.16</v>
      </c>
      <c r="D668" s="4">
        <v>418.17</v>
      </c>
      <c r="E668" s="4">
        <v>0</v>
      </c>
      <c r="F668" s="4">
        <v>0</v>
      </c>
      <c r="G668" s="4">
        <v>0</v>
      </c>
      <c r="H668" s="4">
        <v>0</v>
      </c>
      <c r="I668" s="4">
        <f>SUM(Tabela1[[#This Row],[Mão-de-obra (custo médio)]:[Materiais de troca (custo médio)]])</f>
        <v>418.17</v>
      </c>
      <c r="J668" s="4">
        <f>Tabela1[[#This Row],[Custos da os]]-Tabela1[[#This Row],[Custo dos insumos]]</f>
        <v>9.9999999999909051E-3</v>
      </c>
      <c r="K668" s="4" t="str">
        <f>IF(ABS(Tabela1[[#This Row],[Dif. Insumo e OS]])&lt;=0.02,"ok ou um centavo","verificar")</f>
        <v>ok ou um centavo</v>
      </c>
    </row>
    <row r="669" spans="1:11" hidden="1" x14ac:dyDescent="0.25">
      <c r="A669" s="3" t="s">
        <v>819</v>
      </c>
      <c r="B669" s="3" t="s">
        <v>825</v>
      </c>
      <c r="C669" s="4">
        <v>438.33</v>
      </c>
      <c r="D669" s="4">
        <v>54.71</v>
      </c>
      <c r="E669" s="4">
        <v>0</v>
      </c>
      <c r="F669" s="4">
        <v>0</v>
      </c>
      <c r="G669" s="4">
        <v>383.62</v>
      </c>
      <c r="H669" s="4">
        <v>0</v>
      </c>
      <c r="I669" s="4">
        <f>SUM(Tabela1[[#This Row],[Mão-de-obra (custo médio)]:[Materiais de troca (custo médio)]])</f>
        <v>438.33</v>
      </c>
      <c r="J669" s="4">
        <f>Tabela1[[#This Row],[Custos da os]]-Tabela1[[#This Row],[Custo dos insumos]]</f>
        <v>0</v>
      </c>
      <c r="K669" s="4" t="str">
        <f>IF(ABS(Tabela1[[#This Row],[Dif. Insumo e OS]])&lt;=0.02,"ok ou um centavo","verificar")</f>
        <v>ok ou um centavo</v>
      </c>
    </row>
    <row r="670" spans="1:11" hidden="1" x14ac:dyDescent="0.25">
      <c r="A670" s="3" t="s">
        <v>819</v>
      </c>
      <c r="B670" s="3" t="s">
        <v>826</v>
      </c>
      <c r="C670" s="4">
        <v>6093.45</v>
      </c>
      <c r="D670" s="4">
        <v>514.14</v>
      </c>
      <c r="E670" s="4">
        <v>0</v>
      </c>
      <c r="F670" s="4">
        <v>0</v>
      </c>
      <c r="G670" s="4">
        <v>2419.98</v>
      </c>
      <c r="H670" s="4">
        <v>3159.34</v>
      </c>
      <c r="I670" s="4">
        <f>SUM(Tabela1[[#This Row],[Mão-de-obra (custo médio)]:[Materiais de troca (custo médio)]])</f>
        <v>6093.46</v>
      </c>
      <c r="J670" s="4">
        <f>Tabela1[[#This Row],[Custos da os]]-Tabela1[[#This Row],[Custo dos insumos]]</f>
        <v>1.0000000000218279E-2</v>
      </c>
      <c r="K670" s="4" t="str">
        <f>IF(ABS(Tabela1[[#This Row],[Dif. Insumo e OS]])&lt;=0.02,"ok ou um centavo","verificar")</f>
        <v>ok ou um centavo</v>
      </c>
    </row>
    <row r="671" spans="1:11" hidden="1" x14ac:dyDescent="0.25">
      <c r="A671" s="3" t="s">
        <v>819</v>
      </c>
      <c r="B671" s="3" t="s">
        <v>827</v>
      </c>
      <c r="C671" s="4">
        <v>0.46</v>
      </c>
      <c r="D671" s="4">
        <v>0.46</v>
      </c>
      <c r="E671" s="4">
        <v>0</v>
      </c>
      <c r="F671" s="4">
        <v>0</v>
      </c>
      <c r="G671" s="4">
        <v>0</v>
      </c>
      <c r="H671" s="4">
        <v>0</v>
      </c>
      <c r="I671" s="4">
        <f>SUM(Tabela1[[#This Row],[Mão-de-obra (custo médio)]:[Materiais de troca (custo médio)]])</f>
        <v>0.46</v>
      </c>
      <c r="J671" s="4">
        <f>Tabela1[[#This Row],[Custos da os]]-Tabela1[[#This Row],[Custo dos insumos]]</f>
        <v>0</v>
      </c>
      <c r="K671" s="4" t="str">
        <f>IF(ABS(Tabela1[[#This Row],[Dif. Insumo e OS]])&lt;=0.02,"ok ou um centavo","verificar")</f>
        <v>ok ou um centavo</v>
      </c>
    </row>
    <row r="672" spans="1:11" x14ac:dyDescent="0.25">
      <c r="A672" s="3" t="s">
        <v>828</v>
      </c>
      <c r="B672" s="3"/>
      <c r="C672" s="3">
        <f>SUBTOTAL(109,Tabela1[Custo dos insumos])</f>
        <v>125024.64999999998</v>
      </c>
      <c r="D672" s="3">
        <f>SUBTOTAL(109,Tabela1[Mão-de-obra (custo médio)])</f>
        <v>4608.2699999999995</v>
      </c>
      <c r="E672" s="3">
        <f>SUBTOTAL(109,Tabela1[Terceiros (custo médio)])</f>
        <v>7403.02</v>
      </c>
      <c r="F672" s="3">
        <f>SUBTOTAL(109,Tabela1[Materiais de apoio (custo médio)])</f>
        <v>31512.35</v>
      </c>
      <c r="G672" s="3">
        <f>SUBTOTAL(109,Tabela1[Materiais de substituição (custo médio)])</f>
        <v>80302.78</v>
      </c>
      <c r="H672" s="3">
        <f>SUBTOTAL(109,Tabela1[Materiais de troca (custo médio)])</f>
        <v>145473.13999999998</v>
      </c>
      <c r="I672" s="3"/>
      <c r="J672" s="3"/>
      <c r="K672" s="3"/>
    </row>
  </sheetData>
  <pageMargins left="0.7" right="0.7" top="0.75" bottom="0.75" header="0.45" footer="0.45"/>
  <pageSetup paperSize="9" orientation="portrait"/>
  <headerFooter>
    <oddHeader>&amp;L&amp;20TESTE custo por bem do total de insumos e por tipo de custo&amp;R&amp;D</oddHeader>
    <oddFooter>&amp;RPage &amp;P/&amp;N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TESTE custo por bem do to...</vt:lpstr>
      <vt:lpstr>'1. TESTE custo por bem do to...'!Titulos_de_impressao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2021-11-24T13:40:57Z</dcterms:created>
  <dcterms:modified xsi:type="dcterms:W3CDTF">2021-11-24T14:30:57Z</dcterms:modified>
</cp:coreProperties>
</file>