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ERAÇÃO\Desktop\"/>
    </mc:Choice>
  </mc:AlternateContent>
  <bookViews>
    <workbookView xWindow="0" yWindow="0" windowWidth="20490" windowHeight="8925" activeTab="1"/>
  </bookViews>
  <sheets>
    <sheet name="DINAMICA" sheetId="2" r:id="rId1"/>
    <sheet name="PAINEL" sheetId="3" r:id="rId2"/>
    <sheet name="BD" sheetId="1" r:id="rId3"/>
  </sheets>
  <externalReferences>
    <externalReference r:id="rId4"/>
  </externalReferences>
  <definedNames>
    <definedName name="_xlnm.Print_Area" localSheetId="1">PAINEL!$A$1:$L$28</definedName>
  </definedNames>
  <calcPr calcId="152511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1" l="1"/>
  <c r="B17" i="1" s="1"/>
  <c r="C17" i="1" s="1"/>
  <c r="A16" i="1"/>
  <c r="B16" i="1" s="1"/>
  <c r="C16" i="1" s="1"/>
  <c r="A15" i="1"/>
  <c r="B15" i="1" s="1"/>
  <c r="C15" i="1" s="1"/>
  <c r="A14" i="1"/>
  <c r="B14" i="1" s="1"/>
  <c r="C14" i="1" s="1"/>
  <c r="A13" i="1"/>
  <c r="B13" i="1" s="1"/>
  <c r="C13" i="1" s="1"/>
  <c r="A12" i="1"/>
  <c r="B12" i="1" s="1"/>
  <c r="C12" i="1" s="1"/>
  <c r="A11" i="1"/>
  <c r="B11" i="1" s="1"/>
  <c r="C11" i="1" s="1"/>
  <c r="A10" i="1"/>
  <c r="B10" i="1" s="1"/>
  <c r="C10" i="1" s="1"/>
  <c r="A9" i="1"/>
  <c r="B9" i="1" s="1"/>
  <c r="C9" i="1" s="1"/>
  <c r="A8" i="1"/>
  <c r="B8" i="1" s="1"/>
  <c r="C8" i="1" s="1"/>
  <c r="A7" i="1"/>
  <c r="B7" i="1" s="1"/>
  <c r="C7" i="1" s="1"/>
  <c r="A6" i="1"/>
  <c r="B6" i="1" s="1"/>
  <c r="C6" i="1" s="1"/>
  <c r="A5" i="1"/>
  <c r="B5" i="1" s="1"/>
  <c r="C5" i="1" s="1"/>
  <c r="A4" i="1"/>
  <c r="B4" i="1" s="1"/>
  <c r="C4" i="1" s="1"/>
  <c r="A3" i="1"/>
  <c r="B3" i="1" s="1"/>
  <c r="C3" i="1" s="1"/>
  <c r="A2" i="1"/>
  <c r="B2" i="1" s="1"/>
  <c r="C2" i="1" s="1"/>
  <c r="B28" i="2"/>
  <c r="B26" i="2"/>
  <c r="B44" i="2"/>
  <c r="B27" i="2"/>
  <c r="B43" i="2"/>
  <c r="B8" i="2"/>
  <c r="B42" i="2"/>
  <c r="B10" i="2"/>
  <c r="B9" i="2"/>
  <c r="B46" i="2" l="1"/>
  <c r="D44" i="2" s="1"/>
  <c r="D42" i="2"/>
  <c r="B30" i="2"/>
  <c r="D26" i="2" s="1"/>
  <c r="B12" i="2"/>
  <c r="D10" i="2" s="1"/>
  <c r="D8" i="2"/>
  <c r="D28" i="2" l="1"/>
  <c r="D27" i="2"/>
  <c r="D9" i="2"/>
  <c r="D43" i="2"/>
</calcChain>
</file>

<file path=xl/sharedStrings.xml><?xml version="1.0" encoding="utf-8"?>
<sst xmlns="http://schemas.openxmlformats.org/spreadsheetml/2006/main" count="103" uniqueCount="76">
  <si>
    <t>PLACA</t>
  </si>
  <si>
    <t>Prefixo</t>
  </si>
  <si>
    <t>TIPO</t>
  </si>
  <si>
    <t>Equipamento</t>
  </si>
  <si>
    <t>Data/Hora Inicial</t>
  </si>
  <si>
    <t>Data/Hora Final</t>
  </si>
  <si>
    <t>Horímetro Inicial</t>
  </si>
  <si>
    <t>Horímetro Final</t>
  </si>
  <si>
    <t>Total Horímetro</t>
  </si>
  <si>
    <t>Odômetro Inicial</t>
  </si>
  <si>
    <t>Odômetro Final</t>
  </si>
  <si>
    <t>Distância Percorrida</t>
  </si>
  <si>
    <t>Velocidade Média</t>
  </si>
  <si>
    <t>Velocidade Máxima</t>
  </si>
  <si>
    <t>RPM Médio</t>
  </si>
  <si>
    <t>RPM Máximo</t>
  </si>
  <si>
    <t>Ligado Parado</t>
  </si>
  <si>
    <t>Movimento</t>
  </si>
  <si>
    <t>Motor Desligado</t>
  </si>
  <si>
    <t>KAL0006</t>
  </si>
  <si>
    <t>ORR3024</t>
  </si>
  <si>
    <t>ORR3204</t>
  </si>
  <si>
    <t>POW7309</t>
  </si>
  <si>
    <t>POW8679</t>
  </si>
  <si>
    <t>UEP0015</t>
  </si>
  <si>
    <t>EQUIPAMENTO</t>
  </si>
  <si>
    <t>URS0017</t>
  </si>
  <si>
    <t>CAVALO MECÂNICO</t>
  </si>
  <si>
    <t>Soma de Ligado Parado</t>
  </si>
  <si>
    <t>Soma de Movimento</t>
  </si>
  <si>
    <t>Soma de Motor Desligado</t>
  </si>
  <si>
    <t>ACOMPANHAMENTO MENSAL % EQUIPAMENTOS</t>
  </si>
  <si>
    <t>PME0460</t>
  </si>
  <si>
    <t>(Vários itens)</t>
  </si>
  <si>
    <t>PERÍODO</t>
  </si>
  <si>
    <t>KAL0005</t>
  </si>
  <si>
    <t>UNH0002</t>
  </si>
  <si>
    <t>UNH0003</t>
  </si>
  <si>
    <t>URS0010</t>
  </si>
  <si>
    <t>URS0016</t>
  </si>
  <si>
    <t>URS0012</t>
  </si>
  <si>
    <t>POT8840</t>
  </si>
  <si>
    <t>220133.2</t>
  </si>
  <si>
    <t>22344.1</t>
  </si>
  <si>
    <t>2572.23</t>
  </si>
  <si>
    <t>KAL0007</t>
  </si>
  <si>
    <t>26172.92</t>
  </si>
  <si>
    <t>230359.74</t>
  </si>
  <si>
    <t>473178.03</t>
  </si>
  <si>
    <t>211311.5</t>
  </si>
  <si>
    <t>240569.28</t>
  </si>
  <si>
    <t>11759.87</t>
  </si>
  <si>
    <t>1772.8</t>
  </si>
  <si>
    <t>1277.45</t>
  </si>
  <si>
    <t>16577.62</t>
  </si>
  <si>
    <t>23090.98</t>
  </si>
  <si>
    <t>571.98</t>
  </si>
  <si>
    <t>494.06</t>
  </si>
  <si>
    <t>01/03 até 15/03</t>
  </si>
  <si>
    <t>22476.68</t>
  </si>
  <si>
    <t>2763.44</t>
  </si>
  <si>
    <t>26172.97</t>
  </si>
  <si>
    <t>220213.33</t>
  </si>
  <si>
    <t>231515.98</t>
  </si>
  <si>
    <t>475961.12</t>
  </si>
  <si>
    <t>191732.87</t>
  </si>
  <si>
    <t>193093.69</t>
  </si>
  <si>
    <t>212511.24</t>
  </si>
  <si>
    <t>241992.78</t>
  </si>
  <si>
    <t>11889.66</t>
  </si>
  <si>
    <t>1898.36</t>
  </si>
  <si>
    <t>1348.54</t>
  </si>
  <si>
    <t>16597.62</t>
  </si>
  <si>
    <t>23146.25</t>
  </si>
  <si>
    <t>621.33</t>
  </si>
  <si>
    <t>548.8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</si>
</sst>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666666"/>
      <name val="Open Sans"/>
    </font>
    <font>
      <sz val="10"/>
      <color rgb="FF666666"/>
      <name val="Open Sans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23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/>
      <diagonal/>
    </border>
    <border>
      <left/>
      <right/>
      <top style="medium">
        <color rgb="FFE3E3E3"/>
      </top>
      <bottom/>
      <diagonal/>
    </border>
    <border>
      <left/>
      <right style="medium">
        <color rgb="FFE3E3E3"/>
      </right>
      <top style="medium">
        <color rgb="FFE3E3E3"/>
      </top>
      <bottom/>
      <diagonal/>
    </border>
    <border>
      <left style="medium">
        <color rgb="FFE3E3E3"/>
      </left>
      <right/>
      <top/>
      <bottom style="medium">
        <color rgb="FFEAEAEA"/>
      </bottom>
      <diagonal/>
    </border>
    <border>
      <left style="medium">
        <color rgb="FFE3E3E3"/>
      </left>
      <right/>
      <top style="medium">
        <color rgb="FFE3E3E3"/>
      </top>
      <bottom style="medium">
        <color rgb="FFEAEAEA"/>
      </bottom>
      <diagonal/>
    </border>
    <border>
      <left/>
      <right/>
      <top style="medium">
        <color rgb="FFE3E3E3"/>
      </top>
      <bottom style="medium">
        <color rgb="FFEAEAEA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AEAEA"/>
      </bottom>
      <diagonal/>
    </border>
    <border>
      <left/>
      <right/>
      <top/>
      <bottom style="medium">
        <color rgb="FFEAEAEA"/>
      </bottom>
      <diagonal/>
    </border>
    <border>
      <left/>
      <right style="medium">
        <color rgb="FFE3E3E3"/>
      </right>
      <top/>
      <bottom style="medium">
        <color rgb="FFEAEAEA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/>
      <bottom style="medium">
        <color rgb="FFE3E3E3"/>
      </bottom>
      <diagonal/>
    </border>
    <border>
      <left/>
      <right style="medium">
        <color rgb="FFE3E3E3"/>
      </right>
      <top/>
      <bottom style="medium">
        <color rgb="FFE3E3E3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22" fontId="4" fillId="3" borderId="6" xfId="0" applyNumberFormat="1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22" fontId="4" fillId="4" borderId="8" xfId="0" applyNumberFormat="1" applyFont="1" applyFill="1" applyBorder="1" applyAlignment="1">
      <alignment horizontal="center" vertical="top" wrapText="1"/>
    </xf>
    <xf numFmtId="4" fontId="4" fillId="4" borderId="8" xfId="0" applyNumberFormat="1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46" fontId="4" fillId="4" borderId="8" xfId="0" applyNumberFormat="1" applyFont="1" applyFill="1" applyBorder="1" applyAlignment="1">
      <alignment horizontal="center" vertical="top" wrapText="1"/>
    </xf>
    <xf numFmtId="46" fontId="4" fillId="4" borderId="9" xfId="0" applyNumberFormat="1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22" fontId="4" fillId="3" borderId="8" xfId="0" applyNumberFormat="1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46" fontId="4" fillId="3" borderId="8" xfId="0" applyNumberFormat="1" applyFont="1" applyFill="1" applyBorder="1" applyAlignment="1">
      <alignment horizontal="center" vertical="top" wrapText="1"/>
    </xf>
    <xf numFmtId="46" fontId="4" fillId="3" borderId="9" xfId="0" applyNumberFormat="1" applyFont="1" applyFill="1" applyBorder="1" applyAlignment="1">
      <alignment horizontal="center" vertical="top" wrapText="1"/>
    </xf>
    <xf numFmtId="21" fontId="4" fillId="4" borderId="8" xfId="0" applyNumberFormat="1" applyFont="1" applyFill="1" applyBorder="1" applyAlignment="1">
      <alignment horizontal="center" vertical="top" wrapText="1"/>
    </xf>
    <xf numFmtId="4" fontId="4" fillId="3" borderId="8" xfId="0" applyNumberFormat="1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0" fillId="0" borderId="0" xfId="0" pivotButton="1"/>
    <xf numFmtId="0" fontId="2" fillId="5" borderId="14" xfId="0" applyFont="1" applyFill="1" applyBorder="1"/>
    <xf numFmtId="164" fontId="0" fillId="0" borderId="0" xfId="0" applyNumberFormat="1"/>
    <xf numFmtId="164" fontId="2" fillId="5" borderId="14" xfId="0" applyNumberFormat="1" applyFont="1" applyFill="1" applyBorder="1"/>
    <xf numFmtId="10" fontId="0" fillId="0" borderId="0" xfId="1" applyNumberFormat="1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" fontId="4" fillId="3" borderId="6" xfId="0" applyNumberFormat="1" applyFont="1" applyFill="1" applyBorder="1" applyAlignment="1">
      <alignment horizontal="center" vertical="top" wrapText="1"/>
    </xf>
    <xf numFmtId="46" fontId="4" fillId="3" borderId="7" xfId="0" applyNumberFormat="1" applyFont="1" applyFill="1" applyBorder="1" applyAlignment="1">
      <alignment horizontal="center" vertical="top" wrapText="1"/>
    </xf>
    <xf numFmtId="21" fontId="4" fillId="3" borderId="8" xfId="0" applyNumberFormat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46" fontId="4" fillId="3" borderId="6" xfId="0" applyNumberFormat="1" applyFont="1" applyFill="1" applyBorder="1" applyAlignment="1">
      <alignment horizontal="center" vertical="top" wrapText="1"/>
    </xf>
    <xf numFmtId="21" fontId="4" fillId="3" borderId="9" xfId="0" applyNumberFormat="1" applyFont="1" applyFill="1" applyBorder="1" applyAlignment="1">
      <alignment horizontal="center" vertical="top" wrapText="1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21" fontId="4" fillId="3" borderId="6" xfId="0" applyNumberFormat="1" applyFont="1" applyFill="1" applyBorder="1" applyAlignment="1">
      <alignment horizontal="center" vertical="top" wrapText="1"/>
    </xf>
    <xf numFmtId="0" fontId="4" fillId="7" borderId="10" xfId="0" applyFont="1" applyFill="1" applyBorder="1" applyAlignment="1">
      <alignment horizontal="center" vertical="top" wrapText="1"/>
    </xf>
    <xf numFmtId="22" fontId="4" fillId="7" borderId="12" xfId="0" applyNumberFormat="1" applyFont="1" applyFill="1" applyBorder="1" applyAlignment="1">
      <alignment horizontal="center" vertical="top" wrapText="1"/>
    </xf>
    <xf numFmtId="4" fontId="4" fillId="7" borderId="12" xfId="0" applyNumberFormat="1" applyFont="1" applyFill="1" applyBorder="1" applyAlignment="1">
      <alignment horizontal="center" vertical="top" wrapText="1"/>
    </xf>
    <xf numFmtId="0" fontId="4" fillId="7" borderId="12" xfId="0" applyFont="1" applyFill="1" applyBorder="1" applyAlignment="1">
      <alignment horizontal="center" vertical="top" wrapText="1"/>
    </xf>
    <xf numFmtId="46" fontId="4" fillId="7" borderId="12" xfId="0" applyNumberFormat="1" applyFont="1" applyFill="1" applyBorder="1" applyAlignment="1">
      <alignment horizontal="center" vertical="top" wrapText="1"/>
    </xf>
    <xf numFmtId="21" fontId="4" fillId="7" borderId="12" xfId="0" applyNumberFormat="1" applyFont="1" applyFill="1" applyBorder="1" applyAlignment="1">
      <alignment horizontal="center" vertical="top" wrapText="1"/>
    </xf>
    <xf numFmtId="46" fontId="4" fillId="7" borderId="13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orcentagem" xfId="1" builtinId="5"/>
  </cellStyles>
  <dxfs count="12"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  <dxf>
      <numFmt numFmtId="164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%STATUS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DINAMICA!$C$8:$C$10</c:f>
              <c:strCache>
                <c:ptCount val="3"/>
                <c:pt idx="0">
                  <c:v>Ligado Parado</c:v>
                </c:pt>
                <c:pt idx="1">
                  <c:v>Movimento</c:v>
                </c:pt>
                <c:pt idx="2">
                  <c:v>Motor Desligado</c:v>
                </c:pt>
              </c:strCache>
            </c:strRef>
          </c:cat>
          <c:val>
            <c:numRef>
              <c:f>DINAMICA!$D$8:$D$10</c:f>
              <c:numCache>
                <c:formatCode>0.00%</c:formatCode>
                <c:ptCount val="3"/>
                <c:pt idx="0">
                  <c:v>0.2012188653389467</c:v>
                </c:pt>
                <c:pt idx="1">
                  <c:v>8.5812972080700781E-2</c:v>
                </c:pt>
                <c:pt idx="2">
                  <c:v>0.71296816258035256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</a:t>
            </a:r>
            <a:r>
              <a:rPr lang="pt-BR" baseline="0"/>
              <a:t>CAVALOS MECÂNICOS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DINAMICA!$C$26:$C$28</c:f>
              <c:strCache>
                <c:ptCount val="3"/>
                <c:pt idx="0">
                  <c:v>Ligado Parado</c:v>
                </c:pt>
                <c:pt idx="1">
                  <c:v>Movimento</c:v>
                </c:pt>
                <c:pt idx="2">
                  <c:v>Motor Desligado</c:v>
                </c:pt>
              </c:strCache>
            </c:strRef>
          </c:cat>
          <c:val>
            <c:numRef>
              <c:f>DINAMICA!$D$26:$D$28</c:f>
              <c:numCache>
                <c:formatCode>0.00%</c:formatCode>
                <c:ptCount val="3"/>
                <c:pt idx="0">
                  <c:v>0.24998503164979458</c:v>
                </c:pt>
                <c:pt idx="1">
                  <c:v>0.1765873913052026</c:v>
                </c:pt>
                <c:pt idx="2">
                  <c:v>0.57342757704500291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EQUIPAMENTOS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DINAMICA!$C$42:$C$44</c:f>
              <c:strCache>
                <c:ptCount val="3"/>
                <c:pt idx="0">
                  <c:v>Ligado Parado</c:v>
                </c:pt>
                <c:pt idx="1">
                  <c:v>Movimento</c:v>
                </c:pt>
                <c:pt idx="2">
                  <c:v>Motor Desligado</c:v>
                </c:pt>
              </c:strCache>
            </c:strRef>
          </c:cat>
          <c:val>
            <c:numRef>
              <c:f>DINAMICA!$D$42:$D$44</c:f>
              <c:numCache>
                <c:formatCode>0.00%</c:formatCode>
                <c:ptCount val="3"/>
                <c:pt idx="0">
                  <c:v>0.17786522833719948</c:v>
                </c:pt>
                <c:pt idx="1">
                  <c:v>4.2341996279556725E-2</c:v>
                </c:pt>
                <c:pt idx="2">
                  <c:v>0.77979277538324387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4</xdr:row>
      <xdr:rowOff>28573</xdr:rowOff>
    </xdr:from>
    <xdr:to>
      <xdr:col>5</xdr:col>
      <xdr:colOff>219074</xdr:colOff>
      <xdr:row>26</xdr:row>
      <xdr:rowOff>142874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238124</xdr:colOff>
      <xdr:row>4</xdr:row>
      <xdr:rowOff>28575</xdr:rowOff>
    </xdr:from>
    <xdr:to>
      <xdr:col>10</xdr:col>
      <xdr:colOff>581025</xdr:colOff>
      <xdr:row>15</xdr:row>
      <xdr:rowOff>57150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15</xdr:row>
      <xdr:rowOff>76200</xdr:rowOff>
    </xdr:from>
    <xdr:to>
      <xdr:col>10</xdr:col>
      <xdr:colOff>571500</xdr:colOff>
      <xdr:row>26</xdr:row>
      <xdr:rowOff>161926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19050</xdr:colOff>
      <xdr:row>2</xdr:row>
      <xdr:rowOff>19050</xdr:rowOff>
    </xdr:from>
    <xdr:to>
      <xdr:col>1</xdr:col>
      <xdr:colOff>981075</xdr:colOff>
      <xdr:row>3</xdr:row>
      <xdr:rowOff>169586</xdr:rowOff>
    </xdr:to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61" t="35047" r="10212" b="33645"/>
        <a:stretch/>
      </xdr:blipFill>
      <xdr:spPr>
        <a:xfrm>
          <a:off x="85725" y="409575"/>
          <a:ext cx="962025" cy="3410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ORIO%20SASCAR%20UNILI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DINAMICAS"/>
      <sheetName val="PAINEL"/>
      <sheetName val="FROTAS SASCAR"/>
      <sheetName val="DINAMICA ALERTAS"/>
      <sheetName val="Plan1"/>
      <sheetName val="BD ALERTAS"/>
    </sheetNames>
    <sheetDataSet>
      <sheetData sheetId="0"/>
      <sheetData sheetId="1"/>
      <sheetData sheetId="2"/>
      <sheetData sheetId="3">
        <row r="2">
          <cell r="A2" t="str">
            <v>UEP0011</v>
          </cell>
          <cell r="B2" t="str">
            <v>EP11</v>
          </cell>
          <cell r="C2" t="str">
            <v>EQUIPAMENTO</v>
          </cell>
        </row>
        <row r="3">
          <cell r="A3" t="str">
            <v>UEP0015</v>
          </cell>
          <cell r="B3" t="str">
            <v>EP15</v>
          </cell>
          <cell r="C3" t="str">
            <v>EQUIPAMENTO</v>
          </cell>
        </row>
        <row r="4">
          <cell r="A4" t="str">
            <v>UNH0001</v>
          </cell>
          <cell r="B4" t="str">
            <v>H01</v>
          </cell>
          <cell r="C4" t="str">
            <v>EQUIPAMENTO</v>
          </cell>
        </row>
        <row r="5">
          <cell r="A5" t="str">
            <v>KAL0002</v>
          </cell>
          <cell r="B5" t="str">
            <v>KAL02</v>
          </cell>
          <cell r="C5" t="str">
            <v>EQUIPAMENTO</v>
          </cell>
        </row>
        <row r="6">
          <cell r="A6" t="str">
            <v>KAL0003</v>
          </cell>
          <cell r="B6" t="str">
            <v>KAL03</v>
          </cell>
          <cell r="C6" t="str">
            <v>EQUIPAMENTO</v>
          </cell>
        </row>
        <row r="7">
          <cell r="A7" t="str">
            <v>KAL0004</v>
          </cell>
          <cell r="B7" t="str">
            <v>KAL04</v>
          </cell>
          <cell r="C7" t="str">
            <v>EQUIPAMENTO</v>
          </cell>
        </row>
        <row r="8">
          <cell r="A8" t="str">
            <v>KAL0005</v>
          </cell>
          <cell r="B8" t="str">
            <v>KAL05</v>
          </cell>
          <cell r="C8" t="str">
            <v>EQUIPAMENTO</v>
          </cell>
        </row>
        <row r="9">
          <cell r="A9" t="str">
            <v>KAL0006</v>
          </cell>
          <cell r="B9" t="str">
            <v>KAL06</v>
          </cell>
          <cell r="C9" t="str">
            <v>EQUIPAMENTO</v>
          </cell>
        </row>
        <row r="10">
          <cell r="A10" t="str">
            <v>KAL0007</v>
          </cell>
          <cell r="B10" t="str">
            <v>KAL07</v>
          </cell>
          <cell r="C10" t="str">
            <v>EQUIPAMENTO</v>
          </cell>
        </row>
        <row r="11">
          <cell r="A11" t="str">
            <v>URS0010</v>
          </cell>
          <cell r="B11" t="str">
            <v>RS10</v>
          </cell>
          <cell r="C11" t="str">
            <v>EQUIPAMENTO</v>
          </cell>
        </row>
        <row r="12">
          <cell r="A12" t="str">
            <v>URS0012</v>
          </cell>
          <cell r="B12" t="str">
            <v>RS12</v>
          </cell>
          <cell r="C12" t="str">
            <v>EQUIPAMENTO</v>
          </cell>
        </row>
        <row r="13">
          <cell r="A13" t="str">
            <v>URS0014</v>
          </cell>
          <cell r="B13" t="str">
            <v>RS14</v>
          </cell>
          <cell r="C13" t="str">
            <v>EQUIPAMENTO</v>
          </cell>
        </row>
        <row r="14">
          <cell r="A14" t="str">
            <v>URS0015</v>
          </cell>
          <cell r="B14" t="str">
            <v>RS15</v>
          </cell>
          <cell r="C14" t="str">
            <v>EQUIPAMENTO</v>
          </cell>
        </row>
        <row r="15">
          <cell r="A15" t="str">
            <v>URS0016</v>
          </cell>
          <cell r="B15" t="str">
            <v>RS16</v>
          </cell>
          <cell r="C15" t="str">
            <v>EQUIPAMENTO</v>
          </cell>
        </row>
        <row r="16">
          <cell r="A16" t="str">
            <v>URS0017</v>
          </cell>
          <cell r="B16" t="str">
            <v>RS17</v>
          </cell>
          <cell r="C16" t="str">
            <v>EQUIPAMENTO</v>
          </cell>
        </row>
        <row r="17">
          <cell r="A17" t="str">
            <v>UNH0002</v>
          </cell>
          <cell r="B17" t="str">
            <v>H02</v>
          </cell>
          <cell r="C17" t="str">
            <v>EQUIPAMENTO</v>
          </cell>
        </row>
        <row r="18">
          <cell r="A18" t="str">
            <v>UNH0003</v>
          </cell>
          <cell r="B18" t="str">
            <v>H03</v>
          </cell>
          <cell r="C18" t="str">
            <v>EQUIPAMENTO</v>
          </cell>
        </row>
        <row r="19">
          <cell r="A19" t="str">
            <v>PME0460</v>
          </cell>
          <cell r="B19" t="str">
            <v>VM09</v>
          </cell>
          <cell r="C19" t="str">
            <v>BAÚ</v>
          </cell>
        </row>
        <row r="20">
          <cell r="A20" t="str">
            <v>HWR1577</v>
          </cell>
          <cell r="B20" t="str">
            <v>CM1004</v>
          </cell>
          <cell r="C20" t="str">
            <v>CAVALO MECÂNICO</v>
          </cell>
        </row>
        <row r="21">
          <cell r="A21" t="str">
            <v>HWR1587</v>
          </cell>
          <cell r="B21" t="str">
            <v>CM1005</v>
          </cell>
          <cell r="C21" t="str">
            <v>CAVALO MECÂNICO</v>
          </cell>
        </row>
        <row r="22">
          <cell r="A22" t="str">
            <v>HWR1537</v>
          </cell>
          <cell r="B22" t="str">
            <v>CM1006</v>
          </cell>
          <cell r="C22" t="str">
            <v>CAVALO MECÂNICO</v>
          </cell>
        </row>
        <row r="23">
          <cell r="A23" t="str">
            <v>HWR1567</v>
          </cell>
          <cell r="B23" t="str">
            <v>CM1007</v>
          </cell>
          <cell r="C23" t="str">
            <v>CAVALO MECÂNICO</v>
          </cell>
        </row>
        <row r="24">
          <cell r="A24" t="str">
            <v>HXE8469</v>
          </cell>
          <cell r="B24" t="str">
            <v>CM1009</v>
          </cell>
          <cell r="C24" t="str">
            <v>CAVALO MECÂNICO</v>
          </cell>
        </row>
        <row r="25">
          <cell r="A25" t="str">
            <v>ORR3024</v>
          </cell>
          <cell r="B25" t="str">
            <v>CM1025</v>
          </cell>
          <cell r="C25" t="str">
            <v>CAVALO MECÂNICO</v>
          </cell>
        </row>
        <row r="26">
          <cell r="A26" t="str">
            <v>ORR3204</v>
          </cell>
          <cell r="B26" t="str">
            <v>CM1026</v>
          </cell>
          <cell r="C26" t="str">
            <v>CAVALO MECÂNICO</v>
          </cell>
        </row>
        <row r="27">
          <cell r="A27" t="str">
            <v>NQL5791</v>
          </cell>
          <cell r="B27" t="str">
            <v>CM1027</v>
          </cell>
          <cell r="C27" t="str">
            <v>CAVALO MECÂNICO</v>
          </cell>
        </row>
        <row r="28">
          <cell r="A28" t="str">
            <v>POT8840</v>
          </cell>
          <cell r="B28" t="str">
            <v>CM5010</v>
          </cell>
          <cell r="C28" t="str">
            <v>CAVALO MECÂNICO</v>
          </cell>
        </row>
        <row r="29">
          <cell r="A29" t="str">
            <v>POW8679</v>
          </cell>
          <cell r="B29" t="str">
            <v>CM5014</v>
          </cell>
          <cell r="C29" t="str">
            <v>CAVALO MECÂNICO</v>
          </cell>
        </row>
        <row r="30">
          <cell r="A30" t="str">
            <v>POW7309</v>
          </cell>
          <cell r="B30" t="str">
            <v>CM5013</v>
          </cell>
          <cell r="C30" t="str">
            <v>CAVALO MECÂNICO</v>
          </cell>
        </row>
        <row r="31">
          <cell r="A31" t="str">
            <v>HDR1597</v>
          </cell>
          <cell r="B31" t="str">
            <v>CM1008</v>
          </cell>
          <cell r="C31" t="str">
            <v>CAVALO MECÂNICO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PERAÇÃO" refreshedDate="45002.462940046295" createdVersion="5" refreshedVersion="5" minRefreshableVersion="3" recordCount="16">
  <cacheSource type="worksheet">
    <worksheetSource ref="A1:S17" sheet="BD"/>
  </cacheSource>
  <cacheFields count="19">
    <cacheField name="PLACA" numFmtId="0">
      <sharedItems/>
    </cacheField>
    <cacheField name="Prefixo" numFmtId="0">
      <sharedItems/>
    </cacheField>
    <cacheField name="TIPO" numFmtId="0">
      <sharedItems containsBlank="1" count="5">
        <s v="EQUIPAMENTO"/>
        <s v="CAVALO MECÂNICO"/>
        <s v="BAÚ"/>
        <m u="1"/>
        <e v="#N/A" u="1"/>
      </sharedItems>
    </cacheField>
    <cacheField name="Equipamento" numFmtId="0">
      <sharedItems/>
    </cacheField>
    <cacheField name="Data/Hora Inicial" numFmtId="22">
      <sharedItems containsSemiMixedTypes="0" containsNonDate="0" containsDate="1" containsString="0" minDate="2023-03-01T00:00:00" maxDate="2023-03-02T00:00:00"/>
    </cacheField>
    <cacheField name="Data/Hora Final" numFmtId="22">
      <sharedItems containsSemiMixedTypes="0" containsNonDate="0" containsDate="1" containsString="0" minDate="2023-03-15T23:59:59" maxDate="2023-03-15T23:59:59"/>
    </cacheField>
    <cacheField name="Horímetro Inicial" numFmtId="4">
      <sharedItems containsSemiMixedTypes="0" containsString="0" containsNumber="1" minValue="1247.3800000000001" maxValue="25813.7"/>
    </cacheField>
    <cacheField name="Horímetro Final" numFmtId="4">
      <sharedItems containsSemiMixedTypes="0" containsString="0" containsNumber="1" minValue="1312.61" maxValue="25967.99"/>
    </cacheField>
    <cacheField name="Total Horímetro" numFmtId="0">
      <sharedItems containsSemiMixedTypes="0" containsString="0" containsNumber="1" minValue="0.38" maxValue="197.34"/>
    </cacheField>
    <cacheField name="Odômetro Inicial" numFmtId="0">
      <sharedItems/>
    </cacheField>
    <cacheField name="Odômetro Final" numFmtId="0">
      <sharedItems/>
    </cacheField>
    <cacheField name="Distância Percorrida" numFmtId="0">
      <sharedItems containsSemiMixedTypes="0" containsString="0" containsNumber="1" minValue="0.05" maxValue="2783.09"/>
    </cacheField>
    <cacheField name="Velocidade Média" numFmtId="0">
      <sharedItems containsSemiMixedTypes="0" containsString="0" containsNumber="1" minValue="3.67" maxValue="49.13"/>
    </cacheField>
    <cacheField name="Velocidade Máxima" numFmtId="0">
      <sharedItems containsSemiMixedTypes="0" containsString="0" containsNumber="1" containsInteger="1" minValue="5" maxValue="157"/>
    </cacheField>
    <cacheField name="RPM Médio" numFmtId="0">
      <sharedItems containsSemiMixedTypes="0" containsString="0" containsNumber="1" minValue="0" maxValue="965.96"/>
    </cacheField>
    <cacheField name="RPM Máximo" numFmtId="0">
      <sharedItems containsSemiMixedTypes="0" containsString="0" containsNumber="1" containsInteger="1" minValue="0" maxValue="2500"/>
    </cacheField>
    <cacheField name="Ligado Parado" numFmtId="0">
      <sharedItems containsSemiMixedTypes="0" containsNonDate="0" containsDate="1" containsString="0" minDate="1899-12-30T00:23:53" maxDate="1900-01-04T10:06:10"/>
    </cacheField>
    <cacheField name="Movimento" numFmtId="0">
      <sharedItems containsSemiMixedTypes="0" containsNonDate="0" containsDate="1" containsString="0" minDate="1899-12-30T00:01:01" maxDate="1900-01-02T05:07:37"/>
    </cacheField>
    <cacheField name="Motor Desligado" numFmtId="0">
      <sharedItems containsSemiMixedTypes="0" containsNonDate="0" containsDate="1" containsString="0" minDate="1899-12-30T04:49:51" maxDate="1900-01-13T16:33: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KAL0005"/>
    <s v="KAL05"/>
    <x v="0"/>
    <s v="KAL0005"/>
    <d v="2023-03-01T00:00:00"/>
    <d v="2023-03-15T23:59:59"/>
    <n v="5960.58"/>
    <n v="6073.6"/>
    <n v="113.02"/>
    <s v="22344.1"/>
    <s v="22476.68"/>
    <n v="133"/>
    <n v="7.18"/>
    <n v="55"/>
    <n v="886.86"/>
    <n v="2000"/>
    <d v="1900-01-02T22:54:11"/>
    <d v="1899-12-30T18:42:16"/>
    <d v="1900-01-07T03:16:13"/>
  </r>
  <r>
    <s v="KAL0006"/>
    <s v="KAL06"/>
    <x v="0"/>
    <s v="KAL0006"/>
    <d v="2023-03-01T00:00:00"/>
    <d v="2023-03-15T23:59:59"/>
    <n v="2191.44"/>
    <n v="2344.59"/>
    <n v="153.13999999999999"/>
    <s v="2572.23"/>
    <s v="2763.44"/>
    <n v="191.69"/>
    <n v="7.79"/>
    <n v="28"/>
    <n v="952.21"/>
    <n v="2000"/>
    <d v="1900-01-04T10:06:10"/>
    <d v="1899-12-31T00:57:10"/>
    <d v="1900-01-07T16:32:13"/>
  </r>
  <r>
    <s v="KAL0007"/>
    <s v="KAL07"/>
    <x v="0"/>
    <s v="KAL0007"/>
    <d v="2023-03-01T00:00:00"/>
    <d v="2023-03-15T23:59:59"/>
    <n v="16621.36"/>
    <n v="16621.740000000002"/>
    <n v="0.38"/>
    <s v="26172.92"/>
    <s v="26172.97"/>
    <n v="0.05"/>
    <n v="3.67"/>
    <n v="5"/>
    <n v="707.16"/>
    <n v="1100"/>
    <d v="1899-12-30T00:23:53"/>
    <d v="1899-12-30T00:01:01"/>
    <d v="1899-12-30T04:49:51"/>
  </r>
  <r>
    <s v="ORR3024"/>
    <s v="CM1025"/>
    <x v="1"/>
    <s v="ORR3024"/>
    <d v="2023-03-01T00:00:00"/>
    <d v="2023-03-15T23:59:59"/>
    <n v="25183.919999999998"/>
    <n v="25187.24"/>
    <n v="3.33"/>
    <s v="220133.2"/>
    <s v="220213.33"/>
    <n v="80.319999999999993"/>
    <n v="42.46"/>
    <n v="74"/>
    <n v="805.6"/>
    <n v="2100"/>
    <d v="1899-12-30T03:21:35"/>
    <d v="1899-12-30T01:52:19"/>
    <d v="1900-01-02T23:00:49"/>
  </r>
  <r>
    <s v="ORR3204"/>
    <s v="CM1026"/>
    <x v="1"/>
    <s v="ORR3204"/>
    <d v="2023-03-01T00:00:00"/>
    <d v="2023-03-15T23:59:59"/>
    <n v="25813.7"/>
    <n v="25967.99"/>
    <n v="154.28"/>
    <s v="230359.74"/>
    <s v="231515.98"/>
    <n v="1166.21"/>
    <n v="18.86"/>
    <n v="81"/>
    <n v="680.69"/>
    <n v="2100"/>
    <d v="1900-01-02T22:06:33"/>
    <d v="1900-01-01T14:08:49"/>
    <d v="1900-01-07T14:54:27"/>
  </r>
  <r>
    <s v="PME0460"/>
    <s v="VM09"/>
    <x v="2"/>
    <s v="PME0460"/>
    <d v="2023-03-01T00:00:00"/>
    <d v="2023-03-15T23:59:59"/>
    <n v="19950.25"/>
    <n v="20077.849999999999"/>
    <n v="127.59"/>
    <s v="473178.03"/>
    <s v="475961.12"/>
    <n v="2783.09"/>
    <n v="49.13"/>
    <n v="93"/>
    <n v="965.96"/>
    <n v="2500"/>
    <d v="1900-01-02T01:01:20"/>
    <d v="1900-01-01T08:09:47"/>
    <d v="1900-01-08T17:11:41"/>
  </r>
  <r>
    <s v="POT8840"/>
    <s v="CM5010"/>
    <x v="1"/>
    <s v="POT8840"/>
    <d v="2023-03-01T00:00:00"/>
    <d v="2023-03-15T23:59:59"/>
    <n v="3721.4"/>
    <n v="3885.8"/>
    <n v="164.41"/>
    <s v="191732.87"/>
    <s v="193093.69"/>
    <n v="1393.05"/>
    <n v="19.05"/>
    <n v="59"/>
    <n v="703.32"/>
    <n v="2200"/>
    <d v="1900-01-03T01:29:39"/>
    <d v="1900-01-01T23:15:07"/>
    <d v="1900-01-07T04:12:38"/>
  </r>
  <r>
    <s v="POW7309"/>
    <s v="CM5013"/>
    <x v="1"/>
    <s v="POW7309"/>
    <d v="2023-03-01T00:00:00"/>
    <d v="2023-03-15T23:59:59"/>
    <n v="5551.44"/>
    <n v="5681.8"/>
    <n v="130.36000000000001"/>
    <s v="211311.5"/>
    <s v="212511.24"/>
    <n v="1217.1199999999999"/>
    <n v="19.11"/>
    <n v="47"/>
    <n v="726.27"/>
    <n v="2100"/>
    <d v="1900-01-01T21:47:30"/>
    <d v="1900-01-01T14:03:19"/>
    <d v="1900-01-08T16:22:43"/>
  </r>
  <r>
    <s v="POW8679"/>
    <s v="CM5014"/>
    <x v="1"/>
    <s v="POW8679"/>
    <d v="2023-03-01T00:00:00"/>
    <d v="2023-03-15T23:59:59"/>
    <n v="5516.78"/>
    <n v="5714.12"/>
    <n v="197.34"/>
    <s v="240569.28"/>
    <s v="241992.78"/>
    <n v="1431.93"/>
    <n v="18.09"/>
    <n v="65"/>
    <n v="683.1"/>
    <n v="2200"/>
    <d v="1900-01-04T03:46:24"/>
    <d v="1900-01-02T05:07:37"/>
    <d v="1900-01-05T16:42:50"/>
  </r>
  <r>
    <s v="UEP0015"/>
    <s v="EP15"/>
    <x v="0"/>
    <s v="UEP0015"/>
    <d v="2023-03-01T00:00:00"/>
    <d v="2023-03-15T23:59:59"/>
    <n v="5218.21"/>
    <n v="5267.07"/>
    <n v="48.86"/>
    <s v="11759.87"/>
    <s v="11889.66"/>
    <n v="129.79"/>
    <n v="4.58"/>
    <n v="21"/>
    <n v="944.72"/>
    <n v="2200"/>
    <d v="1899-12-30T23:49:43"/>
    <d v="1899-12-31T01:04:18"/>
    <d v="1900-01-12T03:35:06"/>
  </r>
  <r>
    <s v="UNH0002"/>
    <s v="H02"/>
    <x v="0"/>
    <s v="UNH0002"/>
    <d v="2023-03-01T00:00:00"/>
    <d v="2023-03-15T23:59:59"/>
    <n v="2393.9699999999998"/>
    <n v="2493.63"/>
    <n v="99.67"/>
    <s v="1772.8"/>
    <s v="1898.36"/>
    <n v="126.14"/>
    <n v="7.18"/>
    <n v="157"/>
    <n v="0"/>
    <n v="0"/>
    <d v="1900-01-02T18:05:08"/>
    <d v="1899-12-30T18:27:35"/>
    <d v="1900-01-09T18:52:29"/>
  </r>
  <r>
    <s v="UNH0003"/>
    <s v="H03"/>
    <x v="0"/>
    <s v="UNH0003"/>
    <d v="2023-03-01T00:00:00"/>
    <d v="2023-03-15T23:59:59"/>
    <n v="1337.89"/>
    <n v="1407.48"/>
    <n v="69.59"/>
    <s v="1277.45"/>
    <s v="1348.54"/>
    <n v="71.489999999999995"/>
    <n v="7.34"/>
    <n v="25"/>
    <n v="0"/>
    <n v="0"/>
    <d v="1900-01-02T01:14:47"/>
    <d v="1899-12-30T09:50:40"/>
    <d v="1900-01-10T20:54:48"/>
  </r>
  <r>
    <s v="URS0010"/>
    <s v="RS10"/>
    <x v="0"/>
    <s v="URS0010"/>
    <d v="2023-03-01T00:00:00"/>
    <d v="2023-03-15T23:59:59"/>
    <n v="3516.94"/>
    <n v="3530.18"/>
    <n v="13.24"/>
    <s v="16577.62"/>
    <s v="16597.62"/>
    <n v="20"/>
    <n v="9.86"/>
    <n v="23"/>
    <n v="833.9"/>
    <n v="2000"/>
    <d v="1899-12-30T11:12:45"/>
    <d v="1899-12-30T02:05:05"/>
    <d v="1900-01-13T16:33:51"/>
  </r>
  <r>
    <s v="URS0012"/>
    <s v="RS12"/>
    <x v="0"/>
    <s v="URS0012"/>
    <d v="2023-03-01T00:00:00"/>
    <d v="2023-03-15T23:59:59"/>
    <n v="6115.91"/>
    <n v="6158.25"/>
    <n v="42.34"/>
    <s v="23090.98"/>
    <s v="23146.25"/>
    <n v="55.27"/>
    <n v="8.5299999999999994"/>
    <n v="26"/>
    <n v="874.87"/>
    <n v="2000"/>
    <d v="1899-12-31T11:48:13"/>
    <d v="1899-12-30T06:33:37"/>
    <d v="1900-01-12T11:26:11"/>
  </r>
  <r>
    <s v="URS0016"/>
    <s v="RS16"/>
    <x v="0"/>
    <s v="URS0016"/>
    <d v="2023-03-01T00:00:00"/>
    <d v="2023-03-15T23:59:59"/>
    <n v="1247.3800000000001"/>
    <n v="1312.61"/>
    <n v="65.23"/>
    <s v="571.98"/>
    <s v="621.33"/>
    <n v="50.5"/>
    <n v="5.04"/>
    <n v="20"/>
    <n v="872.31"/>
    <n v="2100"/>
    <d v="1900-01-01T06:58:45"/>
    <d v="1899-12-30T14:56:12"/>
    <d v="1900-01-11T10:15:54"/>
  </r>
  <r>
    <s v="URS0017"/>
    <s v="RS17"/>
    <x v="0"/>
    <s v="URS0017"/>
    <d v="2023-03-01T00:00:00"/>
    <d v="2023-03-15T23:59:59"/>
    <n v="1322.61"/>
    <n v="1408.34"/>
    <n v="85.73"/>
    <s v="494.06"/>
    <s v="548.8"/>
    <n v="55.56"/>
    <n v="5.68"/>
    <n v="20"/>
    <n v="863.79"/>
    <n v="2100"/>
    <d v="1900-01-01T14:41:23"/>
    <d v="1899-12-30T16:47:11"/>
    <d v="1900-01-11T00:29: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7:C38" firstHeaderRow="0" firstDataRow="1" firstDataCol="0" rowPageCount="1" colPageCount="1"/>
  <pivotFields count="19">
    <pivotField showAll="0"/>
    <pivotField showAll="0"/>
    <pivotField axis="axisPage" showAll="0">
      <items count="6">
        <item x="2"/>
        <item x="1"/>
        <item x="0"/>
        <item m="1" x="3"/>
        <item m="1" x="4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2" item="2" hier="-1"/>
  </pageFields>
  <dataFields count="3">
    <dataField name="Soma de Ligado Parado" fld="16" baseField="0" baseItem="1"/>
    <dataField name="Soma de Movimento" fld="17" baseField="0" baseItem="1"/>
    <dataField name="Soma de Motor Desligado" fld="18" baseField="0" baseItem="1"/>
  </dataFields>
  <formats count="2"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1:C22" firstHeaderRow="0" firstDataRow="1" firstDataCol="0" rowPageCount="1" colPageCount="1"/>
  <pivotFields count="19">
    <pivotField showAll="0"/>
    <pivotField showAll="0"/>
    <pivotField axis="axisPage" showAll="0">
      <items count="6">
        <item x="2"/>
        <item x="1"/>
        <item x="0"/>
        <item m="1" x="3"/>
        <item m="1" x="4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2" item="1" hier="-1"/>
  </pageFields>
  <dataFields count="3">
    <dataField name="Soma de Ligado Parado" fld="16" baseField="0" baseItem="1"/>
    <dataField name="Soma de Movimento" fld="17" baseField="0" baseItem="1"/>
    <dataField name="Soma de Motor Desligado" fld="18" baseField="0" baseItem="1"/>
  </dataFields>
  <formats count="2"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4" firstHeaderRow="0" firstDataRow="1" firstDataCol="0" rowPageCount="1" colPageCount="1"/>
  <pivotFields count="19">
    <pivotField showAll="0"/>
    <pivotField showAll="0"/>
    <pivotField axis="axisPage" multipleItemSelectionAllowed="1" showAll="0">
      <items count="6">
        <item h="1" x="2"/>
        <item x="1"/>
        <item x="0"/>
        <item h="1" m="1" x="3"/>
        <item h="1" m="1" x="4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oma de Ligado Parado" fld="16" baseField="0" baseItem="1"/>
    <dataField name="Soma de Movimento" fld="17" baseField="0" baseItem="1"/>
    <dataField name="Soma de Motor Desligado" fld="18" baseField="0" baseItem="1"/>
  </dataFields>
  <formats count="2"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opLeftCell="A12" workbookViewId="0">
      <selection activeCell="D26" sqref="D26"/>
    </sheetView>
  </sheetViews>
  <sheetFormatPr defaultRowHeight="15"/>
  <cols>
    <col min="1" max="1" width="21.7109375" customWidth="1"/>
    <col min="2" max="2" width="19.7109375" customWidth="1"/>
    <col min="3" max="4" width="24.140625" customWidth="1"/>
    <col min="5" max="14" width="26" customWidth="1"/>
    <col min="15" max="17" width="26" bestFit="1" customWidth="1"/>
    <col min="18" max="20" width="26" customWidth="1"/>
    <col min="21" max="23" width="26" bestFit="1" customWidth="1"/>
    <col min="24" max="26" width="26" customWidth="1"/>
    <col min="27" max="27" width="31" bestFit="1" customWidth="1"/>
    <col min="28" max="28" width="29" customWidth="1"/>
    <col min="29" max="30" width="20.85546875" bestFit="1" customWidth="1"/>
    <col min="31" max="31" width="17.7109375" bestFit="1" customWidth="1"/>
    <col min="32" max="33" width="20.85546875" bestFit="1" customWidth="1"/>
    <col min="34" max="34" width="17.7109375" bestFit="1" customWidth="1"/>
    <col min="35" max="36" width="20.85546875" bestFit="1" customWidth="1"/>
    <col min="37" max="37" width="17.7109375" bestFit="1" customWidth="1"/>
    <col min="38" max="39" width="20.85546875" bestFit="1" customWidth="1"/>
    <col min="40" max="40" width="10.7109375" bestFit="1" customWidth="1"/>
  </cols>
  <sheetData>
    <row r="1" spans="1:4">
      <c r="A1" s="24" t="s">
        <v>2</v>
      </c>
      <c r="B1" t="s">
        <v>33</v>
      </c>
    </row>
    <row r="3" spans="1:4">
      <c r="A3" s="26" t="s">
        <v>28</v>
      </c>
      <c r="B3" t="s">
        <v>29</v>
      </c>
      <c r="C3" t="s">
        <v>30</v>
      </c>
    </row>
    <row r="4" spans="1:4">
      <c r="A4" s="26">
        <v>40.240729166666675</v>
      </c>
      <c r="B4" s="26">
        <v>17.161296296296296</v>
      </c>
      <c r="C4" s="26">
        <v>142.5828472222222</v>
      </c>
    </row>
    <row r="8" spans="1:4">
      <c r="A8" s="27" t="s">
        <v>28</v>
      </c>
      <c r="B8" s="26">
        <f>GETPIVOTDATA("Soma de Ligado Parado",$A$3)</f>
        <v>40.240729166666675</v>
      </c>
      <c r="C8" s="27" t="s">
        <v>16</v>
      </c>
      <c r="D8" s="28">
        <f>B8/$B$12</f>
        <v>0.2012188653389467</v>
      </c>
    </row>
    <row r="9" spans="1:4">
      <c r="A9" s="25" t="s">
        <v>29</v>
      </c>
      <c r="B9" s="26">
        <f>GETPIVOTDATA("Soma de Movimento",$A$3)</f>
        <v>17.161296296296296</v>
      </c>
      <c r="C9" s="25" t="s">
        <v>17</v>
      </c>
      <c r="D9" s="28">
        <f>B9/$B$12</f>
        <v>8.5812972080700781E-2</v>
      </c>
    </row>
    <row r="10" spans="1:4">
      <c r="A10" s="25" t="s">
        <v>30</v>
      </c>
      <c r="B10" s="26">
        <f>GETPIVOTDATA("Soma de Motor Desligado",$A$3)</f>
        <v>142.5828472222222</v>
      </c>
      <c r="C10" s="25" t="s">
        <v>18</v>
      </c>
      <c r="D10" s="28">
        <f>B10/$B$12</f>
        <v>0.71296816258035256</v>
      </c>
    </row>
    <row r="12" spans="1:4">
      <c r="B12" s="26">
        <f>SUM(B8:B10)</f>
        <v>199.98487268518517</v>
      </c>
    </row>
    <row r="19" spans="1:4">
      <c r="A19" s="24" t="s">
        <v>2</v>
      </c>
      <c r="B19" t="s">
        <v>27</v>
      </c>
    </row>
    <row r="21" spans="1:4">
      <c r="A21" s="26" t="s">
        <v>28</v>
      </c>
      <c r="B21" t="s">
        <v>29</v>
      </c>
      <c r="C21" t="s">
        <v>30</v>
      </c>
    </row>
    <row r="22" spans="1:4">
      <c r="A22" s="26">
        <v>16.188668981481481</v>
      </c>
      <c r="B22" s="26">
        <v>11.43554398148148</v>
      </c>
      <c r="C22" s="26">
        <v>37.134340277777781</v>
      </c>
    </row>
    <row r="26" spans="1:4">
      <c r="A26" s="27" t="s">
        <v>28</v>
      </c>
      <c r="B26" s="26">
        <f>GETPIVOTDATA("Soma de Ligado Parado",$A$21)</f>
        <v>16.188668981481481</v>
      </c>
      <c r="C26" s="27" t="s">
        <v>16</v>
      </c>
      <c r="D26" s="28">
        <f>B26/$B$30</f>
        <v>0.24998503164979458</v>
      </c>
    </row>
    <row r="27" spans="1:4">
      <c r="A27" s="25" t="s">
        <v>29</v>
      </c>
      <c r="B27" s="26">
        <f>GETPIVOTDATA("Soma de Movimento",$A$21)</f>
        <v>11.43554398148148</v>
      </c>
      <c r="C27" s="25" t="s">
        <v>17</v>
      </c>
      <c r="D27" s="28">
        <f t="shared" ref="D27:D28" si="0">B27/$B$30</f>
        <v>0.1765873913052026</v>
      </c>
    </row>
    <row r="28" spans="1:4">
      <c r="A28" s="25" t="s">
        <v>30</v>
      </c>
      <c r="B28" s="26">
        <f>GETPIVOTDATA("Soma de Motor Desligado",$A$21)</f>
        <v>37.134340277777781</v>
      </c>
      <c r="C28" s="25" t="s">
        <v>18</v>
      </c>
      <c r="D28" s="28">
        <f t="shared" si="0"/>
        <v>0.57342757704500291</v>
      </c>
    </row>
    <row r="30" spans="1:4">
      <c r="B30" s="26">
        <f>SUM(B26:B28)</f>
        <v>64.758553240740738</v>
      </c>
    </row>
    <row r="35" spans="1:4">
      <c r="A35" s="24" t="s">
        <v>2</v>
      </c>
      <c r="B35" t="s">
        <v>25</v>
      </c>
    </row>
    <row r="37" spans="1:4">
      <c r="A37" s="26" t="s">
        <v>28</v>
      </c>
      <c r="B37" t="s">
        <v>29</v>
      </c>
      <c r="C37" t="s">
        <v>30</v>
      </c>
    </row>
    <row r="38" spans="1:4">
      <c r="A38" s="26">
        <v>24.052060185185184</v>
      </c>
      <c r="B38" s="26">
        <v>5.7257523148148142</v>
      </c>
      <c r="C38" s="26">
        <v>105.44850694444443</v>
      </c>
    </row>
    <row r="42" spans="1:4">
      <c r="A42" s="27" t="s">
        <v>28</v>
      </c>
      <c r="B42" s="26">
        <f>GETPIVOTDATA("Soma de Ligado Parado",$A$37)</f>
        <v>24.052060185185184</v>
      </c>
      <c r="C42" s="27" t="s">
        <v>16</v>
      </c>
      <c r="D42" s="28">
        <f>B42/$B$46</f>
        <v>0.17786522833719948</v>
      </c>
    </row>
    <row r="43" spans="1:4">
      <c r="A43" s="25" t="s">
        <v>29</v>
      </c>
      <c r="B43" s="26">
        <f>GETPIVOTDATA("Soma de Movimento",$A$37)</f>
        <v>5.7257523148148142</v>
      </c>
      <c r="C43" s="25" t="s">
        <v>17</v>
      </c>
      <c r="D43" s="28">
        <f t="shared" ref="D43:D44" si="1">B43/$B$46</f>
        <v>4.2341996279556725E-2</v>
      </c>
    </row>
    <row r="44" spans="1:4">
      <c r="A44" s="25" t="s">
        <v>30</v>
      </c>
      <c r="B44" s="26">
        <f>GETPIVOTDATA("Soma de Motor Desligado",$A$37)</f>
        <v>105.44850694444443</v>
      </c>
      <c r="C44" s="25" t="s">
        <v>18</v>
      </c>
      <c r="D44" s="28">
        <f t="shared" si="1"/>
        <v>0.77979277538324387</v>
      </c>
    </row>
    <row r="46" spans="1:4">
      <c r="B46" s="26">
        <f>SUM(B42:B44)</f>
        <v>135.22631944444441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7"/>
  <sheetViews>
    <sheetView showGridLines="0" tabSelected="1" view="pageBreakPreview" topLeftCell="A2" zoomScale="90" zoomScaleNormal="100" zoomScaleSheetLayoutView="90" workbookViewId="0">
      <selection activeCell="J5" sqref="J5"/>
    </sheetView>
  </sheetViews>
  <sheetFormatPr defaultRowHeight="15"/>
  <cols>
    <col min="1" max="1" width="1" customWidth="1"/>
    <col min="2" max="2" width="24.7109375" customWidth="1"/>
    <col min="11" max="11" width="11.42578125" customWidth="1"/>
    <col min="12" max="12" width="1.28515625" customWidth="1"/>
  </cols>
  <sheetData>
    <row r="1" spans="2:11" hidden="1"/>
    <row r="2" spans="2:11" ht="6.75" customHeight="1" thickBot="1"/>
    <row r="3" spans="2:11" ht="15" customHeight="1">
      <c r="B3" s="44" t="s">
        <v>31</v>
      </c>
      <c r="C3" s="45"/>
      <c r="D3" s="45"/>
      <c r="E3" s="45"/>
      <c r="F3" s="45"/>
      <c r="G3" s="45"/>
      <c r="H3" s="45"/>
      <c r="I3" s="45"/>
      <c r="J3" s="48" t="s">
        <v>34</v>
      </c>
      <c r="K3" s="49"/>
    </row>
    <row r="4" spans="2:11" ht="15.75" customHeight="1" thickBot="1">
      <c r="B4" s="46"/>
      <c r="C4" s="47"/>
      <c r="D4" s="47"/>
      <c r="E4" s="47"/>
      <c r="F4" s="47"/>
      <c r="G4" s="47"/>
      <c r="H4" s="47"/>
      <c r="I4" s="47"/>
      <c r="J4" s="50" t="s">
        <v>58</v>
      </c>
      <c r="K4" s="51"/>
    </row>
    <row r="5" spans="2:11">
      <c r="B5" s="29"/>
      <c r="C5" s="30"/>
      <c r="D5" s="30"/>
      <c r="E5" s="30"/>
      <c r="F5" s="30"/>
      <c r="G5" s="30"/>
      <c r="H5" s="30"/>
      <c r="I5" s="30"/>
      <c r="J5" s="30"/>
      <c r="K5" s="31"/>
    </row>
    <row r="6" spans="2:11">
      <c r="B6" s="32"/>
      <c r="C6" s="33"/>
      <c r="D6" s="33"/>
      <c r="E6" s="33"/>
      <c r="F6" s="33"/>
      <c r="G6" s="33"/>
      <c r="H6" s="33"/>
      <c r="I6" s="33"/>
      <c r="J6" s="33"/>
      <c r="K6" s="34"/>
    </row>
    <row r="7" spans="2:11">
      <c r="B7" s="32"/>
      <c r="C7" s="33"/>
      <c r="D7" s="33"/>
      <c r="E7" s="33"/>
      <c r="F7" s="33"/>
      <c r="G7" s="33"/>
      <c r="H7" s="33"/>
      <c r="I7" s="33"/>
      <c r="J7" s="33"/>
      <c r="K7" s="34"/>
    </row>
    <row r="8" spans="2:11">
      <c r="B8" s="32"/>
      <c r="C8" s="33"/>
      <c r="D8" s="33"/>
      <c r="E8" s="33"/>
      <c r="F8" s="33"/>
      <c r="G8" s="33"/>
      <c r="H8" s="33"/>
      <c r="I8" s="33"/>
      <c r="J8" s="33"/>
      <c r="K8" s="34"/>
    </row>
    <row r="9" spans="2:11">
      <c r="B9" s="32"/>
      <c r="C9" s="33"/>
      <c r="D9" s="33"/>
      <c r="E9" s="33"/>
      <c r="F9" s="33"/>
      <c r="G9" s="33"/>
      <c r="H9" s="33"/>
      <c r="I9" s="33"/>
      <c r="J9" s="33"/>
      <c r="K9" s="34"/>
    </row>
    <row r="10" spans="2:11">
      <c r="B10" s="32"/>
      <c r="C10" s="33"/>
      <c r="D10" s="33"/>
      <c r="E10" s="33"/>
      <c r="F10" s="33"/>
      <c r="G10" s="33"/>
      <c r="H10" s="33"/>
      <c r="I10" s="33"/>
      <c r="J10" s="33"/>
      <c r="K10" s="34"/>
    </row>
    <row r="11" spans="2:11">
      <c r="B11" s="32"/>
      <c r="C11" s="33"/>
      <c r="D11" s="33"/>
      <c r="E11" s="33"/>
      <c r="F11" s="33"/>
      <c r="G11" s="33"/>
      <c r="H11" s="33"/>
      <c r="I11" s="33"/>
      <c r="J11" s="33"/>
      <c r="K11" s="34"/>
    </row>
    <row r="12" spans="2:11">
      <c r="B12" s="32"/>
      <c r="C12" s="33"/>
      <c r="D12" s="33"/>
      <c r="E12" s="33"/>
      <c r="F12" s="33"/>
      <c r="G12" s="33"/>
      <c r="H12" s="33"/>
      <c r="I12" s="33"/>
      <c r="J12" s="33"/>
      <c r="K12" s="34"/>
    </row>
    <row r="13" spans="2:11">
      <c r="B13" s="32"/>
      <c r="C13" s="33"/>
      <c r="D13" s="33"/>
      <c r="E13" s="33"/>
      <c r="F13" s="33"/>
      <c r="G13" s="33"/>
      <c r="H13" s="33"/>
      <c r="I13" s="33"/>
      <c r="J13" s="33"/>
      <c r="K13" s="34"/>
    </row>
    <row r="14" spans="2:11">
      <c r="B14" s="32"/>
      <c r="C14" s="33"/>
      <c r="D14" s="33"/>
      <c r="E14" s="33"/>
      <c r="F14" s="33"/>
      <c r="G14" s="33"/>
      <c r="H14" s="33"/>
      <c r="I14" s="33"/>
      <c r="J14" s="33"/>
      <c r="K14" s="34"/>
    </row>
    <row r="15" spans="2:11">
      <c r="B15" s="32"/>
      <c r="C15" s="33"/>
      <c r="D15" s="33"/>
      <c r="E15" s="33"/>
      <c r="F15" s="33"/>
      <c r="G15" s="33"/>
      <c r="H15" s="33"/>
      <c r="I15" s="33"/>
      <c r="J15" s="33"/>
      <c r="K15" s="34"/>
    </row>
    <row r="16" spans="2:11">
      <c r="B16" s="32"/>
      <c r="C16" s="33"/>
      <c r="D16" s="33"/>
      <c r="E16" s="33"/>
      <c r="F16" s="33"/>
      <c r="G16" s="33"/>
      <c r="H16" s="33"/>
      <c r="I16" s="33"/>
      <c r="J16" s="33"/>
      <c r="K16" s="34"/>
    </row>
    <row r="17" spans="2:11">
      <c r="B17" s="32"/>
      <c r="C17" s="33"/>
      <c r="D17" s="33"/>
      <c r="E17" s="33"/>
      <c r="F17" s="33"/>
      <c r="G17" s="33"/>
      <c r="H17" s="33"/>
      <c r="I17" s="33"/>
      <c r="J17" s="33"/>
      <c r="K17" s="34"/>
    </row>
    <row r="18" spans="2:11">
      <c r="B18" s="32"/>
      <c r="C18" s="33"/>
      <c r="D18" s="33"/>
      <c r="E18" s="33"/>
      <c r="F18" s="33"/>
      <c r="G18" s="33"/>
      <c r="H18" s="33"/>
      <c r="I18" s="33"/>
      <c r="J18" s="33"/>
      <c r="K18" s="34"/>
    </row>
    <row r="19" spans="2:11">
      <c r="B19" s="32"/>
      <c r="C19" s="33"/>
      <c r="D19" s="33"/>
      <c r="E19" s="33"/>
      <c r="F19" s="33"/>
      <c r="G19" s="33"/>
      <c r="H19" s="33"/>
      <c r="I19" s="33"/>
      <c r="J19" s="33"/>
      <c r="K19" s="34"/>
    </row>
    <row r="20" spans="2:11">
      <c r="B20" s="32"/>
      <c r="C20" s="33"/>
      <c r="D20" s="33"/>
      <c r="E20" s="33"/>
      <c r="F20" s="33"/>
      <c r="G20" s="33"/>
      <c r="H20" s="33"/>
      <c r="I20" s="33"/>
      <c r="J20" s="33"/>
      <c r="K20" s="34"/>
    </row>
    <row r="21" spans="2:11">
      <c r="B21" s="32"/>
      <c r="C21" s="33"/>
      <c r="D21" s="33"/>
      <c r="E21" s="33"/>
      <c r="F21" s="33"/>
      <c r="G21" s="33"/>
      <c r="H21" s="33"/>
      <c r="I21" s="33"/>
      <c r="J21" s="33"/>
      <c r="K21" s="34"/>
    </row>
    <row r="22" spans="2:11">
      <c r="B22" s="32"/>
      <c r="C22" s="33"/>
      <c r="D22" s="33"/>
      <c r="E22" s="33"/>
      <c r="F22" s="33"/>
      <c r="G22" s="33"/>
      <c r="H22" s="33"/>
      <c r="I22" s="33"/>
      <c r="J22" s="33"/>
      <c r="K22" s="34"/>
    </row>
    <row r="23" spans="2:11">
      <c r="B23" s="32"/>
      <c r="C23" s="33"/>
      <c r="D23" s="33"/>
      <c r="E23" s="33"/>
      <c r="F23" s="33"/>
      <c r="G23" s="33"/>
      <c r="H23" s="33"/>
      <c r="I23" s="33"/>
      <c r="J23" s="33"/>
      <c r="K23" s="34"/>
    </row>
    <row r="24" spans="2:11">
      <c r="B24" s="32"/>
      <c r="C24" s="33"/>
      <c r="D24" s="33"/>
      <c r="E24" s="33"/>
      <c r="F24" s="33"/>
      <c r="G24" s="33"/>
      <c r="H24" s="33"/>
      <c r="I24" s="33"/>
      <c r="J24" s="33"/>
      <c r="K24" s="34"/>
    </row>
    <row r="25" spans="2:11">
      <c r="B25" s="32"/>
      <c r="C25" s="33"/>
      <c r="D25" s="33"/>
      <c r="E25" s="33"/>
      <c r="F25" s="33"/>
      <c r="G25" s="33"/>
      <c r="H25" s="33"/>
      <c r="I25" s="33"/>
      <c r="J25" s="33"/>
      <c r="K25" s="34"/>
    </row>
    <row r="26" spans="2:11">
      <c r="B26" s="32"/>
      <c r="C26" s="33"/>
      <c r="D26" s="33"/>
      <c r="E26" s="33"/>
      <c r="F26" s="33"/>
      <c r="G26" s="33"/>
      <c r="H26" s="33"/>
      <c r="I26" s="33"/>
      <c r="J26" s="33"/>
      <c r="K26" s="34"/>
    </row>
    <row r="27" spans="2:11" ht="15.75" thickBot="1">
      <c r="B27" s="35"/>
      <c r="C27" s="36"/>
      <c r="D27" s="36"/>
      <c r="E27" s="36"/>
      <c r="F27" s="36"/>
      <c r="G27" s="36"/>
      <c r="H27" s="36"/>
      <c r="I27" s="36"/>
      <c r="J27" s="36"/>
      <c r="K27" s="37"/>
    </row>
  </sheetData>
  <mergeCells count="3">
    <mergeCell ref="B3:I4"/>
    <mergeCell ref="J3:K3"/>
    <mergeCell ref="J4:K4"/>
  </mergeCells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opLeftCell="A3" workbookViewId="0">
      <selection activeCell="D17" sqref="D17"/>
    </sheetView>
  </sheetViews>
  <sheetFormatPr defaultRowHeight="15"/>
  <cols>
    <col min="4" max="4" width="11.42578125" customWidth="1"/>
    <col min="5" max="6" width="15.42578125" bestFit="1" customWidth="1"/>
    <col min="9" max="11" width="8.85546875" bestFit="1" customWidth="1"/>
    <col min="12" max="12" width="8.28515625" bestFit="1" customWidth="1"/>
    <col min="13" max="14" width="9" bestFit="1" customWidth="1"/>
    <col min="15" max="15" width="6.5703125" bestFit="1" customWidth="1"/>
    <col min="16" max="16" width="8.28515625" bestFit="1" customWidth="1"/>
  </cols>
  <sheetData>
    <row r="1" spans="1:19" ht="52.5" thickBo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ht="15.75" thickBot="1">
      <c r="A2" s="5" t="str">
        <f>D2</f>
        <v>KAL0005</v>
      </c>
      <c r="B2" s="5" t="str">
        <f>VLOOKUP(A2,'[1]FROTAS SASCAR'!$A$2:$B$31,2,0)</f>
        <v>KAL05</v>
      </c>
      <c r="C2" s="5" t="str">
        <f>VLOOKUP(B2,'[1]FROTAS SASCAR'!$B$2:$C$31,2,0)</f>
        <v>EQUIPAMENTO</v>
      </c>
      <c r="D2" s="6" t="s">
        <v>35</v>
      </c>
      <c r="E2" s="7">
        <v>44986</v>
      </c>
      <c r="F2" s="7">
        <v>45000.999988425923</v>
      </c>
      <c r="G2" s="38">
        <v>5960.58</v>
      </c>
      <c r="H2" s="38">
        <v>6073.6</v>
      </c>
      <c r="I2" s="8">
        <v>113.02</v>
      </c>
      <c r="J2" s="8" t="s">
        <v>43</v>
      </c>
      <c r="K2" s="8" t="s">
        <v>59</v>
      </c>
      <c r="L2" s="8">
        <v>133</v>
      </c>
      <c r="M2" s="8">
        <v>7.18</v>
      </c>
      <c r="N2" s="8">
        <v>55</v>
      </c>
      <c r="O2" s="8">
        <v>886.86</v>
      </c>
      <c r="P2" s="8">
        <v>2000</v>
      </c>
      <c r="Q2" s="42">
        <v>3.9542939814814813</v>
      </c>
      <c r="R2" s="52">
        <v>0.77935185185185185</v>
      </c>
      <c r="S2" s="39">
        <v>8.1362615740740747</v>
      </c>
    </row>
    <row r="3" spans="1:19" ht="15.75" thickBot="1">
      <c r="A3" s="5" t="str">
        <f t="shared" ref="A3:A17" si="0">D3</f>
        <v>KAL0006</v>
      </c>
      <c r="B3" s="5" t="str">
        <f>VLOOKUP(A3,'[1]FROTAS SASCAR'!$A$2:$B$31,2,0)</f>
        <v>KAL06</v>
      </c>
      <c r="C3" s="5" t="str">
        <f>VLOOKUP(B3,'[1]FROTAS SASCAR'!$B$2:$C$31,2,0)</f>
        <v>EQUIPAMENTO</v>
      </c>
      <c r="D3" s="9" t="s">
        <v>19</v>
      </c>
      <c r="E3" s="10">
        <v>44986</v>
      </c>
      <c r="F3" s="10">
        <v>45000.999988425923</v>
      </c>
      <c r="G3" s="11">
        <v>2191.44</v>
      </c>
      <c r="H3" s="11">
        <v>2344.59</v>
      </c>
      <c r="I3" s="12">
        <v>153.13999999999999</v>
      </c>
      <c r="J3" s="12" t="s">
        <v>44</v>
      </c>
      <c r="K3" s="12" t="s">
        <v>60</v>
      </c>
      <c r="L3" s="12">
        <v>191.69</v>
      </c>
      <c r="M3" s="12">
        <v>7.79</v>
      </c>
      <c r="N3" s="12">
        <v>28</v>
      </c>
      <c r="O3" s="12">
        <v>952.21</v>
      </c>
      <c r="P3" s="12">
        <v>2000</v>
      </c>
      <c r="Q3" s="13">
        <v>5.4209490740740742</v>
      </c>
      <c r="R3" s="13">
        <v>1.0396990740740741</v>
      </c>
      <c r="S3" s="14">
        <v>8.6890393518518518</v>
      </c>
    </row>
    <row r="4" spans="1:19" ht="15.75" thickBot="1">
      <c r="A4" s="5" t="str">
        <f t="shared" si="0"/>
        <v>KAL0007</v>
      </c>
      <c r="B4" s="5" t="str">
        <f>VLOOKUP(A4,'[1]FROTAS SASCAR'!$A$2:$B$31,2,0)</f>
        <v>KAL07</v>
      </c>
      <c r="C4" s="5" t="str">
        <f>VLOOKUP(B4,'[1]FROTAS SASCAR'!$B$2:$C$31,2,0)</f>
        <v>EQUIPAMENTO</v>
      </c>
      <c r="D4" s="15" t="s">
        <v>45</v>
      </c>
      <c r="E4" s="16">
        <v>44986</v>
      </c>
      <c r="F4" s="16">
        <v>45000.999988425923</v>
      </c>
      <c r="G4" s="21">
        <v>16621.36</v>
      </c>
      <c r="H4" s="21">
        <v>16621.740000000002</v>
      </c>
      <c r="I4" s="17">
        <v>0.38</v>
      </c>
      <c r="J4" s="17" t="s">
        <v>46</v>
      </c>
      <c r="K4" s="17" t="s">
        <v>61</v>
      </c>
      <c r="L4" s="17">
        <v>0.05</v>
      </c>
      <c r="M4" s="17">
        <v>3.67</v>
      </c>
      <c r="N4" s="17">
        <v>5</v>
      </c>
      <c r="O4" s="17">
        <v>707.16</v>
      </c>
      <c r="P4" s="17">
        <v>1100</v>
      </c>
      <c r="Q4" s="40">
        <v>1.6585648148148148E-2</v>
      </c>
      <c r="R4" s="40">
        <v>7.0601851851851847E-4</v>
      </c>
      <c r="S4" s="43">
        <v>0.20128472222222224</v>
      </c>
    </row>
    <row r="5" spans="1:19" ht="26.25" thickBot="1">
      <c r="A5" s="5" t="str">
        <f t="shared" si="0"/>
        <v>ORR3024</v>
      </c>
      <c r="B5" s="5" t="str">
        <f>VLOOKUP(A5,'[1]FROTAS SASCAR'!$A$2:$B$31,2,0)</f>
        <v>CM1025</v>
      </c>
      <c r="C5" s="5" t="str">
        <f>VLOOKUP(B5,'[1]FROTAS SASCAR'!$B$2:$C$31,2,0)</f>
        <v>CAVALO MECÂNICO</v>
      </c>
      <c r="D5" s="9" t="s">
        <v>20</v>
      </c>
      <c r="E5" s="10">
        <v>44986</v>
      </c>
      <c r="F5" s="10">
        <v>45000.999988425923</v>
      </c>
      <c r="G5" s="11">
        <v>25183.919999999998</v>
      </c>
      <c r="H5" s="11">
        <v>25187.24</v>
      </c>
      <c r="I5" s="12">
        <v>3.33</v>
      </c>
      <c r="J5" s="12" t="s">
        <v>42</v>
      </c>
      <c r="K5" s="12" t="s">
        <v>62</v>
      </c>
      <c r="L5" s="12">
        <v>80.319999999999993</v>
      </c>
      <c r="M5" s="12">
        <v>42.46</v>
      </c>
      <c r="N5" s="12">
        <v>74</v>
      </c>
      <c r="O5" s="12">
        <v>805.6</v>
      </c>
      <c r="P5" s="12">
        <v>2100</v>
      </c>
      <c r="Q5" s="20">
        <v>0.13998842592592592</v>
      </c>
      <c r="R5" s="20">
        <v>7.7997685185185184E-2</v>
      </c>
      <c r="S5" s="14">
        <v>3.9589004629629634</v>
      </c>
    </row>
    <row r="6" spans="1:19" ht="26.25" thickBot="1">
      <c r="A6" s="5" t="str">
        <f t="shared" si="0"/>
        <v>ORR3204</v>
      </c>
      <c r="B6" s="5" t="str">
        <f>VLOOKUP(A6,'[1]FROTAS SASCAR'!$A$2:$B$31,2,0)</f>
        <v>CM1026</v>
      </c>
      <c r="C6" s="5" t="str">
        <f>VLOOKUP(B6,'[1]FROTAS SASCAR'!$B$2:$C$31,2,0)</f>
        <v>CAVALO MECÂNICO</v>
      </c>
      <c r="D6" s="15" t="s">
        <v>21</v>
      </c>
      <c r="E6" s="16">
        <v>44986</v>
      </c>
      <c r="F6" s="16">
        <v>45000.999988425923</v>
      </c>
      <c r="G6" s="21">
        <v>25813.7</v>
      </c>
      <c r="H6" s="21">
        <v>25967.99</v>
      </c>
      <c r="I6" s="17">
        <v>154.28</v>
      </c>
      <c r="J6" s="17" t="s">
        <v>47</v>
      </c>
      <c r="K6" s="17" t="s">
        <v>63</v>
      </c>
      <c r="L6" s="21">
        <v>1166.21</v>
      </c>
      <c r="M6" s="17">
        <v>18.86</v>
      </c>
      <c r="N6" s="17">
        <v>81</v>
      </c>
      <c r="O6" s="17">
        <v>680.69</v>
      </c>
      <c r="P6" s="17">
        <v>2100</v>
      </c>
      <c r="Q6" s="18">
        <v>3.9212152777777778</v>
      </c>
      <c r="R6" s="18">
        <v>2.5894560185185185</v>
      </c>
      <c r="S6" s="19">
        <v>8.6211458333333333</v>
      </c>
    </row>
    <row r="7" spans="1:19" ht="26.25" thickBot="1">
      <c r="A7" s="22" t="str">
        <f t="shared" si="0"/>
        <v>PME0460</v>
      </c>
      <c r="B7" s="22" t="str">
        <f>VLOOKUP(A7,'[1]FROTAS SASCAR'!$A$2:$B$31,2,0)</f>
        <v>VM09</v>
      </c>
      <c r="C7" s="5" t="str">
        <f>VLOOKUP(B7,'[1]FROTAS SASCAR'!$B$2:$C$31,2,0)</f>
        <v>BAÚ</v>
      </c>
      <c r="D7" s="9" t="s">
        <v>32</v>
      </c>
      <c r="E7" s="10">
        <v>44986</v>
      </c>
      <c r="F7" s="10">
        <v>45000.999988425923</v>
      </c>
      <c r="G7" s="11">
        <v>19950.25</v>
      </c>
      <c r="H7" s="11">
        <v>20077.849999999999</v>
      </c>
      <c r="I7" s="12">
        <v>127.59</v>
      </c>
      <c r="J7" s="12" t="s">
        <v>48</v>
      </c>
      <c r="K7" s="12" t="s">
        <v>64</v>
      </c>
      <c r="L7" s="11">
        <v>2783.09</v>
      </c>
      <c r="M7" s="12">
        <v>49.13</v>
      </c>
      <c r="N7" s="12">
        <v>93</v>
      </c>
      <c r="O7" s="12">
        <v>965.96</v>
      </c>
      <c r="P7" s="12">
        <v>2500</v>
      </c>
      <c r="Q7" s="13">
        <v>3.0425925925925927</v>
      </c>
      <c r="R7" s="13">
        <v>2.340127314814815</v>
      </c>
      <c r="S7" s="14">
        <v>9.7164467592592594</v>
      </c>
    </row>
    <row r="8" spans="1:19" ht="26.25" thickBot="1">
      <c r="A8" s="41" t="str">
        <f t="shared" si="0"/>
        <v>POT8840</v>
      </c>
      <c r="B8" s="41" t="str">
        <f>VLOOKUP(A8,'[1]FROTAS SASCAR'!$A$2:$B$31,2,0)</f>
        <v>CM5010</v>
      </c>
      <c r="C8" s="5" t="str">
        <f>VLOOKUP(B8,'[1]FROTAS SASCAR'!$B$2:$C$31,2,0)</f>
        <v>CAVALO MECÂNICO</v>
      </c>
      <c r="D8" s="15" t="s">
        <v>41</v>
      </c>
      <c r="E8" s="16">
        <v>44986</v>
      </c>
      <c r="F8" s="16">
        <v>45000.999988425923</v>
      </c>
      <c r="G8" s="21">
        <v>3721.4</v>
      </c>
      <c r="H8" s="21">
        <v>3885.8</v>
      </c>
      <c r="I8" s="17">
        <v>164.41</v>
      </c>
      <c r="J8" s="17" t="s">
        <v>65</v>
      </c>
      <c r="K8" s="17" t="s">
        <v>66</v>
      </c>
      <c r="L8" s="21">
        <v>1393.05</v>
      </c>
      <c r="M8" s="17">
        <v>19.05</v>
      </c>
      <c r="N8" s="17">
        <v>59</v>
      </c>
      <c r="O8" s="17">
        <v>703.32</v>
      </c>
      <c r="P8" s="17">
        <v>2200</v>
      </c>
      <c r="Q8" s="18">
        <v>4.062256944444445</v>
      </c>
      <c r="R8" s="18">
        <v>2.9688310185185185</v>
      </c>
      <c r="S8" s="19">
        <v>8.1754398148148137</v>
      </c>
    </row>
    <row r="9" spans="1:19" ht="26.25" thickBot="1">
      <c r="A9" s="5" t="str">
        <f t="shared" si="0"/>
        <v>POW7309</v>
      </c>
      <c r="B9" s="5" t="str">
        <f>VLOOKUP(A9,'[1]FROTAS SASCAR'!$A$2:$B$31,2,0)</f>
        <v>CM5013</v>
      </c>
      <c r="C9" s="5" t="str">
        <f>VLOOKUP(B9,'[1]FROTAS SASCAR'!$B$2:$C$31,2,0)</f>
        <v>CAVALO MECÂNICO</v>
      </c>
      <c r="D9" s="9" t="s">
        <v>22</v>
      </c>
      <c r="E9" s="10">
        <v>44986</v>
      </c>
      <c r="F9" s="10">
        <v>45000.999988425923</v>
      </c>
      <c r="G9" s="11">
        <v>5551.44</v>
      </c>
      <c r="H9" s="11">
        <v>5681.8</v>
      </c>
      <c r="I9" s="12">
        <v>130.36000000000001</v>
      </c>
      <c r="J9" s="12" t="s">
        <v>49</v>
      </c>
      <c r="K9" s="12" t="s">
        <v>67</v>
      </c>
      <c r="L9" s="11">
        <v>1217.1199999999999</v>
      </c>
      <c r="M9" s="12">
        <v>19.11</v>
      </c>
      <c r="N9" s="12">
        <v>47</v>
      </c>
      <c r="O9" s="12">
        <v>726.27</v>
      </c>
      <c r="P9" s="12">
        <v>2100</v>
      </c>
      <c r="Q9" s="13">
        <v>2.9079861111111112</v>
      </c>
      <c r="R9" s="13">
        <v>2.5856365740740741</v>
      </c>
      <c r="S9" s="14">
        <v>9.6824421296296297</v>
      </c>
    </row>
    <row r="10" spans="1:19" ht="26.25" thickBot="1">
      <c r="A10" s="5" t="str">
        <f t="shared" si="0"/>
        <v>POW8679</v>
      </c>
      <c r="B10" s="5" t="str">
        <f>VLOOKUP(A10,'[1]FROTAS SASCAR'!$A$2:$B$31,2,0)</f>
        <v>CM5014</v>
      </c>
      <c r="C10" s="5" t="str">
        <f>VLOOKUP(B10,'[1]FROTAS SASCAR'!$B$2:$C$31,2,0)</f>
        <v>CAVALO MECÂNICO</v>
      </c>
      <c r="D10" s="15" t="s">
        <v>23</v>
      </c>
      <c r="E10" s="16">
        <v>44986</v>
      </c>
      <c r="F10" s="16">
        <v>45000.999988425923</v>
      </c>
      <c r="G10" s="21">
        <v>5516.78</v>
      </c>
      <c r="H10" s="21">
        <v>5714.12</v>
      </c>
      <c r="I10" s="17">
        <v>197.34</v>
      </c>
      <c r="J10" s="17" t="s">
        <v>50</v>
      </c>
      <c r="K10" s="17" t="s">
        <v>68</v>
      </c>
      <c r="L10" s="21">
        <v>1431.93</v>
      </c>
      <c r="M10" s="17">
        <v>18.09</v>
      </c>
      <c r="N10" s="17">
        <v>65</v>
      </c>
      <c r="O10" s="17">
        <v>683.1</v>
      </c>
      <c r="P10" s="17">
        <v>2200</v>
      </c>
      <c r="Q10" s="18">
        <v>5.1572222222222219</v>
      </c>
      <c r="R10" s="18">
        <v>3.2136226851851855</v>
      </c>
      <c r="S10" s="19">
        <v>6.6964120370370379</v>
      </c>
    </row>
    <row r="11" spans="1:19" ht="15.75" thickBot="1">
      <c r="A11" s="5" t="str">
        <f t="shared" si="0"/>
        <v>UEP0015</v>
      </c>
      <c r="B11" s="5" t="str">
        <f>VLOOKUP(A11,'[1]FROTAS SASCAR'!$A$2:$B$31,2,0)</f>
        <v>EP15</v>
      </c>
      <c r="C11" s="5" t="str">
        <f>VLOOKUP(B11,'[1]FROTAS SASCAR'!$B$2:$C$31,2,0)</f>
        <v>EQUIPAMENTO</v>
      </c>
      <c r="D11" s="9" t="s">
        <v>24</v>
      </c>
      <c r="E11" s="10">
        <v>44986</v>
      </c>
      <c r="F11" s="10">
        <v>45000.999988425923</v>
      </c>
      <c r="G11" s="11">
        <v>5218.21</v>
      </c>
      <c r="H11" s="11">
        <v>5267.07</v>
      </c>
      <c r="I11" s="12">
        <v>48.86</v>
      </c>
      <c r="J11" s="12" t="s">
        <v>51</v>
      </c>
      <c r="K11" s="12" t="s">
        <v>69</v>
      </c>
      <c r="L11" s="12">
        <v>129.79</v>
      </c>
      <c r="M11" s="12">
        <v>4.58</v>
      </c>
      <c r="N11" s="12">
        <v>21</v>
      </c>
      <c r="O11" s="12">
        <v>944.72</v>
      </c>
      <c r="P11" s="12">
        <v>2200</v>
      </c>
      <c r="Q11" s="20">
        <v>0.99285879629629636</v>
      </c>
      <c r="R11" s="13">
        <v>1.0446527777777777</v>
      </c>
      <c r="S11" s="14">
        <v>13.149374999999999</v>
      </c>
    </row>
    <row r="12" spans="1:19" ht="15.75" thickBot="1">
      <c r="A12" s="5" t="str">
        <f t="shared" si="0"/>
        <v>UNH0002</v>
      </c>
      <c r="B12" s="5" t="str">
        <f>VLOOKUP(A12,'[1]FROTAS SASCAR'!$A$2:$B$31,2,0)</f>
        <v>H02</v>
      </c>
      <c r="C12" s="5" t="str">
        <f>VLOOKUP(B12,'[1]FROTAS SASCAR'!$B$2:$C$31,2,0)</f>
        <v>EQUIPAMENTO</v>
      </c>
      <c r="D12" s="15" t="s">
        <v>36</v>
      </c>
      <c r="E12" s="16">
        <v>44986</v>
      </c>
      <c r="F12" s="16">
        <v>45000.999988425923</v>
      </c>
      <c r="G12" s="21">
        <v>2393.9699999999998</v>
      </c>
      <c r="H12" s="21">
        <v>2493.63</v>
      </c>
      <c r="I12" s="17">
        <v>99.67</v>
      </c>
      <c r="J12" s="17" t="s">
        <v>52</v>
      </c>
      <c r="K12" s="17" t="s">
        <v>70</v>
      </c>
      <c r="L12" s="17">
        <v>126.14</v>
      </c>
      <c r="M12" s="17">
        <v>7.18</v>
      </c>
      <c r="N12" s="17">
        <v>157</v>
      </c>
      <c r="O12" s="17">
        <v>0</v>
      </c>
      <c r="P12" s="17">
        <v>0</v>
      </c>
      <c r="Q12" s="18">
        <v>3.7535648148148151</v>
      </c>
      <c r="R12" s="40">
        <v>0.76915509259259263</v>
      </c>
      <c r="S12" s="19">
        <v>10.786446759259258</v>
      </c>
    </row>
    <row r="13" spans="1:19" ht="15.75" thickBot="1">
      <c r="A13" s="22" t="str">
        <f t="shared" si="0"/>
        <v>UNH0003</v>
      </c>
      <c r="B13" s="22" t="str">
        <f>VLOOKUP(A13,'[1]FROTAS SASCAR'!$A$2:$B$31,2,0)</f>
        <v>H03</v>
      </c>
      <c r="C13" s="5" t="str">
        <f>VLOOKUP(B13,'[1]FROTAS SASCAR'!$B$2:$C$31,2,0)</f>
        <v>EQUIPAMENTO</v>
      </c>
      <c r="D13" s="9" t="s">
        <v>37</v>
      </c>
      <c r="E13" s="10">
        <v>44986</v>
      </c>
      <c r="F13" s="10">
        <v>45000.999988425923</v>
      </c>
      <c r="G13" s="11">
        <v>1337.89</v>
      </c>
      <c r="H13" s="11">
        <v>1407.48</v>
      </c>
      <c r="I13" s="12">
        <v>69.59</v>
      </c>
      <c r="J13" s="12" t="s">
        <v>53</v>
      </c>
      <c r="K13" s="12" t="s">
        <v>71</v>
      </c>
      <c r="L13" s="12">
        <v>71.489999999999995</v>
      </c>
      <c r="M13" s="12">
        <v>7.34</v>
      </c>
      <c r="N13" s="12">
        <v>25</v>
      </c>
      <c r="O13" s="12">
        <v>0</v>
      </c>
      <c r="P13" s="12">
        <v>0</v>
      </c>
      <c r="Q13" s="13">
        <v>3.0519328703703703</v>
      </c>
      <c r="R13" s="20">
        <v>0.41018518518518521</v>
      </c>
      <c r="S13" s="14">
        <v>11.871388888888889</v>
      </c>
    </row>
    <row r="14" spans="1:19" ht="15.75" thickBot="1">
      <c r="A14" s="23" t="str">
        <f t="shared" si="0"/>
        <v>URS0010</v>
      </c>
      <c r="B14" s="22" t="str">
        <f>VLOOKUP(A14,'[1]FROTAS SASCAR'!$A$2:$B$31,2,0)</f>
        <v>RS10</v>
      </c>
      <c r="C14" s="5" t="str">
        <f>VLOOKUP(B14,'[1]FROTAS SASCAR'!$B$2:$C$31,2,0)</f>
        <v>EQUIPAMENTO</v>
      </c>
      <c r="D14" s="15" t="s">
        <v>38</v>
      </c>
      <c r="E14" s="16">
        <v>44986</v>
      </c>
      <c r="F14" s="16">
        <v>45000.999988425923</v>
      </c>
      <c r="G14" s="21">
        <v>3516.94</v>
      </c>
      <c r="H14" s="21">
        <v>3530.18</v>
      </c>
      <c r="I14" s="17">
        <v>13.24</v>
      </c>
      <c r="J14" s="17" t="s">
        <v>54</v>
      </c>
      <c r="K14" s="17" t="s">
        <v>72</v>
      </c>
      <c r="L14" s="17">
        <v>20</v>
      </c>
      <c r="M14" s="17">
        <v>9.86</v>
      </c>
      <c r="N14" s="17">
        <v>23</v>
      </c>
      <c r="O14" s="17">
        <v>833.9</v>
      </c>
      <c r="P14" s="17">
        <v>2000</v>
      </c>
      <c r="Q14" s="40">
        <v>0.46718750000000003</v>
      </c>
      <c r="R14" s="40">
        <v>8.6863425925925927E-2</v>
      </c>
      <c r="S14" s="19">
        <v>14.690173611111112</v>
      </c>
    </row>
    <row r="15" spans="1:19" ht="15.75" thickBot="1">
      <c r="A15" s="23" t="str">
        <f t="shared" si="0"/>
        <v>URS0012</v>
      </c>
      <c r="B15" s="22" t="str">
        <f>VLOOKUP(A15,'[1]FROTAS SASCAR'!$A$2:$B$31,2,0)</f>
        <v>RS12</v>
      </c>
      <c r="C15" s="5" t="str">
        <f>VLOOKUP(B15,'[1]FROTAS SASCAR'!$B$2:$C$31,2,0)</f>
        <v>EQUIPAMENTO</v>
      </c>
      <c r="D15" s="9" t="s">
        <v>40</v>
      </c>
      <c r="E15" s="10">
        <v>44986</v>
      </c>
      <c r="F15" s="10">
        <v>45000.999988425923</v>
      </c>
      <c r="G15" s="11">
        <v>6115.91</v>
      </c>
      <c r="H15" s="11">
        <v>6158.25</v>
      </c>
      <c r="I15" s="12">
        <v>42.34</v>
      </c>
      <c r="J15" s="12" t="s">
        <v>55</v>
      </c>
      <c r="K15" s="12" t="s">
        <v>73</v>
      </c>
      <c r="L15" s="12">
        <v>55.27</v>
      </c>
      <c r="M15" s="12">
        <v>8.5299999999999994</v>
      </c>
      <c r="N15" s="12">
        <v>26</v>
      </c>
      <c r="O15" s="12">
        <v>874.87</v>
      </c>
      <c r="P15" s="12">
        <v>2000</v>
      </c>
      <c r="Q15" s="13">
        <v>1.4918171296296296</v>
      </c>
      <c r="R15" s="20">
        <v>0.27334490740740741</v>
      </c>
      <c r="S15" s="14">
        <v>13.476516203703703</v>
      </c>
    </row>
    <row r="16" spans="1:19" ht="15.75" thickBot="1">
      <c r="A16" s="23" t="str">
        <f t="shared" si="0"/>
        <v>URS0016</v>
      </c>
      <c r="B16" s="22" t="str">
        <f>VLOOKUP(A16,'[1]FROTAS SASCAR'!$A$2:$B$31,2,0)</f>
        <v>RS16</v>
      </c>
      <c r="C16" s="5" t="str">
        <f>VLOOKUP(B16,'[1]FROTAS SASCAR'!$B$2:$C$31,2,0)</f>
        <v>EQUIPAMENTO</v>
      </c>
      <c r="D16" s="15" t="s">
        <v>39</v>
      </c>
      <c r="E16" s="16">
        <v>44986</v>
      </c>
      <c r="F16" s="16">
        <v>45000.999988425923</v>
      </c>
      <c r="G16" s="21">
        <v>1247.3800000000001</v>
      </c>
      <c r="H16" s="21">
        <v>1312.61</v>
      </c>
      <c r="I16" s="17">
        <v>65.23</v>
      </c>
      <c r="J16" s="17" t="s">
        <v>56</v>
      </c>
      <c r="K16" s="17" t="s">
        <v>74</v>
      </c>
      <c r="L16" s="17">
        <v>50.5</v>
      </c>
      <c r="M16" s="17">
        <v>5.04</v>
      </c>
      <c r="N16" s="17">
        <v>20</v>
      </c>
      <c r="O16" s="17">
        <v>872.31</v>
      </c>
      <c r="P16" s="17">
        <v>2100</v>
      </c>
      <c r="Q16" s="18">
        <v>2.2907986111111112</v>
      </c>
      <c r="R16" s="40">
        <v>0.62236111111111114</v>
      </c>
      <c r="S16" s="19">
        <v>12.427708333333333</v>
      </c>
    </row>
    <row r="17" spans="1:19" ht="15.75" thickBot="1">
      <c r="A17" s="23" t="str">
        <f t="shared" si="0"/>
        <v>URS0017</v>
      </c>
      <c r="B17" s="22" t="str">
        <f>VLOOKUP(A17,'[1]FROTAS SASCAR'!$A$2:$B$31,2,0)</f>
        <v>RS17</v>
      </c>
      <c r="C17" s="5" t="str">
        <f>VLOOKUP(B17,'[1]FROTAS SASCAR'!$B$2:$C$31,2,0)</f>
        <v>EQUIPAMENTO</v>
      </c>
      <c r="D17" s="53" t="s">
        <v>26</v>
      </c>
      <c r="E17" s="54">
        <v>44986</v>
      </c>
      <c r="F17" s="54">
        <v>45000.999988425923</v>
      </c>
      <c r="G17" s="55">
        <v>1322.61</v>
      </c>
      <c r="H17" s="55">
        <v>1408.34</v>
      </c>
      <c r="I17" s="56">
        <v>85.73</v>
      </c>
      <c r="J17" s="56" t="s">
        <v>57</v>
      </c>
      <c r="K17" s="56" t="s">
        <v>75</v>
      </c>
      <c r="L17" s="56">
        <v>55.56</v>
      </c>
      <c r="M17" s="56">
        <v>5.68</v>
      </c>
      <c r="N17" s="56">
        <v>20</v>
      </c>
      <c r="O17" s="56">
        <v>863.79</v>
      </c>
      <c r="P17" s="56">
        <v>2100</v>
      </c>
      <c r="Q17" s="57">
        <v>2.6120717592592593</v>
      </c>
      <c r="R17" s="58">
        <v>0.69943287037037039</v>
      </c>
      <c r="S17" s="59">
        <v>12.020312500000001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DINAMICA</vt:lpstr>
      <vt:lpstr>PAINEL</vt:lpstr>
      <vt:lpstr>BD</vt:lpstr>
      <vt:lpstr>PAINEL!Area_de_impressao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OPERAÇÃO</dc:creator>
  <cp:lastModifiedBy>OPERAÇÃO</cp:lastModifiedBy>
  <cp:lastPrinted>2022-10-20T13:42:34Z</cp:lastPrinted>
  <dcterms:created xsi:type="dcterms:W3CDTF">2022-10-05T16:35:23Z</dcterms:created>
  <dcterms:modified xsi:type="dcterms:W3CDTF">2023-03-17T14:07:35Z</dcterms:modified>
</cp:coreProperties>
</file>