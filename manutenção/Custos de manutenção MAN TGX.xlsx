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1. Visão dos custos por bem ..." sheetId="1" r:id="rId1"/>
  </sheets>
  <definedNames>
    <definedName name="_xlnm._FilterDatabase" localSheetId="0" hidden="1">'1. Visão dos custos por bem ...'!$A$1:$G$65</definedName>
    <definedName name="_xlnm.Print_Titles" localSheetId="0">'1. Visão dos custos por bem ...'!$A:$B,'1. Visão dos custos por bem ...'!$1:$2</definedName>
  </definedNames>
  <calcPr calcId="152511"/>
</workbook>
</file>

<file path=xl/calcChain.xml><?xml version="1.0" encoding="utf-8"?>
<calcChain xmlns="http://schemas.openxmlformats.org/spreadsheetml/2006/main">
  <c r="C65" i="1" l="1"/>
  <c r="D65" i="1"/>
  <c r="E65" i="1"/>
  <c r="F65" i="1"/>
  <c r="C48" i="1"/>
  <c r="D48" i="1"/>
  <c r="E48" i="1"/>
  <c r="F48" i="1"/>
  <c r="C33" i="1"/>
  <c r="D33" i="1"/>
  <c r="E33" i="1"/>
  <c r="F33" i="1"/>
  <c r="G65" i="1"/>
  <c r="G33" i="1"/>
  <c r="G48" i="1"/>
  <c r="D17" i="1"/>
  <c r="E17" i="1"/>
  <c r="F17" i="1"/>
  <c r="G17" i="1"/>
  <c r="C17" i="1"/>
</calcChain>
</file>

<file path=xl/sharedStrings.xml><?xml version="1.0" encoding="utf-8"?>
<sst xmlns="http://schemas.openxmlformats.org/spreadsheetml/2006/main" count="191" uniqueCount="15">
  <si>
    <t/>
  </si>
  <si>
    <t>MÃO-DE-OBRA</t>
  </si>
  <si>
    <t>OUTROS</t>
  </si>
  <si>
    <t>PEÇAS</t>
  </si>
  <si>
    <t>TERCEIROS</t>
  </si>
  <si>
    <t>Equipamento</t>
  </si>
  <si>
    <t>Mês</t>
  </si>
  <si>
    <t>Custo manutenção</t>
  </si>
  <si>
    <t>CM4000</t>
  </si>
  <si>
    <t>R$ 0.00</t>
  </si>
  <si>
    <t>CM4001</t>
  </si>
  <si>
    <t>CM4002</t>
  </si>
  <si>
    <t>CM4003</t>
  </si>
  <si>
    <t>TOTAL</t>
  </si>
  <si>
    <t>Tipo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</si>
</sst>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&quot;\ 0.00"/>
    <numFmt numFmtId="165" formatCode="&quot;R$&quot;\ #,##0.00;&quot;R$&quot;\ #,##0.00"/>
    <numFmt numFmtId="175" formatCode="[$-416]mmm\-yy;@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  <font>
      <sz val="9"/>
      <color theme="1"/>
      <name val="Verdana"/>
      <family val="2"/>
    </font>
    <font>
      <b/>
      <sz val="10"/>
      <color rgb="FF808080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808080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49" fontId="6" fillId="2" borderId="6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Border="1" applyAlignment="1">
      <alignment horizontal="left" vertical="top"/>
    </xf>
    <xf numFmtId="49" fontId="5" fillId="2" borderId="8" xfId="0" applyNumberFormat="1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49" fontId="8" fillId="3" borderId="5" xfId="0" applyNumberFormat="1" applyFont="1" applyFill="1" applyBorder="1" applyAlignment="1">
      <alignment horizontal="left" vertical="center"/>
    </xf>
    <xf numFmtId="164" fontId="3" fillId="4" borderId="0" xfId="0" applyNumberFormat="1" applyFont="1" applyFill="1" applyBorder="1" applyAlignment="1">
      <alignment horizontal="center"/>
    </xf>
    <xf numFmtId="165" fontId="3" fillId="4" borderId="0" xfId="0" applyNumberFormat="1" applyFont="1" applyFill="1" applyBorder="1" applyAlignment="1">
      <alignment horizontal="center"/>
    </xf>
    <xf numFmtId="165" fontId="4" fillId="4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165" fontId="7" fillId="4" borderId="7" xfId="0" applyNumberFormat="1" applyFont="1" applyFill="1" applyBorder="1" applyAlignment="1">
      <alignment horizontal="center"/>
    </xf>
    <xf numFmtId="165" fontId="7" fillId="4" borderId="10" xfId="0" applyNumberFormat="1" applyFont="1" applyFill="1" applyBorder="1" applyAlignment="1">
      <alignment horizontal="center"/>
    </xf>
    <xf numFmtId="175" fontId="2" fillId="2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B8" sqref="B8"/>
    </sheetView>
  </sheetViews>
  <sheetFormatPr defaultRowHeight="15" x14ac:dyDescent="0.25"/>
  <cols>
    <col min="1" max="2" width="17.5703125" customWidth="1"/>
    <col min="3" max="7" width="21.140625" bestFit="1" customWidth="1"/>
  </cols>
  <sheetData>
    <row r="1" spans="1:7" x14ac:dyDescent="0.25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13</v>
      </c>
    </row>
    <row r="2" spans="1:7" x14ac:dyDescent="0.25">
      <c r="A2" s="8" t="s">
        <v>5</v>
      </c>
      <c r="B2" s="9" t="s">
        <v>6</v>
      </c>
      <c r="C2" s="10" t="s">
        <v>7</v>
      </c>
      <c r="D2" s="10" t="s">
        <v>7</v>
      </c>
      <c r="E2" s="10" t="s">
        <v>7</v>
      </c>
      <c r="F2" s="10" t="s">
        <v>7</v>
      </c>
      <c r="G2" s="10" t="s">
        <v>7</v>
      </c>
    </row>
    <row r="3" spans="1:7" x14ac:dyDescent="0.25">
      <c r="A3" s="6" t="s">
        <v>8</v>
      </c>
      <c r="B3" s="19">
        <v>44197</v>
      </c>
      <c r="C3" s="11" t="s">
        <v>9</v>
      </c>
      <c r="D3" s="11" t="s">
        <v>9</v>
      </c>
      <c r="E3" s="12">
        <v>82.55</v>
      </c>
      <c r="F3" s="11" t="s">
        <v>9</v>
      </c>
      <c r="G3" s="13">
        <v>82.55</v>
      </c>
    </row>
    <row r="4" spans="1:7" x14ac:dyDescent="0.25">
      <c r="A4" s="6" t="s">
        <v>8</v>
      </c>
      <c r="B4" s="19">
        <v>44228</v>
      </c>
      <c r="C4" s="14">
        <v>72.92</v>
      </c>
      <c r="D4" s="15" t="s">
        <v>9</v>
      </c>
      <c r="E4" s="14">
        <v>1324.47</v>
      </c>
      <c r="F4" s="14">
        <v>326.7</v>
      </c>
      <c r="G4" s="16">
        <v>1724.09</v>
      </c>
    </row>
    <row r="5" spans="1:7" x14ac:dyDescent="0.25">
      <c r="A5" s="6" t="s">
        <v>8</v>
      </c>
      <c r="B5" s="19">
        <v>44256</v>
      </c>
      <c r="C5" s="12">
        <v>28.76</v>
      </c>
      <c r="D5" s="11" t="s">
        <v>9</v>
      </c>
      <c r="E5" s="12">
        <v>240.16</v>
      </c>
      <c r="F5" s="11" t="s">
        <v>9</v>
      </c>
      <c r="G5" s="13">
        <v>268.92</v>
      </c>
    </row>
    <row r="6" spans="1:7" x14ac:dyDescent="0.25">
      <c r="A6" s="6" t="s">
        <v>8</v>
      </c>
      <c r="B6" s="19">
        <v>44287</v>
      </c>
      <c r="C6" s="14">
        <v>0.48</v>
      </c>
      <c r="D6" s="15" t="s">
        <v>9</v>
      </c>
      <c r="E6" s="14">
        <v>2266.0700000000002</v>
      </c>
      <c r="F6" s="14">
        <v>3759.77</v>
      </c>
      <c r="G6" s="16">
        <v>6026.32</v>
      </c>
    </row>
    <row r="7" spans="1:7" x14ac:dyDescent="0.25">
      <c r="A7" s="6" t="s">
        <v>8</v>
      </c>
      <c r="B7" s="19">
        <v>44317</v>
      </c>
      <c r="C7" s="12">
        <v>89.71</v>
      </c>
      <c r="D7" s="11" t="s">
        <v>9</v>
      </c>
      <c r="E7" s="12">
        <v>545.92999999999995</v>
      </c>
      <c r="F7" s="12">
        <v>72.599999999999994</v>
      </c>
      <c r="G7" s="13">
        <v>708.24</v>
      </c>
    </row>
    <row r="8" spans="1:7" x14ac:dyDescent="0.25">
      <c r="A8" s="6" t="s">
        <v>8</v>
      </c>
      <c r="B8" s="19">
        <v>44348</v>
      </c>
      <c r="C8" s="14">
        <v>56.84</v>
      </c>
      <c r="D8" s="15" t="s">
        <v>9</v>
      </c>
      <c r="E8" s="14">
        <v>1078.1600000000001</v>
      </c>
      <c r="F8" s="15" t="s">
        <v>9</v>
      </c>
      <c r="G8" s="16">
        <v>1135</v>
      </c>
    </row>
    <row r="9" spans="1:7" x14ac:dyDescent="0.25">
      <c r="A9" s="6" t="s">
        <v>8</v>
      </c>
      <c r="B9" s="19">
        <v>44378</v>
      </c>
      <c r="C9" s="12">
        <v>21.6</v>
      </c>
      <c r="D9" s="11" t="s">
        <v>9</v>
      </c>
      <c r="E9" s="12">
        <v>1167.19</v>
      </c>
      <c r="F9" s="12">
        <v>635.26</v>
      </c>
      <c r="G9" s="13">
        <v>1824.05</v>
      </c>
    </row>
    <row r="10" spans="1:7" x14ac:dyDescent="0.25">
      <c r="A10" s="6" t="s">
        <v>8</v>
      </c>
      <c r="B10" s="19">
        <v>44409</v>
      </c>
      <c r="C10" s="15" t="s">
        <v>9</v>
      </c>
      <c r="D10" s="15" t="s">
        <v>9</v>
      </c>
      <c r="E10" s="14">
        <v>2368.5700000000002</v>
      </c>
      <c r="F10" s="15" t="s">
        <v>9</v>
      </c>
      <c r="G10" s="16">
        <v>2368.5700000000002</v>
      </c>
    </row>
    <row r="11" spans="1:7" x14ac:dyDescent="0.25">
      <c r="A11" s="6" t="s">
        <v>8</v>
      </c>
      <c r="B11" s="19">
        <v>44440</v>
      </c>
      <c r="C11" s="12">
        <v>34.4</v>
      </c>
      <c r="D11" s="11" t="s">
        <v>9</v>
      </c>
      <c r="E11" s="12">
        <v>4610.53</v>
      </c>
      <c r="F11" s="12">
        <v>453.75</v>
      </c>
      <c r="G11" s="13">
        <v>5098.68</v>
      </c>
    </row>
    <row r="12" spans="1:7" x14ac:dyDescent="0.25">
      <c r="A12" s="6" t="s">
        <v>8</v>
      </c>
      <c r="B12" s="19">
        <v>44470</v>
      </c>
      <c r="C12" s="14">
        <v>89.62</v>
      </c>
      <c r="D12" s="15" t="s">
        <v>9</v>
      </c>
      <c r="E12" s="14">
        <v>2.65</v>
      </c>
      <c r="F12" s="15" t="s">
        <v>9</v>
      </c>
      <c r="G12" s="16">
        <v>92.27</v>
      </c>
    </row>
    <row r="13" spans="1:7" x14ac:dyDescent="0.25">
      <c r="A13" s="6" t="s">
        <v>8</v>
      </c>
      <c r="B13" s="19">
        <v>44501</v>
      </c>
      <c r="C13" s="12">
        <v>289.12</v>
      </c>
      <c r="D13" s="11" t="s">
        <v>9</v>
      </c>
      <c r="E13" s="12">
        <v>3333.83</v>
      </c>
      <c r="F13" s="12">
        <v>130.68</v>
      </c>
      <c r="G13" s="13">
        <v>3753.63</v>
      </c>
    </row>
    <row r="14" spans="1:7" x14ac:dyDescent="0.25">
      <c r="A14" s="6" t="s">
        <v>8</v>
      </c>
      <c r="B14" s="19">
        <v>44531</v>
      </c>
      <c r="C14" s="14">
        <v>70.349999999999994</v>
      </c>
      <c r="D14" s="15" t="s">
        <v>9</v>
      </c>
      <c r="E14" s="14">
        <v>1438.32</v>
      </c>
      <c r="F14" s="15" t="s">
        <v>9</v>
      </c>
      <c r="G14" s="16">
        <v>1508.67</v>
      </c>
    </row>
    <row r="15" spans="1:7" x14ac:dyDescent="0.25">
      <c r="A15" s="6" t="s">
        <v>8</v>
      </c>
      <c r="B15" s="19">
        <v>44562</v>
      </c>
      <c r="C15" s="12">
        <v>216.77</v>
      </c>
      <c r="D15" s="11" t="s">
        <v>9</v>
      </c>
      <c r="E15" s="12">
        <v>593.57000000000005</v>
      </c>
      <c r="F15" s="12">
        <v>191.83</v>
      </c>
      <c r="G15" s="13">
        <v>1002.17</v>
      </c>
    </row>
    <row r="16" spans="1:7" x14ac:dyDescent="0.25">
      <c r="A16" s="6" t="s">
        <v>8</v>
      </c>
      <c r="B16" s="19">
        <v>44593</v>
      </c>
      <c r="C16" s="14">
        <v>457.33</v>
      </c>
      <c r="D16" s="15" t="s">
        <v>9</v>
      </c>
      <c r="E16" s="14">
        <v>1456.95</v>
      </c>
      <c r="F16" s="14">
        <v>415.18</v>
      </c>
      <c r="G16" s="16">
        <v>2329.46</v>
      </c>
    </row>
    <row r="17" spans="1:7" x14ac:dyDescent="0.25">
      <c r="A17" s="7" t="s">
        <v>8</v>
      </c>
      <c r="B17" s="5" t="s">
        <v>13</v>
      </c>
      <c r="C17" s="17">
        <f>SUM(C3:C16)</f>
        <v>1427.9</v>
      </c>
      <c r="D17" s="17">
        <f t="shared" ref="D17:G17" si="0">SUM(D3:D16)</f>
        <v>0</v>
      </c>
      <c r="E17" s="17">
        <f t="shared" si="0"/>
        <v>20508.95</v>
      </c>
      <c r="F17" s="17">
        <f t="shared" si="0"/>
        <v>5985.77</v>
      </c>
      <c r="G17" s="17">
        <f t="shared" si="0"/>
        <v>27922.619999999995</v>
      </c>
    </row>
    <row r="18" spans="1:7" x14ac:dyDescent="0.25">
      <c r="A18" s="6" t="s">
        <v>10</v>
      </c>
      <c r="B18" s="19">
        <v>44197</v>
      </c>
      <c r="C18" s="14">
        <v>15.81</v>
      </c>
      <c r="D18" s="15" t="s">
        <v>9</v>
      </c>
      <c r="E18" s="14">
        <v>0.03</v>
      </c>
      <c r="F18" s="15" t="s">
        <v>9</v>
      </c>
      <c r="G18" s="16">
        <v>15.84</v>
      </c>
    </row>
    <row r="19" spans="1:7" x14ac:dyDescent="0.25">
      <c r="A19" s="6" t="s">
        <v>10</v>
      </c>
      <c r="B19" s="19">
        <v>44228</v>
      </c>
      <c r="C19" s="12">
        <v>125.25</v>
      </c>
      <c r="D19" s="11" t="s">
        <v>9</v>
      </c>
      <c r="E19" s="12">
        <v>406.46</v>
      </c>
      <c r="F19" s="12">
        <v>72.599999999999994</v>
      </c>
      <c r="G19" s="13">
        <v>604.30999999999995</v>
      </c>
    </row>
    <row r="20" spans="1:7" x14ac:dyDescent="0.25">
      <c r="A20" s="6" t="s">
        <v>10</v>
      </c>
      <c r="B20" s="19">
        <v>44256</v>
      </c>
      <c r="C20" s="14">
        <v>499.46</v>
      </c>
      <c r="D20" s="15" t="s">
        <v>9</v>
      </c>
      <c r="E20" s="14">
        <v>668.79</v>
      </c>
      <c r="F20" s="15" t="s">
        <v>9</v>
      </c>
      <c r="G20" s="16">
        <v>1168.25</v>
      </c>
    </row>
    <row r="21" spans="1:7" x14ac:dyDescent="0.25">
      <c r="A21" s="6" t="s">
        <v>10</v>
      </c>
      <c r="B21" s="19">
        <v>44287</v>
      </c>
      <c r="C21" s="12">
        <v>266.08999999999997</v>
      </c>
      <c r="D21" s="11" t="s">
        <v>9</v>
      </c>
      <c r="E21" s="12">
        <v>10.01</v>
      </c>
      <c r="F21" s="11" t="s">
        <v>9</v>
      </c>
      <c r="G21" s="13">
        <v>276.10000000000002</v>
      </c>
    </row>
    <row r="22" spans="1:7" x14ac:dyDescent="0.25">
      <c r="A22" s="6" t="s">
        <v>10</v>
      </c>
      <c r="B22" s="19">
        <v>44317</v>
      </c>
      <c r="C22" s="14">
        <v>12.47</v>
      </c>
      <c r="D22" s="15" t="s">
        <v>9</v>
      </c>
      <c r="E22" s="15" t="s">
        <v>9</v>
      </c>
      <c r="F22" s="15" t="s">
        <v>9</v>
      </c>
      <c r="G22" s="16">
        <v>12.47</v>
      </c>
    </row>
    <row r="23" spans="1:7" x14ac:dyDescent="0.25">
      <c r="A23" s="6" t="s">
        <v>10</v>
      </c>
      <c r="B23" s="19">
        <v>44348</v>
      </c>
      <c r="C23" s="12">
        <v>62.75</v>
      </c>
      <c r="D23" s="11" t="s">
        <v>9</v>
      </c>
      <c r="E23" s="12">
        <v>5037.1499999999996</v>
      </c>
      <c r="F23" s="12">
        <v>108.9</v>
      </c>
      <c r="G23" s="13">
        <v>5208.8</v>
      </c>
    </row>
    <row r="24" spans="1:7" x14ac:dyDescent="0.25">
      <c r="A24" s="6" t="s">
        <v>10</v>
      </c>
      <c r="B24" s="19">
        <v>44378</v>
      </c>
      <c r="C24" s="14">
        <v>37.520000000000003</v>
      </c>
      <c r="D24" s="15" t="s">
        <v>9</v>
      </c>
      <c r="E24" s="15" t="s">
        <v>9</v>
      </c>
      <c r="F24" s="15" t="s">
        <v>9</v>
      </c>
      <c r="G24" s="16">
        <v>37.520000000000003</v>
      </c>
    </row>
    <row r="25" spans="1:7" x14ac:dyDescent="0.25">
      <c r="A25" s="6" t="s">
        <v>10</v>
      </c>
      <c r="B25" s="19">
        <v>44409</v>
      </c>
      <c r="C25" s="12">
        <v>23.6</v>
      </c>
      <c r="D25" s="11" t="s">
        <v>9</v>
      </c>
      <c r="E25" s="12">
        <v>512</v>
      </c>
      <c r="F25" s="11" t="s">
        <v>9</v>
      </c>
      <c r="G25" s="13">
        <v>535.6</v>
      </c>
    </row>
    <row r="26" spans="1:7" x14ac:dyDescent="0.25">
      <c r="A26" s="6" t="s">
        <v>10</v>
      </c>
      <c r="B26" s="19">
        <v>44440</v>
      </c>
      <c r="C26" s="14">
        <v>151.72</v>
      </c>
      <c r="D26" s="15" t="s">
        <v>9</v>
      </c>
      <c r="E26" s="14">
        <v>2431.2399999999998</v>
      </c>
      <c r="F26" s="15" t="s">
        <v>9</v>
      </c>
      <c r="G26" s="16">
        <v>2582.96</v>
      </c>
    </row>
    <row r="27" spans="1:7" x14ac:dyDescent="0.25">
      <c r="A27" s="6" t="s">
        <v>10</v>
      </c>
      <c r="B27" s="19">
        <v>44470</v>
      </c>
      <c r="C27" s="12">
        <v>225.6</v>
      </c>
      <c r="D27" s="11" t="s">
        <v>9</v>
      </c>
      <c r="E27" s="12">
        <v>6555.31</v>
      </c>
      <c r="F27" s="11" t="s">
        <v>9</v>
      </c>
      <c r="G27" s="13">
        <v>6780.91</v>
      </c>
    </row>
    <row r="28" spans="1:7" x14ac:dyDescent="0.25">
      <c r="A28" s="6" t="s">
        <v>10</v>
      </c>
      <c r="B28" s="19">
        <v>44501</v>
      </c>
      <c r="C28" s="14">
        <v>243.61</v>
      </c>
      <c r="D28" s="15" t="s">
        <v>9</v>
      </c>
      <c r="E28" s="14">
        <v>1621.59</v>
      </c>
      <c r="F28" s="15" t="s">
        <v>9</v>
      </c>
      <c r="G28" s="16">
        <v>1865.2</v>
      </c>
    </row>
    <row r="29" spans="1:7" x14ac:dyDescent="0.25">
      <c r="A29" s="6" t="s">
        <v>10</v>
      </c>
      <c r="B29" s="19">
        <v>44531</v>
      </c>
      <c r="C29" s="12">
        <v>55.26</v>
      </c>
      <c r="D29" s="11" t="s">
        <v>9</v>
      </c>
      <c r="E29" s="12">
        <v>1345.04</v>
      </c>
      <c r="F29" s="11" t="s">
        <v>9</v>
      </c>
      <c r="G29" s="13">
        <v>1400.3</v>
      </c>
    </row>
    <row r="30" spans="1:7" x14ac:dyDescent="0.25">
      <c r="A30" s="6" t="s">
        <v>10</v>
      </c>
      <c r="B30" s="19">
        <v>44562</v>
      </c>
      <c r="C30" s="14">
        <v>83.16</v>
      </c>
      <c r="D30" s="15" t="s">
        <v>9</v>
      </c>
      <c r="E30" s="14">
        <v>3719.15</v>
      </c>
      <c r="F30" s="14">
        <v>191.83</v>
      </c>
      <c r="G30" s="16">
        <v>3994.14</v>
      </c>
    </row>
    <row r="31" spans="1:7" x14ac:dyDescent="0.25">
      <c r="A31" s="6" t="s">
        <v>10</v>
      </c>
      <c r="B31" s="19">
        <v>44621</v>
      </c>
      <c r="C31" s="12">
        <v>9571.2999999999993</v>
      </c>
      <c r="D31" s="11" t="s">
        <v>9</v>
      </c>
      <c r="E31" s="12">
        <v>1291.1500000000001</v>
      </c>
      <c r="F31" s="11" t="s">
        <v>9</v>
      </c>
      <c r="G31" s="13">
        <v>10862.45</v>
      </c>
    </row>
    <row r="32" spans="1:7" x14ac:dyDescent="0.25">
      <c r="A32" s="6" t="s">
        <v>10</v>
      </c>
      <c r="B32" s="19">
        <v>44652</v>
      </c>
      <c r="C32" s="15" t="s">
        <v>9</v>
      </c>
      <c r="D32" s="15" t="s">
        <v>9</v>
      </c>
      <c r="E32" s="14">
        <v>1200</v>
      </c>
      <c r="F32" s="15" t="s">
        <v>9</v>
      </c>
      <c r="G32" s="16">
        <v>1200</v>
      </c>
    </row>
    <row r="33" spans="1:7" x14ac:dyDescent="0.25">
      <c r="A33" s="7" t="s">
        <v>10</v>
      </c>
      <c r="B33" s="5" t="s">
        <v>13</v>
      </c>
      <c r="C33" s="18">
        <f t="shared" ref="C33:F33" si="1">SUM(C18:C32)</f>
        <v>11373.599999999999</v>
      </c>
      <c r="D33" s="18">
        <f t="shared" si="1"/>
        <v>0</v>
      </c>
      <c r="E33" s="18">
        <f t="shared" si="1"/>
        <v>24797.920000000006</v>
      </c>
      <c r="F33" s="18">
        <f t="shared" si="1"/>
        <v>373.33000000000004</v>
      </c>
      <c r="G33" s="18">
        <f>SUM(G18:G32)</f>
        <v>36544.850000000006</v>
      </c>
    </row>
    <row r="34" spans="1:7" x14ac:dyDescent="0.25">
      <c r="A34" s="6" t="s">
        <v>11</v>
      </c>
      <c r="B34" s="19">
        <v>44228</v>
      </c>
      <c r="C34" s="14">
        <v>7.82</v>
      </c>
      <c r="D34" s="15" t="s">
        <v>9</v>
      </c>
      <c r="E34" s="14">
        <v>161.44999999999999</v>
      </c>
      <c r="F34" s="15" t="s">
        <v>9</v>
      </c>
      <c r="G34" s="16">
        <v>169.27</v>
      </c>
    </row>
    <row r="35" spans="1:7" x14ac:dyDescent="0.25">
      <c r="A35" s="6" t="s">
        <v>11</v>
      </c>
      <c r="B35" s="19">
        <v>44256</v>
      </c>
      <c r="C35" s="12">
        <v>841.03</v>
      </c>
      <c r="D35" s="11" t="s">
        <v>9</v>
      </c>
      <c r="E35" s="12">
        <v>819.85</v>
      </c>
      <c r="F35" s="11" t="s">
        <v>9</v>
      </c>
      <c r="G35" s="13">
        <v>1660.88</v>
      </c>
    </row>
    <row r="36" spans="1:7" x14ac:dyDescent="0.25">
      <c r="A36" s="6" t="s">
        <v>11</v>
      </c>
      <c r="B36" s="19">
        <v>44287</v>
      </c>
      <c r="C36" s="14">
        <v>3.1</v>
      </c>
      <c r="D36" s="15" t="s">
        <v>9</v>
      </c>
      <c r="E36" s="14">
        <v>2.74</v>
      </c>
      <c r="F36" s="15" t="s">
        <v>9</v>
      </c>
      <c r="G36" s="16">
        <v>5.84</v>
      </c>
    </row>
    <row r="37" spans="1:7" x14ac:dyDescent="0.25">
      <c r="A37" s="6" t="s">
        <v>11</v>
      </c>
      <c r="B37" s="19">
        <v>44317</v>
      </c>
      <c r="C37" s="12">
        <v>3.98</v>
      </c>
      <c r="D37" s="11" t="s">
        <v>9</v>
      </c>
      <c r="E37" s="11" t="s">
        <v>9</v>
      </c>
      <c r="F37" s="12">
        <v>72.599999999999994</v>
      </c>
      <c r="G37" s="13">
        <v>76.58</v>
      </c>
    </row>
    <row r="38" spans="1:7" x14ac:dyDescent="0.25">
      <c r="A38" s="6" t="s">
        <v>11</v>
      </c>
      <c r="B38" s="19">
        <v>44348</v>
      </c>
      <c r="C38" s="14">
        <v>843.77</v>
      </c>
      <c r="D38" s="14">
        <v>30.95</v>
      </c>
      <c r="E38" s="14">
        <v>5406.96</v>
      </c>
      <c r="F38" s="15" t="s">
        <v>9</v>
      </c>
      <c r="G38" s="16">
        <v>6281.68</v>
      </c>
    </row>
    <row r="39" spans="1:7" x14ac:dyDescent="0.25">
      <c r="A39" s="6" t="s">
        <v>11</v>
      </c>
      <c r="B39" s="19">
        <v>44378</v>
      </c>
      <c r="C39" s="12">
        <v>71.8</v>
      </c>
      <c r="D39" s="11" t="s">
        <v>9</v>
      </c>
      <c r="E39" s="12">
        <v>506.26</v>
      </c>
      <c r="F39" s="11" t="s">
        <v>9</v>
      </c>
      <c r="G39" s="13">
        <v>578.05999999999995</v>
      </c>
    </row>
    <row r="40" spans="1:7" x14ac:dyDescent="0.25">
      <c r="A40" s="6" t="s">
        <v>11</v>
      </c>
      <c r="B40" s="19">
        <v>44409</v>
      </c>
      <c r="C40" s="14">
        <v>89.14</v>
      </c>
      <c r="D40" s="15" t="s">
        <v>9</v>
      </c>
      <c r="E40" s="14">
        <v>30.98</v>
      </c>
      <c r="F40" s="14">
        <v>332.14</v>
      </c>
      <c r="G40" s="16">
        <v>452.26</v>
      </c>
    </row>
    <row r="41" spans="1:7" x14ac:dyDescent="0.25">
      <c r="A41" s="6" t="s">
        <v>11</v>
      </c>
      <c r="B41" s="19">
        <v>44440</v>
      </c>
      <c r="C41" s="12">
        <v>16.399999999999999</v>
      </c>
      <c r="D41" s="11" t="s">
        <v>9</v>
      </c>
      <c r="E41" s="12">
        <v>6282.14</v>
      </c>
      <c r="F41" s="12">
        <v>435.6</v>
      </c>
      <c r="G41" s="13">
        <v>6734.14</v>
      </c>
    </row>
    <row r="42" spans="1:7" x14ac:dyDescent="0.25">
      <c r="A42" s="6" t="s">
        <v>11</v>
      </c>
      <c r="B42" s="19">
        <v>44470</v>
      </c>
      <c r="C42" s="14">
        <v>73.11</v>
      </c>
      <c r="D42" s="15" t="s">
        <v>9</v>
      </c>
      <c r="E42" s="14">
        <v>175.36</v>
      </c>
      <c r="F42" s="15" t="s">
        <v>9</v>
      </c>
      <c r="G42" s="16">
        <v>248.47</v>
      </c>
    </row>
    <row r="43" spans="1:7" x14ac:dyDescent="0.25">
      <c r="A43" s="6" t="s">
        <v>11</v>
      </c>
      <c r="B43" s="19">
        <v>44501</v>
      </c>
      <c r="C43" s="12">
        <v>21.44</v>
      </c>
      <c r="D43" s="11" t="s">
        <v>9</v>
      </c>
      <c r="E43" s="12">
        <v>44.5</v>
      </c>
      <c r="F43" s="11" t="s">
        <v>9</v>
      </c>
      <c r="G43" s="13">
        <v>65.94</v>
      </c>
    </row>
    <row r="44" spans="1:7" x14ac:dyDescent="0.25">
      <c r="A44" s="6" t="s">
        <v>11</v>
      </c>
      <c r="B44" s="19">
        <v>44531</v>
      </c>
      <c r="C44" s="14">
        <v>30.92</v>
      </c>
      <c r="D44" s="15" t="s">
        <v>9</v>
      </c>
      <c r="E44" s="14">
        <v>212.19</v>
      </c>
      <c r="F44" s="15" t="s">
        <v>9</v>
      </c>
      <c r="G44" s="16">
        <v>243.11</v>
      </c>
    </row>
    <row r="45" spans="1:7" x14ac:dyDescent="0.25">
      <c r="A45" s="6" t="s">
        <v>11</v>
      </c>
      <c r="B45" s="19">
        <v>44562</v>
      </c>
      <c r="C45" s="12">
        <v>63.83</v>
      </c>
      <c r="D45" s="11" t="s">
        <v>9</v>
      </c>
      <c r="E45" s="12">
        <v>10.36</v>
      </c>
      <c r="F45" s="12">
        <v>191.83</v>
      </c>
      <c r="G45" s="13">
        <v>266.02</v>
      </c>
    </row>
    <row r="46" spans="1:7" x14ac:dyDescent="0.25">
      <c r="A46" s="6" t="s">
        <v>11</v>
      </c>
      <c r="B46" s="19">
        <v>44593</v>
      </c>
      <c r="C46" s="14">
        <v>69.84</v>
      </c>
      <c r="D46" s="15" t="s">
        <v>9</v>
      </c>
      <c r="E46" s="15" t="s">
        <v>9</v>
      </c>
      <c r="F46" s="15" t="s">
        <v>9</v>
      </c>
      <c r="G46" s="16">
        <v>69.84</v>
      </c>
    </row>
    <row r="47" spans="1:7" x14ac:dyDescent="0.25">
      <c r="A47" s="6" t="s">
        <v>11</v>
      </c>
      <c r="B47" s="19">
        <v>44621</v>
      </c>
      <c r="C47" s="12">
        <v>1831.95</v>
      </c>
      <c r="D47" s="11" t="s">
        <v>9</v>
      </c>
      <c r="E47" s="12">
        <v>1306.9100000000001</v>
      </c>
      <c r="F47" s="11" t="s">
        <v>9</v>
      </c>
      <c r="G47" s="13">
        <v>3138.86</v>
      </c>
    </row>
    <row r="48" spans="1:7" x14ac:dyDescent="0.25">
      <c r="A48" s="7" t="s">
        <v>11</v>
      </c>
      <c r="B48" s="5" t="s">
        <v>13</v>
      </c>
      <c r="C48" s="17">
        <f t="shared" ref="C48" si="2">SUM(C34:C47)</f>
        <v>3968.13</v>
      </c>
      <c r="D48" s="17">
        <f t="shared" ref="D48" si="3">SUM(D34:D47)</f>
        <v>30.95</v>
      </c>
      <c r="E48" s="17">
        <f t="shared" ref="E48" si="4">SUM(E34:E47)</f>
        <v>14959.700000000003</v>
      </c>
      <c r="F48" s="17">
        <f t="shared" ref="F48" si="5">SUM(F34:F47)</f>
        <v>1032.17</v>
      </c>
      <c r="G48" s="17">
        <f t="shared" ref="G48" si="6">SUM(G34:G47)</f>
        <v>19990.95</v>
      </c>
    </row>
    <row r="49" spans="1:7" x14ac:dyDescent="0.25">
      <c r="A49" s="6" t="s">
        <v>12</v>
      </c>
      <c r="B49" s="19">
        <v>44197</v>
      </c>
      <c r="C49" s="12">
        <v>59.9</v>
      </c>
      <c r="D49" s="11" t="s">
        <v>9</v>
      </c>
      <c r="E49" s="12">
        <v>155.16999999999999</v>
      </c>
      <c r="F49" s="11" t="s">
        <v>9</v>
      </c>
      <c r="G49" s="13">
        <v>215.07</v>
      </c>
    </row>
    <row r="50" spans="1:7" x14ac:dyDescent="0.25">
      <c r="A50" s="6" t="s">
        <v>12</v>
      </c>
      <c r="B50" s="19">
        <v>44228</v>
      </c>
      <c r="C50" s="14">
        <v>95.06</v>
      </c>
      <c r="D50" s="15" t="s">
        <v>9</v>
      </c>
      <c r="E50" s="14">
        <v>5297.81</v>
      </c>
      <c r="F50" s="15" t="s">
        <v>9</v>
      </c>
      <c r="G50" s="16">
        <v>5392.87</v>
      </c>
    </row>
    <row r="51" spans="1:7" x14ac:dyDescent="0.25">
      <c r="A51" s="6" t="s">
        <v>12</v>
      </c>
      <c r="B51" s="19">
        <v>44256</v>
      </c>
      <c r="C51" s="12">
        <v>12.84</v>
      </c>
      <c r="D51" s="11" t="s">
        <v>9</v>
      </c>
      <c r="E51" s="12">
        <v>0.01</v>
      </c>
      <c r="F51" s="11" t="s">
        <v>9</v>
      </c>
      <c r="G51" s="13">
        <v>12.85</v>
      </c>
    </row>
    <row r="52" spans="1:7" x14ac:dyDescent="0.25">
      <c r="A52" s="6" t="s">
        <v>12</v>
      </c>
      <c r="B52" s="19">
        <v>44287</v>
      </c>
      <c r="C52" s="14">
        <v>12.49</v>
      </c>
      <c r="D52" s="15" t="s">
        <v>9</v>
      </c>
      <c r="E52" s="14">
        <v>4243.03</v>
      </c>
      <c r="F52" s="15" t="s">
        <v>9</v>
      </c>
      <c r="G52" s="16">
        <v>4255.5200000000004</v>
      </c>
    </row>
    <row r="53" spans="1:7" x14ac:dyDescent="0.25">
      <c r="A53" s="6" t="s">
        <v>12</v>
      </c>
      <c r="B53" s="19">
        <v>44317</v>
      </c>
      <c r="C53" s="12">
        <v>673.88</v>
      </c>
      <c r="D53" s="11" t="s">
        <v>9</v>
      </c>
      <c r="E53" s="12">
        <v>357.37</v>
      </c>
      <c r="F53" s="11" t="s">
        <v>9</v>
      </c>
      <c r="G53" s="13">
        <v>1031.25</v>
      </c>
    </row>
    <row r="54" spans="1:7" x14ac:dyDescent="0.25">
      <c r="A54" s="6" t="s">
        <v>12</v>
      </c>
      <c r="B54" s="19">
        <v>44348</v>
      </c>
      <c r="C54" s="14">
        <v>331.4</v>
      </c>
      <c r="D54" s="15" t="s">
        <v>9</v>
      </c>
      <c r="E54" s="14">
        <v>206.76</v>
      </c>
      <c r="F54" s="15" t="s">
        <v>9</v>
      </c>
      <c r="G54" s="16">
        <v>538.16</v>
      </c>
    </row>
    <row r="55" spans="1:7" x14ac:dyDescent="0.25">
      <c r="A55" s="6" t="s">
        <v>12</v>
      </c>
      <c r="B55" s="19">
        <v>44378</v>
      </c>
      <c r="C55" s="12">
        <v>81.93</v>
      </c>
      <c r="D55" s="11" t="s">
        <v>9</v>
      </c>
      <c r="E55" s="12">
        <v>200.18</v>
      </c>
      <c r="F55" s="11" t="s">
        <v>9</v>
      </c>
      <c r="G55" s="13">
        <v>282.11</v>
      </c>
    </row>
    <row r="56" spans="1:7" x14ac:dyDescent="0.25">
      <c r="A56" s="6" t="s">
        <v>12</v>
      </c>
      <c r="B56" s="19">
        <v>44409</v>
      </c>
      <c r="C56" s="14">
        <v>145.54</v>
      </c>
      <c r="D56" s="15" t="s">
        <v>9</v>
      </c>
      <c r="E56" s="14">
        <v>3990.48</v>
      </c>
      <c r="F56" s="14">
        <v>1497.14</v>
      </c>
      <c r="G56" s="16">
        <v>5633.16</v>
      </c>
    </row>
    <row r="57" spans="1:7" x14ac:dyDescent="0.25">
      <c r="A57" s="6" t="s">
        <v>12</v>
      </c>
      <c r="B57" s="19">
        <v>44440</v>
      </c>
      <c r="C57" s="12">
        <v>2.4300000000000002</v>
      </c>
      <c r="D57" s="11" t="s">
        <v>9</v>
      </c>
      <c r="E57" s="12">
        <v>248.29</v>
      </c>
      <c r="F57" s="12">
        <v>490.05</v>
      </c>
      <c r="G57" s="13">
        <v>740.77</v>
      </c>
    </row>
    <row r="58" spans="1:7" x14ac:dyDescent="0.25">
      <c r="A58" s="6" t="s">
        <v>12</v>
      </c>
      <c r="B58" s="19">
        <v>44470</v>
      </c>
      <c r="C58" s="14">
        <v>0.1</v>
      </c>
      <c r="D58" s="15" t="s">
        <v>9</v>
      </c>
      <c r="E58" s="15" t="s">
        <v>9</v>
      </c>
      <c r="F58" s="15" t="s">
        <v>9</v>
      </c>
      <c r="G58" s="16">
        <v>0.1</v>
      </c>
    </row>
    <row r="59" spans="1:7" x14ac:dyDescent="0.25">
      <c r="A59" s="6" t="s">
        <v>12</v>
      </c>
      <c r="B59" s="19">
        <v>44501</v>
      </c>
      <c r="C59" s="12">
        <v>38.46</v>
      </c>
      <c r="D59" s="11" t="s">
        <v>9</v>
      </c>
      <c r="E59" s="12">
        <v>3.83</v>
      </c>
      <c r="F59" s="11" t="s">
        <v>9</v>
      </c>
      <c r="G59" s="13">
        <v>42.29</v>
      </c>
    </row>
    <row r="60" spans="1:7" x14ac:dyDescent="0.25">
      <c r="A60" s="6" t="s">
        <v>12</v>
      </c>
      <c r="B60" s="19">
        <v>44531</v>
      </c>
      <c r="C60" s="14">
        <v>112.28</v>
      </c>
      <c r="D60" s="15" t="s">
        <v>9</v>
      </c>
      <c r="E60" s="14">
        <v>1279.68</v>
      </c>
      <c r="F60" s="15" t="s">
        <v>9</v>
      </c>
      <c r="G60" s="16">
        <v>1391.96</v>
      </c>
    </row>
    <row r="61" spans="1:7" x14ac:dyDescent="0.25">
      <c r="A61" s="6" t="s">
        <v>12</v>
      </c>
      <c r="B61" s="19">
        <v>44562</v>
      </c>
      <c r="C61" s="12">
        <v>14.46</v>
      </c>
      <c r="D61" s="11" t="s">
        <v>9</v>
      </c>
      <c r="E61" s="11" t="s">
        <v>9</v>
      </c>
      <c r="F61" s="11" t="s">
        <v>9</v>
      </c>
      <c r="G61" s="13">
        <v>14.46</v>
      </c>
    </row>
    <row r="62" spans="1:7" x14ac:dyDescent="0.25">
      <c r="A62" s="6" t="s">
        <v>12</v>
      </c>
      <c r="B62" s="19">
        <v>44593</v>
      </c>
      <c r="C62" s="14">
        <v>29.53</v>
      </c>
      <c r="D62" s="15" t="s">
        <v>9</v>
      </c>
      <c r="E62" s="15" t="s">
        <v>9</v>
      </c>
      <c r="F62" s="14">
        <v>169.7</v>
      </c>
      <c r="G62" s="16">
        <v>199.23</v>
      </c>
    </row>
    <row r="63" spans="1:7" x14ac:dyDescent="0.25">
      <c r="A63" s="6" t="s">
        <v>12</v>
      </c>
      <c r="B63" s="19">
        <v>44621</v>
      </c>
      <c r="C63" s="12">
        <v>2298.94</v>
      </c>
      <c r="D63" s="11" t="s">
        <v>9</v>
      </c>
      <c r="E63" s="12">
        <v>1297.6099999999999</v>
      </c>
      <c r="F63" s="11" t="s">
        <v>9</v>
      </c>
      <c r="G63" s="13">
        <v>3596.55</v>
      </c>
    </row>
    <row r="64" spans="1:7" x14ac:dyDescent="0.25">
      <c r="A64" s="6" t="s">
        <v>12</v>
      </c>
      <c r="B64" s="19">
        <v>44652</v>
      </c>
      <c r="C64" s="14">
        <v>1459.96</v>
      </c>
      <c r="D64" s="15" t="s">
        <v>9</v>
      </c>
      <c r="E64" s="15" t="s">
        <v>9</v>
      </c>
      <c r="F64" s="15" t="s">
        <v>9</v>
      </c>
      <c r="G64" s="16">
        <v>1459.96</v>
      </c>
    </row>
    <row r="65" spans="1:7" x14ac:dyDescent="0.25">
      <c r="A65" s="7" t="s">
        <v>12</v>
      </c>
      <c r="B65" s="5" t="s">
        <v>13</v>
      </c>
      <c r="C65" s="17">
        <f t="shared" ref="C65:F65" si="7">SUM(C49:C64)</f>
        <v>5369.2000000000007</v>
      </c>
      <c r="D65" s="17">
        <f t="shared" si="7"/>
        <v>0</v>
      </c>
      <c r="E65" s="17">
        <f t="shared" si="7"/>
        <v>17280.22</v>
      </c>
      <c r="F65" s="17">
        <f t="shared" si="7"/>
        <v>2156.89</v>
      </c>
      <c r="G65" s="17">
        <f>SUM(G49:G64)</f>
        <v>24806.309999999998</v>
      </c>
    </row>
  </sheetData>
  <autoFilter ref="A1:G65"/>
  <pageMargins left="0.7" right="0.7" top="0.75" bottom="0.75" header="0.45" footer="0.45"/>
  <pageSetup paperSize="9" orientation="portrait" r:id="rId1"/>
  <headerFooter>
    <oddHeader>&amp;L&amp;20Visão dos custos por bem e por tipo de manutenção&amp;R&amp;D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Visão dos custos por bem ...</vt:lpstr>
      <vt:lpstr>'1. Visão dos custos por bem 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2022-04-14T16:46:00Z</dcterms:created>
  <dcterms:modified xsi:type="dcterms:W3CDTF">2022-04-14T17:01:40Z</dcterms:modified>
</cp:coreProperties>
</file>