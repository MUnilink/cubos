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repositório\cubos\manutenção\"/>
    </mc:Choice>
  </mc:AlternateContent>
  <bookViews>
    <workbookView xWindow="0" yWindow="0" windowWidth="20490" windowHeight="7635" activeTab="2"/>
  </bookViews>
  <sheets>
    <sheet name="CM" sheetId="1" r:id="rId1"/>
    <sheet name="CM ATRELADO" sheetId="2" r:id="rId2"/>
    <sheet name="SR" sheetId="3" r:id="rId3"/>
  </sheets>
  <calcPr calcId="152511"/>
</workbook>
</file>

<file path=xl/calcChain.xml><?xml version="1.0" encoding="utf-8"?>
<calcChain xmlns="http://schemas.openxmlformats.org/spreadsheetml/2006/main">
  <c r="C52" i="1" l="1"/>
  <c r="C147" i="2"/>
  <c r="C96" i="3"/>
</calcChain>
</file>

<file path=xl/sharedStrings.xml><?xml version="1.0" encoding="utf-8"?>
<sst xmlns="http://schemas.openxmlformats.org/spreadsheetml/2006/main" count="445" uniqueCount="152">
  <si>
    <t xml:space="preserve">CM1000          </t>
  </si>
  <si>
    <t xml:space="preserve">CM1002          </t>
  </si>
  <si>
    <t xml:space="preserve">CM1003          </t>
  </si>
  <si>
    <t xml:space="preserve">CM1012          </t>
  </si>
  <si>
    <t xml:space="preserve">CM1013          </t>
  </si>
  <si>
    <t xml:space="preserve">CM1015          </t>
  </si>
  <si>
    <t xml:space="preserve">CM1017          </t>
  </si>
  <si>
    <t xml:space="preserve">CM1023          </t>
  </si>
  <si>
    <t xml:space="preserve">CM3008          </t>
  </si>
  <si>
    <t xml:space="preserve">CM3009          </t>
  </si>
  <si>
    <t xml:space="preserve">CM3010          </t>
  </si>
  <si>
    <t xml:space="preserve">CM3011          </t>
  </si>
  <si>
    <t xml:space="preserve">CM3012          </t>
  </si>
  <si>
    <t xml:space="preserve">CM3013          </t>
  </si>
  <si>
    <t xml:space="preserve">CM3014          </t>
  </si>
  <si>
    <t xml:space="preserve">CM3015          </t>
  </si>
  <si>
    <t xml:space="preserve">CM4000          </t>
  </si>
  <si>
    <t xml:space="preserve">CM4003          </t>
  </si>
  <si>
    <t xml:space="preserve">CM5003          </t>
  </si>
  <si>
    <t xml:space="preserve">CM5004          </t>
  </si>
  <si>
    <t xml:space="preserve">CM5005          </t>
  </si>
  <si>
    <t xml:space="preserve">CM5006          </t>
  </si>
  <si>
    <t xml:space="preserve">CM5007          </t>
  </si>
  <si>
    <t xml:space="preserve">CM5008          </t>
  </si>
  <si>
    <t xml:space="preserve">CM5011          </t>
  </si>
  <si>
    <t xml:space="preserve">CM5012          </t>
  </si>
  <si>
    <t xml:space="preserve">CM5015          </t>
  </si>
  <si>
    <t xml:space="preserve">CM5016          </t>
  </si>
  <si>
    <t xml:space="preserve">CM5017          </t>
  </si>
  <si>
    <t xml:space="preserve">CM5018          </t>
  </si>
  <si>
    <t xml:space="preserve">CM5019          </t>
  </si>
  <si>
    <t xml:space="preserve">CM5020          </t>
  </si>
  <si>
    <t xml:space="preserve">CM5021          </t>
  </si>
  <si>
    <t xml:space="preserve">CM5022          </t>
  </si>
  <si>
    <t xml:space="preserve">CM5023          </t>
  </si>
  <si>
    <t xml:space="preserve">CM5024          </t>
  </si>
  <si>
    <t xml:space="preserve">CM5025          </t>
  </si>
  <si>
    <t xml:space="preserve">CM5026          </t>
  </si>
  <si>
    <t xml:space="preserve">CM5027          </t>
  </si>
  <si>
    <t xml:space="preserve">CM5028          </t>
  </si>
  <si>
    <t xml:space="preserve">CM5029          </t>
  </si>
  <si>
    <t xml:space="preserve">CM5030          </t>
  </si>
  <si>
    <t xml:space="preserve">CM5031          </t>
  </si>
  <si>
    <t xml:space="preserve">CM5032          </t>
  </si>
  <si>
    <t xml:space="preserve">CM5033          </t>
  </si>
  <si>
    <t xml:space="preserve">CM5034          </t>
  </si>
  <si>
    <t xml:space="preserve">CM5035          </t>
  </si>
  <si>
    <t xml:space="preserve">CM6000          </t>
  </si>
  <si>
    <t xml:space="preserve">CM6001          </t>
  </si>
  <si>
    <t xml:space="preserve">CM6002          </t>
  </si>
  <si>
    <t>PNEU OU SR DESAT</t>
  </si>
  <si>
    <t xml:space="preserve">SR10000         </t>
  </si>
  <si>
    <t xml:space="preserve">SR10001         </t>
  </si>
  <si>
    <t xml:space="preserve">SR10002         </t>
  </si>
  <si>
    <t xml:space="preserve">SR10003         </t>
  </si>
  <si>
    <t xml:space="preserve">SR10005         </t>
  </si>
  <si>
    <t xml:space="preserve">SR10006         </t>
  </si>
  <si>
    <t xml:space="preserve">SR10008         </t>
  </si>
  <si>
    <t xml:space="preserve">SR10009         </t>
  </si>
  <si>
    <t xml:space="preserve">SR10011         </t>
  </si>
  <si>
    <t xml:space="preserve">SR10012         </t>
  </si>
  <si>
    <t xml:space="preserve">SR10013         </t>
  </si>
  <si>
    <t xml:space="preserve">SR10014         </t>
  </si>
  <si>
    <t xml:space="preserve">SR10015         </t>
  </si>
  <si>
    <t xml:space="preserve">SR10016         </t>
  </si>
  <si>
    <t xml:space="preserve">SR10017         </t>
  </si>
  <si>
    <t xml:space="preserve">SR10018         </t>
  </si>
  <si>
    <t xml:space="preserve">SR10019         </t>
  </si>
  <si>
    <t xml:space="preserve">SR10020         </t>
  </si>
  <si>
    <t xml:space="preserve">SR10023         </t>
  </si>
  <si>
    <t xml:space="preserve">SR10024         </t>
  </si>
  <si>
    <t xml:space="preserve">SR10025         </t>
  </si>
  <si>
    <t xml:space="preserve">SR10026         </t>
  </si>
  <si>
    <t xml:space="preserve">SR10027         </t>
  </si>
  <si>
    <t xml:space="preserve">SR10028         </t>
  </si>
  <si>
    <t xml:space="preserve">SR10029         </t>
  </si>
  <si>
    <t xml:space="preserve">SR10030         </t>
  </si>
  <si>
    <t xml:space="preserve">SR10031         </t>
  </si>
  <si>
    <t xml:space="preserve">SR10032         </t>
  </si>
  <si>
    <t xml:space="preserve">SR10034         </t>
  </si>
  <si>
    <t xml:space="preserve">SR10035         </t>
  </si>
  <si>
    <t xml:space="preserve">SR10036         </t>
  </si>
  <si>
    <t xml:space="preserve">SR10037         </t>
  </si>
  <si>
    <t xml:space="preserve">SR10038         </t>
  </si>
  <si>
    <t xml:space="preserve">SR10039         </t>
  </si>
  <si>
    <t xml:space="preserve">SR10040         </t>
  </si>
  <si>
    <t xml:space="preserve">SR10041         </t>
  </si>
  <si>
    <t xml:space="preserve">SR10043         </t>
  </si>
  <si>
    <t xml:space="preserve">SR10044         </t>
  </si>
  <si>
    <t xml:space="preserve">SR10045         </t>
  </si>
  <si>
    <t xml:space="preserve">SR10046         </t>
  </si>
  <si>
    <t xml:space="preserve">SR10047         </t>
  </si>
  <si>
    <t xml:space="preserve">SR10048         </t>
  </si>
  <si>
    <t xml:space="preserve">SR10049         </t>
  </si>
  <si>
    <t xml:space="preserve">SR10050         </t>
  </si>
  <si>
    <t xml:space="preserve">SR10051         </t>
  </si>
  <si>
    <t xml:space="preserve">SR10052         </t>
  </si>
  <si>
    <t xml:space="preserve">SR10053         </t>
  </si>
  <si>
    <t xml:space="preserve">SR10054         </t>
  </si>
  <si>
    <t xml:space="preserve">SR10055         </t>
  </si>
  <si>
    <t xml:space="preserve">SR10056         </t>
  </si>
  <si>
    <t xml:space="preserve">SR10057         </t>
  </si>
  <si>
    <t xml:space="preserve">SR10058         </t>
  </si>
  <si>
    <t xml:space="preserve">SR10059         </t>
  </si>
  <si>
    <t xml:space="preserve">SR10060         </t>
  </si>
  <si>
    <t xml:space="preserve">SR10061         </t>
  </si>
  <si>
    <t xml:space="preserve">SR10062         </t>
  </si>
  <si>
    <t xml:space="preserve">SR10063         </t>
  </si>
  <si>
    <t xml:space="preserve">SR10065         </t>
  </si>
  <si>
    <t xml:space="preserve">SR11000         </t>
  </si>
  <si>
    <t xml:space="preserve">SR11003         </t>
  </si>
  <si>
    <t xml:space="preserve">SR11005         </t>
  </si>
  <si>
    <t xml:space="preserve">SR11006         </t>
  </si>
  <si>
    <t xml:space="preserve">SR11007         </t>
  </si>
  <si>
    <t xml:space="preserve">SR11008         </t>
  </si>
  <si>
    <t xml:space="preserve">SR11009         </t>
  </si>
  <si>
    <t xml:space="preserve">SR11010         </t>
  </si>
  <si>
    <t xml:space="preserve">SR11011         </t>
  </si>
  <si>
    <t xml:space="preserve">SR11012         </t>
  </si>
  <si>
    <t xml:space="preserve">SR11013         </t>
  </si>
  <si>
    <t xml:space="preserve">SR11014         </t>
  </si>
  <si>
    <t xml:space="preserve">SR11015         </t>
  </si>
  <si>
    <t xml:space="preserve">SR11016         </t>
  </si>
  <si>
    <t xml:space="preserve">SR11017         </t>
  </si>
  <si>
    <t xml:space="preserve">SR11018         </t>
  </si>
  <si>
    <t xml:space="preserve">SR11019         </t>
  </si>
  <si>
    <t xml:space="preserve">SR11020         </t>
  </si>
  <si>
    <t xml:space="preserve">SR11021         </t>
  </si>
  <si>
    <t xml:space="preserve">SR11022         </t>
  </si>
  <si>
    <t xml:space="preserve">SR11023         </t>
  </si>
  <si>
    <t xml:space="preserve">SR12001         </t>
  </si>
  <si>
    <t xml:space="preserve">SR13000         </t>
  </si>
  <si>
    <t xml:space="preserve">SR13001         </t>
  </si>
  <si>
    <t xml:space="preserve">SR13002         </t>
  </si>
  <si>
    <t xml:space="preserve">SR13003         </t>
  </si>
  <si>
    <t xml:space="preserve">SR13004         </t>
  </si>
  <si>
    <t xml:space="preserve">SR13005         </t>
  </si>
  <si>
    <t xml:space="preserve">SR13006         </t>
  </si>
  <si>
    <t xml:space="preserve">SR13007         </t>
  </si>
  <si>
    <t xml:space="preserve">SR15002         </t>
  </si>
  <si>
    <t xml:space="preserve">SR15003         </t>
  </si>
  <si>
    <t xml:space="preserve">SR16001         </t>
  </si>
  <si>
    <t xml:space="preserve">SR17000         </t>
  </si>
  <si>
    <t xml:space="preserve">SR17001         </t>
  </si>
  <si>
    <t xml:space="preserve">SR18003         </t>
  </si>
  <si>
    <t>VEÍCULO</t>
  </si>
  <si>
    <t>Colunas1</t>
  </si>
  <si>
    <t>OK</t>
  </si>
  <si>
    <t>VERIFICAR</t>
  </si>
  <si>
    <t>STATUS</t>
  </si>
  <si>
    <t>QTD PNEUS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</si>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</sst>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C52" totalsRowCount="1">
  <autoFilter ref="A1:C51">
    <filterColumn colId="1">
      <customFilters>
        <customFilter operator="lessThanOrEqual" val="1000"/>
      </customFilters>
    </filterColumn>
  </autoFilter>
  <tableColumns count="3">
    <tableColumn id="2" name="VEÍCULO" totalsRowLabel="Total"/>
    <tableColumn id="3" name="Colunas1"/>
    <tableColumn id="4" name="STATUS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3" displayName="Tabela13" ref="A1:C147" totalsRowCount="1">
  <autoFilter ref="A1:C146">
    <filterColumn colId="1">
      <customFilters>
        <customFilter operator="greaterThanOrEqual" val="1000"/>
      </customFilters>
    </filterColumn>
  </autoFilter>
  <tableColumns count="3">
    <tableColumn id="2" name="VEÍCULO" totalsRowLabel="Total"/>
    <tableColumn id="3" name="Colunas1"/>
    <tableColumn id="4" name="STATUS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14" displayName="Tabela14" ref="A1:C96" totalsRowCount="1">
  <autoFilter ref="A1:C95"/>
  <tableColumns count="3">
    <tableColumn id="2" name="VEÍCULO" totalsRowLabel="Total"/>
    <tableColumn id="3" name="QTD PNEUS" dataDxfId="1" totalsRowDxfId="0"/>
    <tableColumn id="4" name="STATU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6"/>
  <sheetViews>
    <sheetView showGridLines="0" workbookViewId="0">
      <selection activeCell="C46" sqref="C46"/>
    </sheetView>
  </sheetViews>
  <sheetFormatPr defaultRowHeight="15" x14ac:dyDescent="0.25"/>
  <cols>
    <col min="1" max="1" width="17.140625" customWidth="1"/>
    <col min="2" max="2" width="20.28515625" hidden="1" customWidth="1"/>
    <col min="3" max="3" width="11.28515625" bestFit="1" customWidth="1"/>
  </cols>
  <sheetData>
    <row r="1" spans="1:3" ht="15" customHeight="1" x14ac:dyDescent="0.25">
      <c r="A1" t="s">
        <v>145</v>
      </c>
      <c r="B1" t="s">
        <v>146</v>
      </c>
      <c r="C1" t="s">
        <v>149</v>
      </c>
    </row>
    <row r="2" spans="1:3" ht="15" customHeight="1" x14ac:dyDescent="0.25">
      <c r="A2" t="s">
        <v>0</v>
      </c>
      <c r="B2">
        <v>6</v>
      </c>
      <c r="C2" t="s">
        <v>147</v>
      </c>
    </row>
    <row r="3" spans="1:3" ht="15" hidden="1" customHeight="1" x14ac:dyDescent="0.25">
      <c r="A3" t="s">
        <v>1</v>
      </c>
      <c r="B3">
        <v>1010</v>
      </c>
    </row>
    <row r="4" spans="1:3" ht="15" hidden="1" customHeight="1" x14ac:dyDescent="0.25">
      <c r="A4" t="s">
        <v>2</v>
      </c>
      <c r="B4">
        <v>1009</v>
      </c>
    </row>
    <row r="5" spans="1:3" ht="15" hidden="1" customHeight="1" x14ac:dyDescent="0.25">
      <c r="A5" t="s">
        <v>3</v>
      </c>
      <c r="B5">
        <v>1010</v>
      </c>
    </row>
    <row r="6" spans="1:3" ht="15" hidden="1" customHeight="1" x14ac:dyDescent="0.25">
      <c r="A6" t="s">
        <v>4</v>
      </c>
      <c r="B6">
        <v>1010</v>
      </c>
    </row>
    <row r="7" spans="1:3" ht="15" customHeight="1" x14ac:dyDescent="0.25">
      <c r="A7" t="s">
        <v>5</v>
      </c>
      <c r="B7">
        <v>10</v>
      </c>
      <c r="C7" t="s">
        <v>147</v>
      </c>
    </row>
    <row r="8" spans="1:3" ht="15" customHeight="1" x14ac:dyDescent="0.25">
      <c r="A8" t="s">
        <v>6</v>
      </c>
      <c r="B8">
        <v>6</v>
      </c>
      <c r="C8" t="s">
        <v>148</v>
      </c>
    </row>
    <row r="9" spans="1:3" ht="15" customHeight="1" x14ac:dyDescent="0.25">
      <c r="A9" t="s">
        <v>7</v>
      </c>
      <c r="B9">
        <v>2</v>
      </c>
      <c r="C9" t="s">
        <v>148</v>
      </c>
    </row>
    <row r="10" spans="1:3" ht="15" customHeight="1" x14ac:dyDescent="0.25">
      <c r="A10" t="s">
        <v>8</v>
      </c>
      <c r="B10">
        <v>10</v>
      </c>
      <c r="C10" t="s">
        <v>147</v>
      </c>
    </row>
    <row r="11" spans="1:3" ht="15" hidden="1" customHeight="1" x14ac:dyDescent="0.25">
      <c r="A11" t="s">
        <v>9</v>
      </c>
      <c r="B11">
        <v>1010</v>
      </c>
    </row>
    <row r="12" spans="1:3" ht="15" hidden="1" customHeight="1" x14ac:dyDescent="0.25">
      <c r="A12" t="s">
        <v>10</v>
      </c>
      <c r="B12">
        <v>1010</v>
      </c>
    </row>
    <row r="13" spans="1:3" ht="15" hidden="1" customHeight="1" x14ac:dyDescent="0.25">
      <c r="A13" t="s">
        <v>11</v>
      </c>
      <c r="B13">
        <v>1010</v>
      </c>
    </row>
    <row r="14" spans="1:3" ht="15" hidden="1" customHeight="1" x14ac:dyDescent="0.25">
      <c r="A14" t="s">
        <v>12</v>
      </c>
      <c r="B14">
        <v>1009</v>
      </c>
    </row>
    <row r="15" spans="1:3" ht="15" hidden="1" customHeight="1" x14ac:dyDescent="0.25">
      <c r="A15" t="s">
        <v>13</v>
      </c>
      <c r="B15">
        <v>1010</v>
      </c>
    </row>
    <row r="16" spans="1:3" ht="15" hidden="1" customHeight="1" x14ac:dyDescent="0.25">
      <c r="A16" t="s">
        <v>14</v>
      </c>
      <c r="B16">
        <v>1010</v>
      </c>
    </row>
    <row r="17" spans="1:3" ht="15" hidden="1" customHeight="1" x14ac:dyDescent="0.25">
      <c r="A17" t="s">
        <v>15</v>
      </c>
      <c r="B17">
        <v>1010</v>
      </c>
    </row>
    <row r="18" spans="1:3" ht="15" customHeight="1" x14ac:dyDescent="0.25">
      <c r="A18" t="s">
        <v>16</v>
      </c>
      <c r="B18">
        <v>10</v>
      </c>
      <c r="C18" t="s">
        <v>147</v>
      </c>
    </row>
    <row r="19" spans="1:3" ht="15" hidden="1" customHeight="1" x14ac:dyDescent="0.25">
      <c r="A19" t="s">
        <v>17</v>
      </c>
      <c r="B19">
        <v>1010</v>
      </c>
    </row>
    <row r="20" spans="1:3" ht="15" hidden="1" customHeight="1" x14ac:dyDescent="0.25">
      <c r="A20" t="s">
        <v>18</v>
      </c>
      <c r="B20">
        <v>1009</v>
      </c>
    </row>
    <row r="21" spans="1:3" ht="15" hidden="1" customHeight="1" x14ac:dyDescent="0.25">
      <c r="A21" t="s">
        <v>19</v>
      </c>
      <c r="B21">
        <v>1010</v>
      </c>
    </row>
    <row r="22" spans="1:3" ht="15" hidden="1" customHeight="1" x14ac:dyDescent="0.25">
      <c r="A22" t="s">
        <v>20</v>
      </c>
      <c r="B22">
        <v>1010</v>
      </c>
    </row>
    <row r="23" spans="1:3" ht="15" customHeight="1" x14ac:dyDescent="0.25">
      <c r="A23" t="s">
        <v>21</v>
      </c>
      <c r="B23">
        <v>8</v>
      </c>
      <c r="C23" t="s">
        <v>148</v>
      </c>
    </row>
    <row r="24" spans="1:3" ht="15" hidden="1" customHeight="1" x14ac:dyDescent="0.25">
      <c r="A24" t="s">
        <v>22</v>
      </c>
      <c r="B24">
        <v>1010</v>
      </c>
    </row>
    <row r="25" spans="1:3" ht="15" hidden="1" customHeight="1" x14ac:dyDescent="0.25">
      <c r="A25" t="s">
        <v>23</v>
      </c>
      <c r="B25">
        <v>1010</v>
      </c>
    </row>
    <row r="26" spans="1:3" ht="15" hidden="1" customHeight="1" x14ac:dyDescent="0.25">
      <c r="A26" t="s">
        <v>24</v>
      </c>
      <c r="B26">
        <v>1010</v>
      </c>
    </row>
    <row r="27" spans="1:3" ht="15" hidden="1" customHeight="1" x14ac:dyDescent="0.25">
      <c r="A27" t="s">
        <v>25</v>
      </c>
      <c r="B27">
        <v>1010</v>
      </c>
    </row>
    <row r="28" spans="1:3" ht="15" hidden="1" customHeight="1" x14ac:dyDescent="0.25">
      <c r="A28" t="s">
        <v>26</v>
      </c>
      <c r="B28">
        <v>1010</v>
      </c>
    </row>
    <row r="29" spans="1:3" ht="15" hidden="1" customHeight="1" x14ac:dyDescent="0.25">
      <c r="A29" t="s">
        <v>27</v>
      </c>
      <c r="B29">
        <v>1010</v>
      </c>
    </row>
    <row r="30" spans="1:3" ht="15" hidden="1" customHeight="1" x14ac:dyDescent="0.25">
      <c r="A30" t="s">
        <v>28</v>
      </c>
      <c r="B30">
        <v>1010</v>
      </c>
    </row>
    <row r="31" spans="1:3" ht="15" hidden="1" customHeight="1" x14ac:dyDescent="0.25">
      <c r="A31" t="s">
        <v>29</v>
      </c>
      <c r="B31">
        <v>1010</v>
      </c>
    </row>
    <row r="32" spans="1:3" ht="15" hidden="1" customHeight="1" x14ac:dyDescent="0.25">
      <c r="A32" t="s">
        <v>30</v>
      </c>
      <c r="B32">
        <v>1009</v>
      </c>
    </row>
    <row r="33" spans="1:3" ht="15" hidden="1" customHeight="1" x14ac:dyDescent="0.25">
      <c r="A33" t="s">
        <v>31</v>
      </c>
      <c r="B33">
        <v>1010</v>
      </c>
    </row>
    <row r="34" spans="1:3" ht="15" hidden="1" customHeight="1" x14ac:dyDescent="0.25">
      <c r="A34" t="s">
        <v>32</v>
      </c>
      <c r="B34">
        <v>1010</v>
      </c>
    </row>
    <row r="35" spans="1:3" ht="15" hidden="1" customHeight="1" x14ac:dyDescent="0.25">
      <c r="A35" t="s">
        <v>33</v>
      </c>
      <c r="B35">
        <v>1010</v>
      </c>
    </row>
    <row r="36" spans="1:3" ht="15" hidden="1" customHeight="1" x14ac:dyDescent="0.25">
      <c r="A36" t="s">
        <v>34</v>
      </c>
      <c r="B36">
        <v>1009</v>
      </c>
    </row>
    <row r="37" spans="1:3" ht="15" hidden="1" customHeight="1" x14ac:dyDescent="0.25">
      <c r="A37" t="s">
        <v>35</v>
      </c>
      <c r="B37">
        <v>1010</v>
      </c>
    </row>
    <row r="38" spans="1:3" ht="15" hidden="1" customHeight="1" x14ac:dyDescent="0.25">
      <c r="A38" t="s">
        <v>36</v>
      </c>
      <c r="B38">
        <v>1010</v>
      </c>
    </row>
    <row r="39" spans="1:3" ht="15" hidden="1" customHeight="1" x14ac:dyDescent="0.25">
      <c r="A39" t="s">
        <v>37</v>
      </c>
      <c r="B39">
        <v>1010</v>
      </c>
    </row>
    <row r="40" spans="1:3" ht="15" hidden="1" customHeight="1" x14ac:dyDescent="0.25">
      <c r="A40" t="s">
        <v>38</v>
      </c>
      <c r="B40">
        <v>1010</v>
      </c>
    </row>
    <row r="41" spans="1:3" ht="15" hidden="1" customHeight="1" x14ac:dyDescent="0.25">
      <c r="A41" t="s">
        <v>39</v>
      </c>
      <c r="B41">
        <v>1010</v>
      </c>
    </row>
    <row r="42" spans="1:3" ht="15" hidden="1" customHeight="1" x14ac:dyDescent="0.25">
      <c r="A42" t="s">
        <v>40</v>
      </c>
      <c r="B42">
        <v>1010</v>
      </c>
    </row>
    <row r="43" spans="1:3" ht="15" hidden="1" customHeight="1" x14ac:dyDescent="0.25">
      <c r="A43" t="s">
        <v>41</v>
      </c>
      <c r="B43">
        <v>1010</v>
      </c>
    </row>
    <row r="44" spans="1:3" ht="15" customHeight="1" x14ac:dyDescent="0.25">
      <c r="A44" t="s">
        <v>42</v>
      </c>
      <c r="B44">
        <v>10</v>
      </c>
      <c r="C44" t="s">
        <v>147</v>
      </c>
    </row>
    <row r="45" spans="1:3" ht="15" hidden="1" customHeight="1" x14ac:dyDescent="0.25">
      <c r="A45" t="s">
        <v>43</v>
      </c>
      <c r="B45">
        <v>1009</v>
      </c>
    </row>
    <row r="46" spans="1:3" ht="15" customHeight="1" x14ac:dyDescent="0.25">
      <c r="A46" t="s">
        <v>44</v>
      </c>
      <c r="B46">
        <v>10</v>
      </c>
      <c r="C46" t="s">
        <v>147</v>
      </c>
    </row>
    <row r="47" spans="1:3" ht="15" hidden="1" customHeight="1" x14ac:dyDescent="0.25">
      <c r="A47" t="s">
        <v>45</v>
      </c>
      <c r="B47">
        <v>1010</v>
      </c>
    </row>
    <row r="48" spans="1:3" ht="15" hidden="1" customHeight="1" x14ac:dyDescent="0.25">
      <c r="A48" t="s">
        <v>46</v>
      </c>
      <c r="B48">
        <v>1010</v>
      </c>
    </row>
    <row r="49" spans="1:3" ht="15" hidden="1" customHeight="1" x14ac:dyDescent="0.25">
      <c r="A49" t="s">
        <v>47</v>
      </c>
      <c r="B49">
        <v>1010</v>
      </c>
    </row>
    <row r="50" spans="1:3" ht="15" hidden="1" customHeight="1" x14ac:dyDescent="0.25">
      <c r="A50" t="s">
        <v>48</v>
      </c>
      <c r="B50">
        <v>1010</v>
      </c>
    </row>
    <row r="51" spans="1:3" ht="15" hidden="1" customHeight="1" x14ac:dyDescent="0.25">
      <c r="A51" t="s">
        <v>49</v>
      </c>
      <c r="B51">
        <v>1010</v>
      </c>
    </row>
    <row r="52" spans="1:3" ht="15" customHeight="1" x14ac:dyDescent="0.25">
      <c r="A52" t="s">
        <v>151</v>
      </c>
      <c r="C52">
        <f>SUBTOTAL(103,Tabela1[STATUS])</f>
        <v>9</v>
      </c>
    </row>
    <row r="53" spans="1:3" ht="15" customHeight="1" x14ac:dyDescent="0.25"/>
    <row r="54" spans="1:3" ht="15" customHeight="1" x14ac:dyDescent="0.25"/>
    <row r="55" spans="1:3" ht="15" customHeight="1" x14ac:dyDescent="0.25"/>
    <row r="56" spans="1:3" ht="15" customHeight="1" x14ac:dyDescent="0.25"/>
    <row r="57" spans="1:3" ht="15" customHeight="1" x14ac:dyDescent="0.25"/>
    <row r="58" spans="1:3" ht="15" customHeight="1" x14ac:dyDescent="0.25"/>
    <row r="59" spans="1:3" ht="15" customHeight="1" x14ac:dyDescent="0.25"/>
    <row r="60" spans="1:3" ht="15" customHeight="1" x14ac:dyDescent="0.25"/>
    <row r="61" spans="1:3" ht="15" customHeight="1" x14ac:dyDescent="0.25"/>
    <row r="62" spans="1:3" ht="15" customHeight="1" x14ac:dyDescent="0.25"/>
    <row r="63" spans="1:3" ht="15" customHeight="1" x14ac:dyDescent="0.25"/>
    <row r="64" spans="1: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7"/>
  <sheetViews>
    <sheetView showGridLines="0" topLeftCell="A30" workbookViewId="0">
      <selection activeCell="A42" sqref="A42:C45"/>
    </sheetView>
  </sheetViews>
  <sheetFormatPr defaultRowHeight="15" x14ac:dyDescent="0.25"/>
  <cols>
    <col min="1" max="1" width="17.140625" customWidth="1"/>
    <col min="2" max="2" width="20.28515625" hidden="1" customWidth="1"/>
    <col min="3" max="3" width="11.28515625" bestFit="1" customWidth="1"/>
  </cols>
  <sheetData>
    <row r="1" spans="1:3" ht="15" customHeight="1" x14ac:dyDescent="0.25">
      <c r="A1" t="s">
        <v>145</v>
      </c>
      <c r="B1" t="s">
        <v>146</v>
      </c>
      <c r="C1" t="s">
        <v>149</v>
      </c>
    </row>
    <row r="2" spans="1:3" ht="15" hidden="1" customHeight="1" x14ac:dyDescent="0.25">
      <c r="A2" t="s">
        <v>0</v>
      </c>
      <c r="B2">
        <v>6</v>
      </c>
    </row>
    <row r="3" spans="1:3" ht="15" customHeight="1" x14ac:dyDescent="0.25">
      <c r="A3" t="s">
        <v>1</v>
      </c>
      <c r="B3">
        <v>1010</v>
      </c>
      <c r="C3" t="s">
        <v>147</v>
      </c>
    </row>
    <row r="4" spans="1:3" ht="15" customHeight="1" x14ac:dyDescent="0.25">
      <c r="A4" t="s">
        <v>2</v>
      </c>
      <c r="B4">
        <v>1009</v>
      </c>
      <c r="C4" t="s">
        <v>148</v>
      </c>
    </row>
    <row r="5" spans="1:3" ht="15" customHeight="1" x14ac:dyDescent="0.25">
      <c r="A5" t="s">
        <v>3</v>
      </c>
      <c r="B5">
        <v>1010</v>
      </c>
      <c r="C5" t="s">
        <v>147</v>
      </c>
    </row>
    <row r="6" spans="1:3" ht="15" customHeight="1" x14ac:dyDescent="0.25">
      <c r="A6" t="s">
        <v>4</v>
      </c>
      <c r="B6">
        <v>1010</v>
      </c>
      <c r="C6" t="s">
        <v>147</v>
      </c>
    </row>
    <row r="7" spans="1:3" ht="15" hidden="1" customHeight="1" x14ac:dyDescent="0.25">
      <c r="A7" t="s">
        <v>5</v>
      </c>
      <c r="B7">
        <v>10</v>
      </c>
    </row>
    <row r="8" spans="1:3" ht="15" hidden="1" customHeight="1" x14ac:dyDescent="0.25">
      <c r="A8" t="s">
        <v>6</v>
      </c>
      <c r="B8">
        <v>6</v>
      </c>
    </row>
    <row r="9" spans="1:3" ht="15" hidden="1" customHeight="1" x14ac:dyDescent="0.25">
      <c r="A9" t="s">
        <v>7</v>
      </c>
      <c r="B9">
        <v>2</v>
      </c>
    </row>
    <row r="10" spans="1:3" ht="15" hidden="1" customHeight="1" x14ac:dyDescent="0.25">
      <c r="A10" t="s">
        <v>8</v>
      </c>
      <c r="B10">
        <v>10</v>
      </c>
    </row>
    <row r="11" spans="1:3" ht="15" customHeight="1" x14ac:dyDescent="0.25">
      <c r="A11" t="s">
        <v>9</v>
      </c>
      <c r="B11">
        <v>1010</v>
      </c>
      <c r="C11" t="s">
        <v>147</v>
      </c>
    </row>
    <row r="12" spans="1:3" ht="15" customHeight="1" x14ac:dyDescent="0.25">
      <c r="A12" t="s">
        <v>10</v>
      </c>
      <c r="B12">
        <v>1010</v>
      </c>
      <c r="C12" t="s">
        <v>147</v>
      </c>
    </row>
    <row r="13" spans="1:3" ht="15" customHeight="1" x14ac:dyDescent="0.25">
      <c r="A13" t="s">
        <v>11</v>
      </c>
      <c r="B13">
        <v>1010</v>
      </c>
      <c r="C13" t="s">
        <v>147</v>
      </c>
    </row>
    <row r="14" spans="1:3" ht="15" customHeight="1" x14ac:dyDescent="0.25">
      <c r="A14" t="s">
        <v>12</v>
      </c>
      <c r="B14">
        <v>1009</v>
      </c>
      <c r="C14" t="s">
        <v>148</v>
      </c>
    </row>
    <row r="15" spans="1:3" ht="15" customHeight="1" x14ac:dyDescent="0.25">
      <c r="A15" t="s">
        <v>13</v>
      </c>
      <c r="B15">
        <v>1010</v>
      </c>
      <c r="C15" t="s">
        <v>147</v>
      </c>
    </row>
    <row r="16" spans="1:3" ht="15" customHeight="1" x14ac:dyDescent="0.25">
      <c r="A16" t="s">
        <v>14</v>
      </c>
      <c r="B16">
        <v>1010</v>
      </c>
      <c r="C16" t="s">
        <v>147</v>
      </c>
    </row>
    <row r="17" spans="1:3" ht="15" customHeight="1" x14ac:dyDescent="0.25">
      <c r="A17" t="s">
        <v>15</v>
      </c>
      <c r="B17">
        <v>1010</v>
      </c>
      <c r="C17" t="s">
        <v>147</v>
      </c>
    </row>
    <row r="18" spans="1:3" ht="15" hidden="1" customHeight="1" x14ac:dyDescent="0.25">
      <c r="A18" t="s">
        <v>16</v>
      </c>
      <c r="B18">
        <v>10</v>
      </c>
    </row>
    <row r="19" spans="1:3" ht="15" customHeight="1" x14ac:dyDescent="0.25">
      <c r="A19" t="s">
        <v>17</v>
      </c>
      <c r="B19">
        <v>1010</v>
      </c>
      <c r="C19" t="s">
        <v>147</v>
      </c>
    </row>
    <row r="20" spans="1:3" ht="15" customHeight="1" x14ac:dyDescent="0.25">
      <c r="A20" t="s">
        <v>18</v>
      </c>
      <c r="B20">
        <v>1009</v>
      </c>
      <c r="C20" t="s">
        <v>148</v>
      </c>
    </row>
    <row r="21" spans="1:3" ht="15" customHeight="1" x14ac:dyDescent="0.25">
      <c r="A21" t="s">
        <v>19</v>
      </c>
      <c r="B21">
        <v>1010</v>
      </c>
      <c r="C21" t="s">
        <v>147</v>
      </c>
    </row>
    <row r="22" spans="1:3" ht="15" customHeight="1" x14ac:dyDescent="0.25">
      <c r="A22" t="s">
        <v>20</v>
      </c>
      <c r="B22">
        <v>1010</v>
      </c>
      <c r="C22" t="s">
        <v>147</v>
      </c>
    </row>
    <row r="23" spans="1:3" ht="15" hidden="1" customHeight="1" x14ac:dyDescent="0.25">
      <c r="A23" t="s">
        <v>21</v>
      </c>
      <c r="B23">
        <v>8</v>
      </c>
    </row>
    <row r="24" spans="1:3" ht="15" customHeight="1" x14ac:dyDescent="0.25">
      <c r="A24" t="s">
        <v>22</v>
      </c>
      <c r="B24">
        <v>1010</v>
      </c>
      <c r="C24" t="s">
        <v>147</v>
      </c>
    </row>
    <row r="25" spans="1:3" ht="15" customHeight="1" x14ac:dyDescent="0.25">
      <c r="A25" t="s">
        <v>23</v>
      </c>
      <c r="B25">
        <v>1010</v>
      </c>
      <c r="C25" t="s">
        <v>147</v>
      </c>
    </row>
    <row r="26" spans="1:3" ht="15" customHeight="1" x14ac:dyDescent="0.25">
      <c r="A26" t="s">
        <v>24</v>
      </c>
      <c r="B26">
        <v>1010</v>
      </c>
      <c r="C26" t="s">
        <v>147</v>
      </c>
    </row>
    <row r="27" spans="1:3" ht="15" customHeight="1" x14ac:dyDescent="0.25">
      <c r="A27" t="s">
        <v>25</v>
      </c>
      <c r="B27">
        <v>1010</v>
      </c>
      <c r="C27" t="s">
        <v>147</v>
      </c>
    </row>
    <row r="28" spans="1:3" ht="15" customHeight="1" x14ac:dyDescent="0.25">
      <c r="A28" t="s">
        <v>26</v>
      </c>
      <c r="B28">
        <v>1010</v>
      </c>
      <c r="C28" t="s">
        <v>147</v>
      </c>
    </row>
    <row r="29" spans="1:3" ht="15" customHeight="1" x14ac:dyDescent="0.25">
      <c r="A29" t="s">
        <v>27</v>
      </c>
      <c r="B29">
        <v>1010</v>
      </c>
      <c r="C29" t="s">
        <v>147</v>
      </c>
    </row>
    <row r="30" spans="1:3" ht="15" customHeight="1" x14ac:dyDescent="0.25">
      <c r="A30" t="s">
        <v>28</v>
      </c>
      <c r="B30">
        <v>1010</v>
      </c>
      <c r="C30" t="s">
        <v>147</v>
      </c>
    </row>
    <row r="31" spans="1:3" ht="15" customHeight="1" x14ac:dyDescent="0.25">
      <c r="A31" t="s">
        <v>29</v>
      </c>
      <c r="B31">
        <v>1010</v>
      </c>
      <c r="C31" t="s">
        <v>147</v>
      </c>
    </row>
    <row r="32" spans="1:3" ht="15" customHeight="1" x14ac:dyDescent="0.25">
      <c r="A32" t="s">
        <v>30</v>
      </c>
      <c r="B32">
        <v>1009</v>
      </c>
      <c r="C32" t="s">
        <v>148</v>
      </c>
    </row>
    <row r="33" spans="1:3" ht="15" customHeight="1" x14ac:dyDescent="0.25">
      <c r="A33" t="s">
        <v>31</v>
      </c>
      <c r="B33">
        <v>1010</v>
      </c>
      <c r="C33" t="s">
        <v>147</v>
      </c>
    </row>
    <row r="34" spans="1:3" ht="15" customHeight="1" x14ac:dyDescent="0.25">
      <c r="A34" t="s">
        <v>32</v>
      </c>
      <c r="B34">
        <v>1010</v>
      </c>
      <c r="C34" t="s">
        <v>147</v>
      </c>
    </row>
    <row r="35" spans="1:3" ht="15" customHeight="1" x14ac:dyDescent="0.25">
      <c r="A35" t="s">
        <v>33</v>
      </c>
      <c r="B35">
        <v>1010</v>
      </c>
      <c r="C35" t="s">
        <v>147</v>
      </c>
    </row>
    <row r="36" spans="1:3" ht="15" customHeight="1" x14ac:dyDescent="0.25">
      <c r="A36" t="s">
        <v>34</v>
      </c>
      <c r="B36">
        <v>1009</v>
      </c>
      <c r="C36" t="s">
        <v>148</v>
      </c>
    </row>
    <row r="37" spans="1:3" ht="15" customHeight="1" x14ac:dyDescent="0.25">
      <c r="A37" t="s">
        <v>35</v>
      </c>
      <c r="B37">
        <v>1010</v>
      </c>
      <c r="C37" t="s">
        <v>147</v>
      </c>
    </row>
    <row r="38" spans="1:3" ht="15" customHeight="1" x14ac:dyDescent="0.25">
      <c r="A38" t="s">
        <v>36</v>
      </c>
      <c r="B38">
        <v>1010</v>
      </c>
      <c r="C38" t="s">
        <v>147</v>
      </c>
    </row>
    <row r="39" spans="1:3" ht="15" customHeight="1" x14ac:dyDescent="0.25">
      <c r="A39" t="s">
        <v>37</v>
      </c>
      <c r="B39">
        <v>1010</v>
      </c>
      <c r="C39" t="s">
        <v>147</v>
      </c>
    </row>
    <row r="40" spans="1:3" ht="15" customHeight="1" x14ac:dyDescent="0.25">
      <c r="A40" t="s">
        <v>38</v>
      </c>
      <c r="B40">
        <v>1010</v>
      </c>
      <c r="C40" t="s">
        <v>147</v>
      </c>
    </row>
    <row r="41" spans="1:3" ht="15" customHeight="1" x14ac:dyDescent="0.25">
      <c r="A41" t="s">
        <v>39</v>
      </c>
      <c r="B41">
        <v>1010</v>
      </c>
      <c r="C41" t="s">
        <v>147</v>
      </c>
    </row>
    <row r="42" spans="1:3" ht="15" customHeight="1" x14ac:dyDescent="0.25">
      <c r="A42" t="s">
        <v>40</v>
      </c>
      <c r="B42">
        <v>1010</v>
      </c>
      <c r="C42" t="s">
        <v>147</v>
      </c>
    </row>
    <row r="43" spans="1:3" ht="15" customHeight="1" x14ac:dyDescent="0.25">
      <c r="A43" t="s">
        <v>41</v>
      </c>
      <c r="B43">
        <v>1010</v>
      </c>
      <c r="C43" t="s">
        <v>147</v>
      </c>
    </row>
    <row r="44" spans="1:3" ht="15" hidden="1" customHeight="1" x14ac:dyDescent="0.25">
      <c r="A44" t="s">
        <v>42</v>
      </c>
      <c r="B44">
        <v>10</v>
      </c>
    </row>
    <row r="45" spans="1:3" ht="15" customHeight="1" x14ac:dyDescent="0.25">
      <c r="A45" t="s">
        <v>43</v>
      </c>
      <c r="B45">
        <v>1009</v>
      </c>
      <c r="C45" t="s">
        <v>148</v>
      </c>
    </row>
    <row r="46" spans="1:3" ht="15" hidden="1" customHeight="1" x14ac:dyDescent="0.25">
      <c r="A46" t="s">
        <v>44</v>
      </c>
      <c r="B46">
        <v>10</v>
      </c>
    </row>
    <row r="47" spans="1:3" ht="15" customHeight="1" x14ac:dyDescent="0.25">
      <c r="A47" t="s">
        <v>45</v>
      </c>
      <c r="B47">
        <v>1010</v>
      </c>
      <c r="C47" t="s">
        <v>147</v>
      </c>
    </row>
    <row r="48" spans="1:3" ht="15" customHeight="1" x14ac:dyDescent="0.25">
      <c r="A48" t="s">
        <v>46</v>
      </c>
      <c r="B48">
        <v>1010</v>
      </c>
      <c r="C48" t="s">
        <v>147</v>
      </c>
    </row>
    <row r="49" spans="1:3" ht="15" customHeight="1" x14ac:dyDescent="0.25">
      <c r="A49" t="s">
        <v>47</v>
      </c>
      <c r="B49">
        <v>1010</v>
      </c>
      <c r="C49" t="s">
        <v>147</v>
      </c>
    </row>
    <row r="50" spans="1:3" ht="15" customHeight="1" x14ac:dyDescent="0.25">
      <c r="A50" t="s">
        <v>48</v>
      </c>
      <c r="B50">
        <v>1010</v>
      </c>
      <c r="C50" t="s">
        <v>147</v>
      </c>
    </row>
    <row r="51" spans="1:3" ht="15" customHeight="1" x14ac:dyDescent="0.25">
      <c r="A51" t="s">
        <v>49</v>
      </c>
      <c r="B51">
        <v>1010</v>
      </c>
      <c r="C51" t="s">
        <v>147</v>
      </c>
    </row>
    <row r="52" spans="1:3" ht="15" hidden="1" customHeight="1" x14ac:dyDescent="0.25">
      <c r="A52" t="s">
        <v>50</v>
      </c>
      <c r="B52">
        <v>7</v>
      </c>
    </row>
    <row r="53" spans="1:3" ht="15" hidden="1" customHeight="1" x14ac:dyDescent="0.25">
      <c r="A53" t="s">
        <v>51</v>
      </c>
      <c r="B53">
        <v>6</v>
      </c>
    </row>
    <row r="54" spans="1:3" ht="15" hidden="1" customHeight="1" x14ac:dyDescent="0.25">
      <c r="A54" t="s">
        <v>52</v>
      </c>
      <c r="B54">
        <v>4</v>
      </c>
    </row>
    <row r="55" spans="1:3" ht="15" hidden="1" customHeight="1" x14ac:dyDescent="0.25">
      <c r="A55" t="s">
        <v>53</v>
      </c>
      <c r="B55">
        <v>12</v>
      </c>
    </row>
    <row r="56" spans="1:3" ht="15" hidden="1" customHeight="1" x14ac:dyDescent="0.25">
      <c r="A56" t="s">
        <v>54</v>
      </c>
      <c r="B56">
        <v>13</v>
      </c>
    </row>
    <row r="57" spans="1:3" ht="15" hidden="1" customHeight="1" x14ac:dyDescent="0.25">
      <c r="A57" t="s">
        <v>55</v>
      </c>
      <c r="B57">
        <v>4</v>
      </c>
    </row>
    <row r="58" spans="1:3" ht="15" hidden="1" customHeight="1" x14ac:dyDescent="0.25">
      <c r="A58" t="s">
        <v>56</v>
      </c>
      <c r="B58">
        <v>6</v>
      </c>
    </row>
    <row r="59" spans="1:3" ht="15" hidden="1" customHeight="1" x14ac:dyDescent="0.25">
      <c r="A59" t="s">
        <v>57</v>
      </c>
      <c r="B59">
        <v>14</v>
      </c>
    </row>
    <row r="60" spans="1:3" ht="15" hidden="1" customHeight="1" x14ac:dyDescent="0.25">
      <c r="A60" t="s">
        <v>58</v>
      </c>
      <c r="B60">
        <v>11</v>
      </c>
    </row>
    <row r="61" spans="1:3" ht="15" hidden="1" customHeight="1" x14ac:dyDescent="0.25">
      <c r="A61" t="s">
        <v>59</v>
      </c>
      <c r="B61">
        <v>13</v>
      </c>
    </row>
    <row r="62" spans="1:3" ht="15" hidden="1" customHeight="1" x14ac:dyDescent="0.25">
      <c r="A62" t="s">
        <v>60</v>
      </c>
      <c r="B62">
        <v>12</v>
      </c>
    </row>
    <row r="63" spans="1:3" ht="15" hidden="1" customHeight="1" x14ac:dyDescent="0.25">
      <c r="A63" t="s">
        <v>61</v>
      </c>
      <c r="B63">
        <v>13</v>
      </c>
    </row>
    <row r="64" spans="1:3" ht="15" hidden="1" customHeight="1" x14ac:dyDescent="0.25">
      <c r="A64" t="s">
        <v>62</v>
      </c>
      <c r="B64">
        <v>5</v>
      </c>
    </row>
    <row r="65" spans="1:2" ht="15" hidden="1" customHeight="1" x14ac:dyDescent="0.25">
      <c r="A65" t="s">
        <v>63</v>
      </c>
      <c r="B65">
        <v>14</v>
      </c>
    </row>
    <row r="66" spans="1:2" ht="15" hidden="1" customHeight="1" x14ac:dyDescent="0.25">
      <c r="A66" t="s">
        <v>64</v>
      </c>
      <c r="B66">
        <v>12</v>
      </c>
    </row>
    <row r="67" spans="1:2" ht="15" hidden="1" customHeight="1" x14ac:dyDescent="0.25">
      <c r="A67" t="s">
        <v>65</v>
      </c>
      <c r="B67">
        <v>13</v>
      </c>
    </row>
    <row r="68" spans="1:2" ht="15" hidden="1" customHeight="1" x14ac:dyDescent="0.25">
      <c r="A68" t="s">
        <v>66</v>
      </c>
      <c r="B68">
        <v>10</v>
      </c>
    </row>
    <row r="69" spans="1:2" ht="15" hidden="1" customHeight="1" x14ac:dyDescent="0.25">
      <c r="A69" t="s">
        <v>67</v>
      </c>
      <c r="B69">
        <v>12</v>
      </c>
    </row>
    <row r="70" spans="1:2" ht="15" hidden="1" customHeight="1" x14ac:dyDescent="0.25">
      <c r="A70" t="s">
        <v>68</v>
      </c>
      <c r="B70">
        <v>13</v>
      </c>
    </row>
    <row r="71" spans="1:2" ht="15" hidden="1" customHeight="1" x14ac:dyDescent="0.25">
      <c r="A71" t="s">
        <v>69</v>
      </c>
      <c r="B71">
        <v>12</v>
      </c>
    </row>
    <row r="72" spans="1:2" ht="15" hidden="1" customHeight="1" x14ac:dyDescent="0.25">
      <c r="A72" t="s">
        <v>70</v>
      </c>
      <c r="B72">
        <v>12</v>
      </c>
    </row>
    <row r="73" spans="1:2" ht="15" hidden="1" customHeight="1" x14ac:dyDescent="0.25">
      <c r="A73" t="s">
        <v>71</v>
      </c>
      <c r="B73">
        <v>12</v>
      </c>
    </row>
    <row r="74" spans="1:2" ht="15" hidden="1" customHeight="1" x14ac:dyDescent="0.25">
      <c r="A74" t="s">
        <v>72</v>
      </c>
      <c r="B74">
        <v>14</v>
      </c>
    </row>
    <row r="75" spans="1:2" ht="15" hidden="1" customHeight="1" x14ac:dyDescent="0.25">
      <c r="A75" t="s">
        <v>73</v>
      </c>
      <c r="B75">
        <v>13</v>
      </c>
    </row>
    <row r="76" spans="1:2" ht="15" hidden="1" customHeight="1" x14ac:dyDescent="0.25">
      <c r="A76" t="s">
        <v>74</v>
      </c>
      <c r="B76">
        <v>14</v>
      </c>
    </row>
    <row r="77" spans="1:2" ht="15" hidden="1" customHeight="1" x14ac:dyDescent="0.25">
      <c r="A77" t="s">
        <v>75</v>
      </c>
      <c r="B77">
        <v>14</v>
      </c>
    </row>
    <row r="78" spans="1:2" ht="15" hidden="1" customHeight="1" x14ac:dyDescent="0.25">
      <c r="A78" t="s">
        <v>76</v>
      </c>
      <c r="B78">
        <v>14</v>
      </c>
    </row>
    <row r="79" spans="1:2" ht="15" hidden="1" customHeight="1" x14ac:dyDescent="0.25">
      <c r="A79" t="s">
        <v>77</v>
      </c>
      <c r="B79">
        <v>14</v>
      </c>
    </row>
    <row r="80" spans="1:2" ht="15" hidden="1" customHeight="1" x14ac:dyDescent="0.25">
      <c r="A80" t="s">
        <v>78</v>
      </c>
      <c r="B80">
        <v>14</v>
      </c>
    </row>
    <row r="81" spans="1:2" ht="15" hidden="1" customHeight="1" x14ac:dyDescent="0.25">
      <c r="A81" t="s">
        <v>79</v>
      </c>
      <c r="B81">
        <v>7</v>
      </c>
    </row>
    <row r="82" spans="1:2" ht="15" hidden="1" customHeight="1" x14ac:dyDescent="0.25">
      <c r="A82" t="s">
        <v>80</v>
      </c>
      <c r="B82">
        <v>14</v>
      </c>
    </row>
    <row r="83" spans="1:2" ht="15" hidden="1" customHeight="1" x14ac:dyDescent="0.25">
      <c r="A83" t="s">
        <v>81</v>
      </c>
      <c r="B83">
        <v>14</v>
      </c>
    </row>
    <row r="84" spans="1:2" ht="15" hidden="1" customHeight="1" x14ac:dyDescent="0.25">
      <c r="A84" t="s">
        <v>82</v>
      </c>
      <c r="B84">
        <v>14</v>
      </c>
    </row>
    <row r="85" spans="1:2" ht="15" hidden="1" customHeight="1" x14ac:dyDescent="0.25">
      <c r="A85" t="s">
        <v>83</v>
      </c>
      <c r="B85">
        <v>14</v>
      </c>
    </row>
    <row r="86" spans="1:2" ht="15" hidden="1" customHeight="1" x14ac:dyDescent="0.25">
      <c r="A86" t="s">
        <v>84</v>
      </c>
      <c r="B86">
        <v>14</v>
      </c>
    </row>
    <row r="87" spans="1:2" ht="15" hidden="1" customHeight="1" x14ac:dyDescent="0.25">
      <c r="A87" t="s">
        <v>85</v>
      </c>
      <c r="B87">
        <v>14</v>
      </c>
    </row>
    <row r="88" spans="1:2" ht="15" hidden="1" customHeight="1" x14ac:dyDescent="0.25">
      <c r="A88" t="s">
        <v>86</v>
      </c>
      <c r="B88">
        <v>14</v>
      </c>
    </row>
    <row r="89" spans="1:2" ht="15" hidden="1" customHeight="1" x14ac:dyDescent="0.25">
      <c r="A89" t="s">
        <v>87</v>
      </c>
      <c r="B89">
        <v>13</v>
      </c>
    </row>
    <row r="90" spans="1:2" ht="15" hidden="1" customHeight="1" x14ac:dyDescent="0.25">
      <c r="A90" t="s">
        <v>88</v>
      </c>
      <c r="B90">
        <v>12</v>
      </c>
    </row>
    <row r="91" spans="1:2" ht="15" hidden="1" customHeight="1" x14ac:dyDescent="0.25">
      <c r="A91" t="s">
        <v>89</v>
      </c>
      <c r="B91">
        <v>14</v>
      </c>
    </row>
    <row r="92" spans="1:2" ht="15" hidden="1" customHeight="1" x14ac:dyDescent="0.25">
      <c r="A92" t="s">
        <v>90</v>
      </c>
      <c r="B92">
        <v>14</v>
      </c>
    </row>
    <row r="93" spans="1:2" ht="15" hidden="1" customHeight="1" x14ac:dyDescent="0.25">
      <c r="A93" t="s">
        <v>91</v>
      </c>
      <c r="B93">
        <v>13</v>
      </c>
    </row>
    <row r="94" spans="1:2" ht="15" hidden="1" customHeight="1" x14ac:dyDescent="0.25">
      <c r="A94" t="s">
        <v>92</v>
      </c>
      <c r="B94">
        <v>14</v>
      </c>
    </row>
    <row r="95" spans="1:2" ht="15" hidden="1" customHeight="1" x14ac:dyDescent="0.25">
      <c r="A95" t="s">
        <v>93</v>
      </c>
      <c r="B95">
        <v>14</v>
      </c>
    </row>
    <row r="96" spans="1:2" ht="15" hidden="1" customHeight="1" x14ac:dyDescent="0.25">
      <c r="A96" t="s">
        <v>94</v>
      </c>
      <c r="B96">
        <v>14</v>
      </c>
    </row>
    <row r="97" spans="1:2" ht="15" hidden="1" customHeight="1" x14ac:dyDescent="0.25">
      <c r="A97" t="s">
        <v>95</v>
      </c>
      <c r="B97">
        <v>14</v>
      </c>
    </row>
    <row r="98" spans="1:2" ht="15" hidden="1" customHeight="1" x14ac:dyDescent="0.25">
      <c r="A98" t="s">
        <v>96</v>
      </c>
      <c r="B98">
        <v>14</v>
      </c>
    </row>
    <row r="99" spans="1:2" ht="15" hidden="1" customHeight="1" x14ac:dyDescent="0.25">
      <c r="A99" t="s">
        <v>97</v>
      </c>
      <c r="B99">
        <v>14</v>
      </c>
    </row>
    <row r="100" spans="1:2" ht="15" hidden="1" customHeight="1" x14ac:dyDescent="0.25">
      <c r="A100" t="s">
        <v>98</v>
      </c>
      <c r="B100">
        <v>14</v>
      </c>
    </row>
    <row r="101" spans="1:2" ht="15" hidden="1" customHeight="1" x14ac:dyDescent="0.25">
      <c r="A101" t="s">
        <v>99</v>
      </c>
      <c r="B101">
        <v>14</v>
      </c>
    </row>
    <row r="102" spans="1:2" ht="15" hidden="1" customHeight="1" x14ac:dyDescent="0.25">
      <c r="A102" t="s">
        <v>100</v>
      </c>
      <c r="B102">
        <v>14</v>
      </c>
    </row>
    <row r="103" spans="1:2" ht="15" hidden="1" customHeight="1" x14ac:dyDescent="0.25">
      <c r="A103" t="s">
        <v>101</v>
      </c>
      <c r="B103">
        <v>14</v>
      </c>
    </row>
    <row r="104" spans="1:2" ht="15" hidden="1" customHeight="1" x14ac:dyDescent="0.25">
      <c r="A104" t="s">
        <v>102</v>
      </c>
      <c r="B104">
        <v>8</v>
      </c>
    </row>
    <row r="105" spans="1:2" ht="15" hidden="1" customHeight="1" x14ac:dyDescent="0.25">
      <c r="A105" t="s">
        <v>103</v>
      </c>
      <c r="B105">
        <v>14</v>
      </c>
    </row>
    <row r="106" spans="1:2" ht="15" hidden="1" customHeight="1" x14ac:dyDescent="0.25">
      <c r="A106" t="s">
        <v>104</v>
      </c>
      <c r="B106">
        <v>14</v>
      </c>
    </row>
    <row r="107" spans="1:2" ht="15" hidden="1" customHeight="1" x14ac:dyDescent="0.25">
      <c r="A107" t="s">
        <v>105</v>
      </c>
      <c r="B107">
        <v>14</v>
      </c>
    </row>
    <row r="108" spans="1:2" ht="15" hidden="1" customHeight="1" x14ac:dyDescent="0.25">
      <c r="A108" t="s">
        <v>106</v>
      </c>
      <c r="B108">
        <v>14</v>
      </c>
    </row>
    <row r="109" spans="1:2" ht="15" hidden="1" customHeight="1" x14ac:dyDescent="0.25">
      <c r="A109" t="s">
        <v>107</v>
      </c>
      <c r="B109">
        <v>13</v>
      </c>
    </row>
    <row r="110" spans="1:2" ht="15" hidden="1" customHeight="1" x14ac:dyDescent="0.25">
      <c r="A110" t="s">
        <v>108</v>
      </c>
      <c r="B110">
        <v>13</v>
      </c>
    </row>
    <row r="111" spans="1:2" ht="15" hidden="1" customHeight="1" x14ac:dyDescent="0.25">
      <c r="A111" t="s">
        <v>109</v>
      </c>
      <c r="B111">
        <v>13</v>
      </c>
    </row>
    <row r="112" spans="1:2" ht="15" hidden="1" customHeight="1" x14ac:dyDescent="0.25">
      <c r="A112" t="s">
        <v>110</v>
      </c>
      <c r="B112">
        <v>13</v>
      </c>
    </row>
    <row r="113" spans="1:2" ht="15" hidden="1" customHeight="1" x14ac:dyDescent="0.25">
      <c r="A113" t="s">
        <v>111</v>
      </c>
      <c r="B113">
        <v>12</v>
      </c>
    </row>
    <row r="114" spans="1:2" ht="15" hidden="1" customHeight="1" x14ac:dyDescent="0.25">
      <c r="A114" t="s">
        <v>112</v>
      </c>
      <c r="B114">
        <v>14</v>
      </c>
    </row>
    <row r="115" spans="1:2" ht="15" hidden="1" customHeight="1" x14ac:dyDescent="0.25">
      <c r="A115" t="s">
        <v>113</v>
      </c>
      <c r="B115">
        <v>14</v>
      </c>
    </row>
    <row r="116" spans="1:2" ht="15" hidden="1" customHeight="1" x14ac:dyDescent="0.25">
      <c r="A116" t="s">
        <v>114</v>
      </c>
      <c r="B116">
        <v>14</v>
      </c>
    </row>
    <row r="117" spans="1:2" ht="15" hidden="1" customHeight="1" x14ac:dyDescent="0.25">
      <c r="A117" t="s">
        <v>115</v>
      </c>
      <c r="B117">
        <v>14</v>
      </c>
    </row>
    <row r="118" spans="1:2" ht="15" hidden="1" customHeight="1" x14ac:dyDescent="0.25">
      <c r="A118" t="s">
        <v>116</v>
      </c>
      <c r="B118">
        <v>14</v>
      </c>
    </row>
    <row r="119" spans="1:2" ht="15" hidden="1" customHeight="1" x14ac:dyDescent="0.25">
      <c r="A119" t="s">
        <v>117</v>
      </c>
      <c r="B119">
        <v>14</v>
      </c>
    </row>
    <row r="120" spans="1:2" ht="15" hidden="1" customHeight="1" x14ac:dyDescent="0.25">
      <c r="A120" t="s">
        <v>118</v>
      </c>
      <c r="B120">
        <v>8</v>
      </c>
    </row>
    <row r="121" spans="1:2" ht="15" hidden="1" customHeight="1" x14ac:dyDescent="0.25">
      <c r="A121" t="s">
        <v>119</v>
      </c>
      <c r="B121">
        <v>13</v>
      </c>
    </row>
    <row r="122" spans="1:2" ht="15" hidden="1" customHeight="1" x14ac:dyDescent="0.25">
      <c r="A122" t="s">
        <v>120</v>
      </c>
      <c r="B122">
        <v>11</v>
      </c>
    </row>
    <row r="123" spans="1:2" ht="15" hidden="1" customHeight="1" x14ac:dyDescent="0.25">
      <c r="A123" t="s">
        <v>121</v>
      </c>
      <c r="B123">
        <v>14</v>
      </c>
    </row>
    <row r="124" spans="1:2" ht="15" hidden="1" customHeight="1" x14ac:dyDescent="0.25">
      <c r="A124" t="s">
        <v>122</v>
      </c>
      <c r="B124">
        <v>14</v>
      </c>
    </row>
    <row r="125" spans="1:2" ht="15" hidden="1" customHeight="1" x14ac:dyDescent="0.25">
      <c r="A125" t="s">
        <v>123</v>
      </c>
      <c r="B125">
        <v>14</v>
      </c>
    </row>
    <row r="126" spans="1:2" ht="15" hidden="1" customHeight="1" x14ac:dyDescent="0.25">
      <c r="A126" t="s">
        <v>124</v>
      </c>
      <c r="B126">
        <v>12</v>
      </c>
    </row>
    <row r="127" spans="1:2" ht="15" hidden="1" customHeight="1" x14ac:dyDescent="0.25">
      <c r="A127" t="s">
        <v>125</v>
      </c>
      <c r="B127">
        <v>14</v>
      </c>
    </row>
    <row r="128" spans="1:2" ht="15" hidden="1" customHeight="1" x14ac:dyDescent="0.25">
      <c r="A128" t="s">
        <v>126</v>
      </c>
      <c r="B128">
        <v>13</v>
      </c>
    </row>
    <row r="129" spans="1:2" ht="15" hidden="1" customHeight="1" x14ac:dyDescent="0.25">
      <c r="A129" t="s">
        <v>127</v>
      </c>
      <c r="B129">
        <v>14</v>
      </c>
    </row>
    <row r="130" spans="1:2" ht="15" hidden="1" customHeight="1" x14ac:dyDescent="0.25">
      <c r="A130" t="s">
        <v>128</v>
      </c>
      <c r="B130">
        <v>13</v>
      </c>
    </row>
    <row r="131" spans="1:2" ht="15" hidden="1" customHeight="1" x14ac:dyDescent="0.25">
      <c r="A131" t="s">
        <v>129</v>
      </c>
      <c r="B131">
        <v>13</v>
      </c>
    </row>
    <row r="132" spans="1:2" ht="15" hidden="1" customHeight="1" x14ac:dyDescent="0.25">
      <c r="A132" t="s">
        <v>130</v>
      </c>
      <c r="B132">
        <v>4</v>
      </c>
    </row>
    <row r="133" spans="1:2" ht="15" hidden="1" customHeight="1" x14ac:dyDescent="0.25">
      <c r="A133" t="s">
        <v>131</v>
      </c>
      <c r="B133">
        <v>14</v>
      </c>
    </row>
    <row r="134" spans="1:2" ht="15" hidden="1" customHeight="1" x14ac:dyDescent="0.25">
      <c r="A134" t="s">
        <v>132</v>
      </c>
      <c r="B134">
        <v>18</v>
      </c>
    </row>
    <row r="135" spans="1:2" ht="15" hidden="1" customHeight="1" x14ac:dyDescent="0.25">
      <c r="A135" t="s">
        <v>133</v>
      </c>
      <c r="B135">
        <v>17</v>
      </c>
    </row>
    <row r="136" spans="1:2" ht="15" hidden="1" customHeight="1" x14ac:dyDescent="0.25">
      <c r="A136" t="s">
        <v>134</v>
      </c>
      <c r="B136">
        <v>12</v>
      </c>
    </row>
    <row r="137" spans="1:2" ht="15" hidden="1" customHeight="1" x14ac:dyDescent="0.25">
      <c r="A137" t="s">
        <v>135</v>
      </c>
      <c r="B137">
        <v>13</v>
      </c>
    </row>
    <row r="138" spans="1:2" ht="15" hidden="1" customHeight="1" x14ac:dyDescent="0.25">
      <c r="A138" t="s">
        <v>136</v>
      </c>
      <c r="B138">
        <v>18</v>
      </c>
    </row>
    <row r="139" spans="1:2" ht="15" hidden="1" customHeight="1" x14ac:dyDescent="0.25">
      <c r="A139" t="s">
        <v>137</v>
      </c>
      <c r="B139">
        <v>8</v>
      </c>
    </row>
    <row r="140" spans="1:2" ht="15" hidden="1" customHeight="1" x14ac:dyDescent="0.25">
      <c r="A140" t="s">
        <v>138</v>
      </c>
      <c r="B140">
        <v>20</v>
      </c>
    </row>
    <row r="141" spans="1:2" ht="15" hidden="1" customHeight="1" x14ac:dyDescent="0.25">
      <c r="A141" t="s">
        <v>139</v>
      </c>
      <c r="B141">
        <v>6</v>
      </c>
    </row>
    <row r="142" spans="1:2" ht="15" hidden="1" customHeight="1" x14ac:dyDescent="0.25">
      <c r="A142" t="s">
        <v>140</v>
      </c>
      <c r="B142">
        <v>13</v>
      </c>
    </row>
    <row r="143" spans="1:2" ht="15" hidden="1" customHeight="1" x14ac:dyDescent="0.25">
      <c r="A143" t="s">
        <v>141</v>
      </c>
      <c r="B143">
        <v>8</v>
      </c>
    </row>
    <row r="144" spans="1:2" ht="15" hidden="1" customHeight="1" x14ac:dyDescent="0.25">
      <c r="A144" t="s">
        <v>142</v>
      </c>
      <c r="B144">
        <v>14</v>
      </c>
    </row>
    <row r="145" spans="1:3" ht="15" hidden="1" customHeight="1" x14ac:dyDescent="0.25">
      <c r="A145" t="s">
        <v>143</v>
      </c>
      <c r="B145">
        <v>13</v>
      </c>
    </row>
    <row r="146" spans="1:3" ht="15" hidden="1" customHeight="1" x14ac:dyDescent="0.25">
      <c r="A146" t="s">
        <v>144</v>
      </c>
      <c r="B146">
        <v>8</v>
      </c>
    </row>
    <row r="147" spans="1:3" x14ac:dyDescent="0.25">
      <c r="A147" t="s">
        <v>151</v>
      </c>
      <c r="C147">
        <f>SUBTOTAL(103,Tabela13[STATUS])</f>
        <v>41</v>
      </c>
    </row>
  </sheetData>
  <pageMargins left="1" right="1" top="1" bottom="1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6"/>
  <sheetViews>
    <sheetView showGridLines="0" tabSelected="1" workbookViewId="0"/>
  </sheetViews>
  <sheetFormatPr defaultRowHeight="15" x14ac:dyDescent="0.25"/>
  <cols>
    <col min="1" max="1" width="17.140625" customWidth="1"/>
    <col min="2" max="2" width="15" customWidth="1"/>
    <col min="3" max="3" width="11.28515625" bestFit="1" customWidth="1"/>
  </cols>
  <sheetData>
    <row r="1" spans="1:3" ht="15" customHeight="1" x14ac:dyDescent="0.25">
      <c r="A1" t="s">
        <v>145</v>
      </c>
      <c r="B1" t="s">
        <v>150</v>
      </c>
      <c r="C1" t="s">
        <v>149</v>
      </c>
    </row>
    <row r="2" spans="1:3" ht="15" customHeight="1" x14ac:dyDescent="0.25">
      <c r="A2" t="s">
        <v>51</v>
      </c>
      <c r="B2" s="1">
        <v>6</v>
      </c>
      <c r="C2" t="s">
        <v>148</v>
      </c>
    </row>
    <row r="3" spans="1:3" ht="15" customHeight="1" x14ac:dyDescent="0.25">
      <c r="A3" t="s">
        <v>52</v>
      </c>
      <c r="B3" s="1">
        <v>4</v>
      </c>
      <c r="C3" t="s">
        <v>148</v>
      </c>
    </row>
    <row r="4" spans="1:3" ht="15" customHeight="1" x14ac:dyDescent="0.25">
      <c r="A4" t="s">
        <v>53</v>
      </c>
      <c r="B4" s="1">
        <v>12</v>
      </c>
      <c r="C4" t="s">
        <v>148</v>
      </c>
    </row>
    <row r="5" spans="1:3" ht="15" customHeight="1" x14ac:dyDescent="0.25">
      <c r="A5" t="s">
        <v>54</v>
      </c>
      <c r="B5" s="1">
        <v>13</v>
      </c>
      <c r="C5" t="s">
        <v>148</v>
      </c>
    </row>
    <row r="6" spans="1:3" ht="15" customHeight="1" x14ac:dyDescent="0.25">
      <c r="A6" t="s">
        <v>55</v>
      </c>
      <c r="B6" s="1">
        <v>4</v>
      </c>
      <c r="C6" t="s">
        <v>148</v>
      </c>
    </row>
    <row r="7" spans="1:3" ht="15" customHeight="1" x14ac:dyDescent="0.25">
      <c r="A7" t="s">
        <v>56</v>
      </c>
      <c r="B7" s="1">
        <v>6</v>
      </c>
      <c r="C7" t="s">
        <v>148</v>
      </c>
    </row>
    <row r="8" spans="1:3" ht="15" customHeight="1" x14ac:dyDescent="0.25">
      <c r="A8" t="s">
        <v>57</v>
      </c>
      <c r="B8" s="1">
        <v>14</v>
      </c>
      <c r="C8" t="s">
        <v>148</v>
      </c>
    </row>
    <row r="9" spans="1:3" ht="15" customHeight="1" x14ac:dyDescent="0.25">
      <c r="A9" t="s">
        <v>58</v>
      </c>
      <c r="B9" s="1">
        <v>11</v>
      </c>
      <c r="C9" t="s">
        <v>148</v>
      </c>
    </row>
    <row r="10" spans="1:3" ht="15" customHeight="1" x14ac:dyDescent="0.25">
      <c r="A10" t="s">
        <v>59</v>
      </c>
      <c r="B10" s="1">
        <v>13</v>
      </c>
      <c r="C10" t="s">
        <v>148</v>
      </c>
    </row>
    <row r="11" spans="1:3" ht="15" customHeight="1" x14ac:dyDescent="0.25">
      <c r="A11" t="s">
        <v>60</v>
      </c>
      <c r="B11" s="1">
        <v>12</v>
      </c>
      <c r="C11" t="s">
        <v>148</v>
      </c>
    </row>
    <row r="12" spans="1:3" ht="15" customHeight="1" x14ac:dyDescent="0.25">
      <c r="A12" t="s">
        <v>61</v>
      </c>
      <c r="B12" s="1">
        <v>13</v>
      </c>
      <c r="C12" t="s">
        <v>148</v>
      </c>
    </row>
    <row r="13" spans="1:3" ht="15" customHeight="1" x14ac:dyDescent="0.25">
      <c r="A13" t="s">
        <v>62</v>
      </c>
      <c r="B13" s="1">
        <v>5</v>
      </c>
      <c r="C13" t="s">
        <v>148</v>
      </c>
    </row>
    <row r="14" spans="1:3" ht="15" customHeight="1" x14ac:dyDescent="0.25">
      <c r="A14" t="s">
        <v>63</v>
      </c>
      <c r="B14" s="1">
        <v>14</v>
      </c>
      <c r="C14" t="s">
        <v>148</v>
      </c>
    </row>
    <row r="15" spans="1:3" ht="15" customHeight="1" x14ac:dyDescent="0.25">
      <c r="A15" t="s">
        <v>64</v>
      </c>
      <c r="B15" s="1">
        <v>12</v>
      </c>
      <c r="C15" t="s">
        <v>148</v>
      </c>
    </row>
    <row r="16" spans="1:3" ht="15" customHeight="1" x14ac:dyDescent="0.25">
      <c r="A16" t="s">
        <v>65</v>
      </c>
      <c r="B16" s="1">
        <v>13</v>
      </c>
      <c r="C16" t="s">
        <v>148</v>
      </c>
    </row>
    <row r="17" spans="1:3" ht="15" customHeight="1" x14ac:dyDescent="0.25">
      <c r="A17" t="s">
        <v>66</v>
      </c>
      <c r="B17" s="1">
        <v>10</v>
      </c>
      <c r="C17" t="s">
        <v>148</v>
      </c>
    </row>
    <row r="18" spans="1:3" ht="15" customHeight="1" x14ac:dyDescent="0.25">
      <c r="A18" t="s">
        <v>67</v>
      </c>
      <c r="B18" s="1">
        <v>12</v>
      </c>
      <c r="C18" t="s">
        <v>148</v>
      </c>
    </row>
    <row r="19" spans="1:3" ht="15" customHeight="1" x14ac:dyDescent="0.25">
      <c r="A19" t="s">
        <v>68</v>
      </c>
      <c r="B19" s="1">
        <v>13</v>
      </c>
      <c r="C19" t="s">
        <v>148</v>
      </c>
    </row>
    <row r="20" spans="1:3" ht="15" customHeight="1" x14ac:dyDescent="0.25">
      <c r="A20" t="s">
        <v>69</v>
      </c>
      <c r="B20" s="1">
        <v>12</v>
      </c>
      <c r="C20" t="s">
        <v>148</v>
      </c>
    </row>
    <row r="21" spans="1:3" ht="15" customHeight="1" x14ac:dyDescent="0.25">
      <c r="A21" t="s">
        <v>70</v>
      </c>
      <c r="B21" s="1">
        <v>12</v>
      </c>
      <c r="C21" t="s">
        <v>148</v>
      </c>
    </row>
    <row r="22" spans="1:3" ht="15" customHeight="1" x14ac:dyDescent="0.25">
      <c r="A22" t="s">
        <v>71</v>
      </c>
      <c r="B22" s="1">
        <v>12</v>
      </c>
      <c r="C22" t="s">
        <v>148</v>
      </c>
    </row>
    <row r="23" spans="1:3" ht="15" customHeight="1" x14ac:dyDescent="0.25">
      <c r="A23" t="s">
        <v>72</v>
      </c>
      <c r="B23" s="1">
        <v>14</v>
      </c>
      <c r="C23" t="s">
        <v>148</v>
      </c>
    </row>
    <row r="24" spans="1:3" ht="15" customHeight="1" x14ac:dyDescent="0.25">
      <c r="A24" t="s">
        <v>73</v>
      </c>
      <c r="B24" s="1">
        <v>13</v>
      </c>
      <c r="C24" t="s">
        <v>148</v>
      </c>
    </row>
    <row r="25" spans="1:3" ht="15" customHeight="1" x14ac:dyDescent="0.25">
      <c r="A25" t="s">
        <v>74</v>
      </c>
      <c r="B25" s="1">
        <v>14</v>
      </c>
      <c r="C25" t="s">
        <v>148</v>
      </c>
    </row>
    <row r="26" spans="1:3" ht="15" customHeight="1" x14ac:dyDescent="0.25">
      <c r="A26" t="s">
        <v>75</v>
      </c>
      <c r="B26" s="1">
        <v>14</v>
      </c>
      <c r="C26" t="s">
        <v>148</v>
      </c>
    </row>
    <row r="27" spans="1:3" ht="15" customHeight="1" x14ac:dyDescent="0.25">
      <c r="A27" t="s">
        <v>76</v>
      </c>
      <c r="B27" s="1">
        <v>14</v>
      </c>
      <c r="C27" t="s">
        <v>148</v>
      </c>
    </row>
    <row r="28" spans="1:3" ht="15" customHeight="1" x14ac:dyDescent="0.25">
      <c r="A28" t="s">
        <v>77</v>
      </c>
      <c r="B28" s="1">
        <v>14</v>
      </c>
      <c r="C28" t="s">
        <v>148</v>
      </c>
    </row>
    <row r="29" spans="1:3" ht="15" customHeight="1" x14ac:dyDescent="0.25">
      <c r="A29" t="s">
        <v>78</v>
      </c>
      <c r="B29" s="1">
        <v>14</v>
      </c>
      <c r="C29" t="s">
        <v>148</v>
      </c>
    </row>
    <row r="30" spans="1:3" ht="15" customHeight="1" x14ac:dyDescent="0.25">
      <c r="A30" t="s">
        <v>79</v>
      </c>
      <c r="B30" s="1">
        <v>7</v>
      </c>
      <c r="C30" t="s">
        <v>148</v>
      </c>
    </row>
    <row r="31" spans="1:3" ht="15" customHeight="1" x14ac:dyDescent="0.25">
      <c r="A31" t="s">
        <v>80</v>
      </c>
      <c r="B31" s="1">
        <v>14</v>
      </c>
      <c r="C31" t="s">
        <v>148</v>
      </c>
    </row>
    <row r="32" spans="1:3" ht="15" customHeight="1" x14ac:dyDescent="0.25">
      <c r="A32" t="s">
        <v>81</v>
      </c>
      <c r="B32" s="1">
        <v>14</v>
      </c>
      <c r="C32" t="s">
        <v>148</v>
      </c>
    </row>
    <row r="33" spans="1:3" ht="15" customHeight="1" x14ac:dyDescent="0.25">
      <c r="A33" t="s">
        <v>82</v>
      </c>
      <c r="B33" s="1">
        <v>14</v>
      </c>
      <c r="C33" t="s">
        <v>148</v>
      </c>
    </row>
    <row r="34" spans="1:3" ht="15" customHeight="1" x14ac:dyDescent="0.25">
      <c r="A34" t="s">
        <v>83</v>
      </c>
      <c r="B34" s="1">
        <v>14</v>
      </c>
      <c r="C34" t="s">
        <v>148</v>
      </c>
    </row>
    <row r="35" spans="1:3" ht="15" customHeight="1" x14ac:dyDescent="0.25">
      <c r="A35" t="s">
        <v>84</v>
      </c>
      <c r="B35" s="1">
        <v>14</v>
      </c>
      <c r="C35" t="s">
        <v>148</v>
      </c>
    </row>
    <row r="36" spans="1:3" ht="15" customHeight="1" x14ac:dyDescent="0.25">
      <c r="A36" t="s">
        <v>85</v>
      </c>
      <c r="B36" s="1">
        <v>14</v>
      </c>
      <c r="C36" t="s">
        <v>148</v>
      </c>
    </row>
    <row r="37" spans="1:3" ht="15" customHeight="1" x14ac:dyDescent="0.25">
      <c r="A37" t="s">
        <v>86</v>
      </c>
      <c r="B37" s="1">
        <v>14</v>
      </c>
      <c r="C37" t="s">
        <v>148</v>
      </c>
    </row>
    <row r="38" spans="1:3" ht="15" customHeight="1" x14ac:dyDescent="0.25">
      <c r="A38" t="s">
        <v>87</v>
      </c>
      <c r="B38" s="1">
        <v>13</v>
      </c>
      <c r="C38" t="s">
        <v>148</v>
      </c>
    </row>
    <row r="39" spans="1:3" ht="15" customHeight="1" x14ac:dyDescent="0.25">
      <c r="A39" t="s">
        <v>88</v>
      </c>
      <c r="B39" s="1">
        <v>12</v>
      </c>
      <c r="C39" t="s">
        <v>148</v>
      </c>
    </row>
    <row r="40" spans="1:3" ht="15" customHeight="1" x14ac:dyDescent="0.25">
      <c r="A40" t="s">
        <v>89</v>
      </c>
      <c r="B40" s="1">
        <v>14</v>
      </c>
      <c r="C40" t="s">
        <v>148</v>
      </c>
    </row>
    <row r="41" spans="1:3" ht="15" customHeight="1" x14ac:dyDescent="0.25">
      <c r="A41" t="s">
        <v>90</v>
      </c>
      <c r="B41" s="1">
        <v>14</v>
      </c>
      <c r="C41" t="s">
        <v>148</v>
      </c>
    </row>
    <row r="42" spans="1:3" ht="15" customHeight="1" x14ac:dyDescent="0.25">
      <c r="A42" t="s">
        <v>91</v>
      </c>
      <c r="B42" s="1">
        <v>13</v>
      </c>
      <c r="C42" t="s">
        <v>148</v>
      </c>
    </row>
    <row r="43" spans="1:3" ht="15" customHeight="1" x14ac:dyDescent="0.25">
      <c r="A43" t="s">
        <v>92</v>
      </c>
      <c r="B43" s="1">
        <v>14</v>
      </c>
      <c r="C43" t="s">
        <v>148</v>
      </c>
    </row>
    <row r="44" spans="1:3" ht="15" customHeight="1" x14ac:dyDescent="0.25">
      <c r="A44" t="s">
        <v>93</v>
      </c>
      <c r="B44" s="1">
        <v>14</v>
      </c>
      <c r="C44" t="s">
        <v>148</v>
      </c>
    </row>
    <row r="45" spans="1:3" ht="15" customHeight="1" x14ac:dyDescent="0.25">
      <c r="A45" t="s">
        <v>94</v>
      </c>
      <c r="B45" s="1">
        <v>14</v>
      </c>
      <c r="C45" t="s">
        <v>148</v>
      </c>
    </row>
    <row r="46" spans="1:3" ht="15" customHeight="1" x14ac:dyDescent="0.25">
      <c r="A46" t="s">
        <v>95</v>
      </c>
      <c r="B46" s="1">
        <v>14</v>
      </c>
      <c r="C46" t="s">
        <v>148</v>
      </c>
    </row>
    <row r="47" spans="1:3" ht="15" customHeight="1" x14ac:dyDescent="0.25">
      <c r="A47" t="s">
        <v>96</v>
      </c>
      <c r="B47" s="1">
        <v>14</v>
      </c>
      <c r="C47" t="s">
        <v>148</v>
      </c>
    </row>
    <row r="48" spans="1:3" ht="15" customHeight="1" x14ac:dyDescent="0.25">
      <c r="A48" t="s">
        <v>97</v>
      </c>
      <c r="B48" s="1">
        <v>14</v>
      </c>
      <c r="C48" t="s">
        <v>148</v>
      </c>
    </row>
    <row r="49" spans="1:3" ht="15" customHeight="1" x14ac:dyDescent="0.25">
      <c r="A49" t="s">
        <v>98</v>
      </c>
      <c r="B49" s="1">
        <v>14</v>
      </c>
      <c r="C49" t="s">
        <v>148</v>
      </c>
    </row>
    <row r="50" spans="1:3" ht="15" customHeight="1" x14ac:dyDescent="0.25">
      <c r="A50" t="s">
        <v>99</v>
      </c>
      <c r="B50" s="1">
        <v>14</v>
      </c>
      <c r="C50" t="s">
        <v>148</v>
      </c>
    </row>
    <row r="51" spans="1:3" ht="15" customHeight="1" x14ac:dyDescent="0.25">
      <c r="A51" t="s">
        <v>100</v>
      </c>
      <c r="B51" s="1">
        <v>14</v>
      </c>
      <c r="C51" t="s">
        <v>148</v>
      </c>
    </row>
    <row r="52" spans="1:3" ht="15" customHeight="1" x14ac:dyDescent="0.25">
      <c r="A52" t="s">
        <v>101</v>
      </c>
      <c r="B52" s="1">
        <v>14</v>
      </c>
      <c r="C52" t="s">
        <v>148</v>
      </c>
    </row>
    <row r="53" spans="1:3" ht="15" customHeight="1" x14ac:dyDescent="0.25">
      <c r="A53" t="s">
        <v>102</v>
      </c>
      <c r="B53" s="1">
        <v>8</v>
      </c>
      <c r="C53" t="s">
        <v>148</v>
      </c>
    </row>
    <row r="54" spans="1:3" ht="15" customHeight="1" x14ac:dyDescent="0.25">
      <c r="A54" t="s">
        <v>103</v>
      </c>
      <c r="B54" s="1">
        <v>14</v>
      </c>
      <c r="C54" t="s">
        <v>148</v>
      </c>
    </row>
    <row r="55" spans="1:3" ht="15" customHeight="1" x14ac:dyDescent="0.25">
      <c r="A55" t="s">
        <v>104</v>
      </c>
      <c r="B55" s="1">
        <v>14</v>
      </c>
      <c r="C55" t="s">
        <v>148</v>
      </c>
    </row>
    <row r="56" spans="1:3" ht="15" customHeight="1" x14ac:dyDescent="0.25">
      <c r="A56" t="s">
        <v>105</v>
      </c>
      <c r="B56" s="1">
        <v>14</v>
      </c>
      <c r="C56" t="s">
        <v>148</v>
      </c>
    </row>
    <row r="57" spans="1:3" ht="15" customHeight="1" x14ac:dyDescent="0.25">
      <c r="A57" t="s">
        <v>106</v>
      </c>
      <c r="B57" s="1">
        <v>14</v>
      </c>
      <c r="C57" t="s">
        <v>148</v>
      </c>
    </row>
    <row r="58" spans="1:3" ht="15" customHeight="1" x14ac:dyDescent="0.25">
      <c r="A58" t="s">
        <v>107</v>
      </c>
      <c r="B58" s="1">
        <v>13</v>
      </c>
      <c r="C58" t="s">
        <v>148</v>
      </c>
    </row>
    <row r="59" spans="1:3" ht="15" customHeight="1" x14ac:dyDescent="0.25">
      <c r="A59" t="s">
        <v>108</v>
      </c>
      <c r="B59" s="1">
        <v>13</v>
      </c>
      <c r="C59" t="s">
        <v>148</v>
      </c>
    </row>
    <row r="60" spans="1:3" ht="15" customHeight="1" x14ac:dyDescent="0.25">
      <c r="A60" t="s">
        <v>109</v>
      </c>
      <c r="B60" s="1">
        <v>13</v>
      </c>
      <c r="C60" t="s">
        <v>148</v>
      </c>
    </row>
    <row r="61" spans="1:3" ht="15" customHeight="1" x14ac:dyDescent="0.25">
      <c r="A61" t="s">
        <v>110</v>
      </c>
      <c r="B61" s="1">
        <v>13</v>
      </c>
      <c r="C61" t="s">
        <v>148</v>
      </c>
    </row>
    <row r="62" spans="1:3" ht="15" customHeight="1" x14ac:dyDescent="0.25">
      <c r="A62" t="s">
        <v>111</v>
      </c>
      <c r="B62" s="1">
        <v>12</v>
      </c>
      <c r="C62" t="s">
        <v>148</v>
      </c>
    </row>
    <row r="63" spans="1:3" ht="15" customHeight="1" x14ac:dyDescent="0.25">
      <c r="A63" t="s">
        <v>112</v>
      </c>
      <c r="B63" s="1">
        <v>14</v>
      </c>
      <c r="C63" t="s">
        <v>148</v>
      </c>
    </row>
    <row r="64" spans="1:3" ht="15" customHeight="1" x14ac:dyDescent="0.25">
      <c r="A64" t="s">
        <v>113</v>
      </c>
      <c r="B64" s="1">
        <v>14</v>
      </c>
      <c r="C64" t="s">
        <v>148</v>
      </c>
    </row>
    <row r="65" spans="1:3" ht="15" customHeight="1" x14ac:dyDescent="0.25">
      <c r="A65" t="s">
        <v>114</v>
      </c>
      <c r="B65" s="1">
        <v>14</v>
      </c>
      <c r="C65" t="s">
        <v>148</v>
      </c>
    </row>
    <row r="66" spans="1:3" ht="15" customHeight="1" x14ac:dyDescent="0.25">
      <c r="A66" t="s">
        <v>115</v>
      </c>
      <c r="B66" s="1">
        <v>14</v>
      </c>
      <c r="C66" t="s">
        <v>148</v>
      </c>
    </row>
    <row r="67" spans="1:3" ht="15" customHeight="1" x14ac:dyDescent="0.25">
      <c r="A67" t="s">
        <v>116</v>
      </c>
      <c r="B67" s="1">
        <v>14</v>
      </c>
      <c r="C67" t="s">
        <v>148</v>
      </c>
    </row>
    <row r="68" spans="1:3" ht="15" customHeight="1" x14ac:dyDescent="0.25">
      <c r="A68" t="s">
        <v>117</v>
      </c>
      <c r="B68" s="1">
        <v>14</v>
      </c>
      <c r="C68" t="s">
        <v>148</v>
      </c>
    </row>
    <row r="69" spans="1:3" ht="15" customHeight="1" x14ac:dyDescent="0.25">
      <c r="A69" t="s">
        <v>118</v>
      </c>
      <c r="B69" s="1">
        <v>8</v>
      </c>
      <c r="C69" t="s">
        <v>148</v>
      </c>
    </row>
    <row r="70" spans="1:3" ht="15" customHeight="1" x14ac:dyDescent="0.25">
      <c r="A70" t="s">
        <v>119</v>
      </c>
      <c r="B70" s="1">
        <v>13</v>
      </c>
      <c r="C70" t="s">
        <v>148</v>
      </c>
    </row>
    <row r="71" spans="1:3" ht="15" customHeight="1" x14ac:dyDescent="0.25">
      <c r="A71" t="s">
        <v>120</v>
      </c>
      <c r="B71" s="1">
        <v>11</v>
      </c>
      <c r="C71" t="s">
        <v>148</v>
      </c>
    </row>
    <row r="72" spans="1:3" ht="15" customHeight="1" x14ac:dyDescent="0.25">
      <c r="A72" t="s">
        <v>121</v>
      </c>
      <c r="B72" s="1">
        <v>14</v>
      </c>
      <c r="C72" t="s">
        <v>148</v>
      </c>
    </row>
    <row r="73" spans="1:3" ht="15" customHeight="1" x14ac:dyDescent="0.25">
      <c r="A73" t="s">
        <v>122</v>
      </c>
      <c r="B73" s="1">
        <v>14</v>
      </c>
      <c r="C73" t="s">
        <v>148</v>
      </c>
    </row>
    <row r="74" spans="1:3" ht="15" customHeight="1" x14ac:dyDescent="0.25">
      <c r="A74" t="s">
        <v>123</v>
      </c>
      <c r="B74" s="1">
        <v>14</v>
      </c>
      <c r="C74" t="s">
        <v>148</v>
      </c>
    </row>
    <row r="75" spans="1:3" ht="15" customHeight="1" x14ac:dyDescent="0.25">
      <c r="A75" t="s">
        <v>124</v>
      </c>
      <c r="B75" s="1">
        <v>12</v>
      </c>
      <c r="C75" t="s">
        <v>148</v>
      </c>
    </row>
    <row r="76" spans="1:3" ht="15" customHeight="1" x14ac:dyDescent="0.25">
      <c r="A76" t="s">
        <v>125</v>
      </c>
      <c r="B76" s="1">
        <v>14</v>
      </c>
      <c r="C76" t="s">
        <v>148</v>
      </c>
    </row>
    <row r="77" spans="1:3" ht="15" customHeight="1" x14ac:dyDescent="0.25">
      <c r="A77" t="s">
        <v>126</v>
      </c>
      <c r="B77" s="1">
        <v>13</v>
      </c>
      <c r="C77" t="s">
        <v>148</v>
      </c>
    </row>
    <row r="78" spans="1:3" ht="15" customHeight="1" x14ac:dyDescent="0.25">
      <c r="A78" t="s">
        <v>127</v>
      </c>
      <c r="B78" s="1">
        <v>14</v>
      </c>
      <c r="C78" t="s">
        <v>148</v>
      </c>
    </row>
    <row r="79" spans="1:3" ht="15" customHeight="1" x14ac:dyDescent="0.25">
      <c r="A79" t="s">
        <v>128</v>
      </c>
      <c r="B79" s="1">
        <v>13</v>
      </c>
      <c r="C79" t="s">
        <v>148</v>
      </c>
    </row>
    <row r="80" spans="1:3" ht="15" customHeight="1" x14ac:dyDescent="0.25">
      <c r="A80" t="s">
        <v>129</v>
      </c>
      <c r="B80" s="1">
        <v>13</v>
      </c>
      <c r="C80" t="s">
        <v>148</v>
      </c>
    </row>
    <row r="81" spans="1:3" ht="15" customHeight="1" x14ac:dyDescent="0.25">
      <c r="A81" t="s">
        <v>130</v>
      </c>
      <c r="B81" s="1">
        <v>4</v>
      </c>
      <c r="C81" t="s">
        <v>148</v>
      </c>
    </row>
    <row r="82" spans="1:3" ht="15" customHeight="1" x14ac:dyDescent="0.25">
      <c r="A82" t="s">
        <v>131</v>
      </c>
      <c r="B82" s="1">
        <v>14</v>
      </c>
      <c r="C82" t="s">
        <v>148</v>
      </c>
    </row>
    <row r="83" spans="1:3" ht="15" customHeight="1" x14ac:dyDescent="0.25">
      <c r="A83" t="s">
        <v>132</v>
      </c>
      <c r="B83" s="1">
        <v>18</v>
      </c>
      <c r="C83" t="s">
        <v>148</v>
      </c>
    </row>
    <row r="84" spans="1:3" ht="15" customHeight="1" x14ac:dyDescent="0.25">
      <c r="A84" t="s">
        <v>133</v>
      </c>
      <c r="B84" s="1">
        <v>17</v>
      </c>
      <c r="C84" t="s">
        <v>148</v>
      </c>
    </row>
    <row r="85" spans="1:3" ht="15" customHeight="1" x14ac:dyDescent="0.25">
      <c r="A85" t="s">
        <v>134</v>
      </c>
      <c r="B85" s="1">
        <v>12</v>
      </c>
      <c r="C85" t="s">
        <v>148</v>
      </c>
    </row>
    <row r="86" spans="1:3" ht="15" customHeight="1" x14ac:dyDescent="0.25">
      <c r="A86" t="s">
        <v>135</v>
      </c>
      <c r="B86" s="1">
        <v>13</v>
      </c>
      <c r="C86" t="s">
        <v>148</v>
      </c>
    </row>
    <row r="87" spans="1:3" ht="15" customHeight="1" x14ac:dyDescent="0.25">
      <c r="A87" t="s">
        <v>136</v>
      </c>
      <c r="B87" s="1">
        <v>18</v>
      </c>
      <c r="C87" t="s">
        <v>148</v>
      </c>
    </row>
    <row r="88" spans="1:3" ht="15" customHeight="1" x14ac:dyDescent="0.25">
      <c r="A88" t="s">
        <v>137</v>
      </c>
      <c r="B88" s="1">
        <v>8</v>
      </c>
      <c r="C88" t="s">
        <v>148</v>
      </c>
    </row>
    <row r="89" spans="1:3" ht="15" customHeight="1" x14ac:dyDescent="0.25">
      <c r="A89" t="s">
        <v>138</v>
      </c>
      <c r="B89" s="1">
        <v>20</v>
      </c>
      <c r="C89" t="s">
        <v>148</v>
      </c>
    </row>
    <row r="90" spans="1:3" ht="15" customHeight="1" x14ac:dyDescent="0.25">
      <c r="A90" t="s">
        <v>139</v>
      </c>
      <c r="B90" s="1">
        <v>6</v>
      </c>
      <c r="C90" t="s">
        <v>148</v>
      </c>
    </row>
    <row r="91" spans="1:3" ht="15" customHeight="1" x14ac:dyDescent="0.25">
      <c r="A91" t="s">
        <v>140</v>
      </c>
      <c r="B91" s="1">
        <v>13</v>
      </c>
      <c r="C91" t="s">
        <v>148</v>
      </c>
    </row>
    <row r="92" spans="1:3" ht="15" customHeight="1" x14ac:dyDescent="0.25">
      <c r="A92" t="s">
        <v>141</v>
      </c>
      <c r="B92" s="1">
        <v>8</v>
      </c>
      <c r="C92" t="s">
        <v>148</v>
      </c>
    </row>
    <row r="93" spans="1:3" ht="15" customHeight="1" x14ac:dyDescent="0.25">
      <c r="A93" t="s">
        <v>142</v>
      </c>
      <c r="B93" s="1">
        <v>14</v>
      </c>
      <c r="C93" t="s">
        <v>148</v>
      </c>
    </row>
    <row r="94" spans="1:3" ht="15" customHeight="1" x14ac:dyDescent="0.25">
      <c r="A94" t="s">
        <v>143</v>
      </c>
      <c r="B94" s="1">
        <v>13</v>
      </c>
      <c r="C94" t="s">
        <v>148</v>
      </c>
    </row>
    <row r="95" spans="1:3" ht="15" customHeight="1" x14ac:dyDescent="0.25">
      <c r="A95" t="s">
        <v>144</v>
      </c>
      <c r="B95" s="1">
        <v>8</v>
      </c>
      <c r="C95" t="s">
        <v>148</v>
      </c>
    </row>
    <row r="96" spans="1:3" ht="15" customHeight="1" x14ac:dyDescent="0.25">
      <c r="A96" t="s">
        <v>151</v>
      </c>
      <c r="B96" s="1"/>
      <c r="C96">
        <f>SUBTOTAL(103,Tabela14[STATUS])</f>
        <v>94</v>
      </c>
    </row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CM</vt:lpstr>
      <vt:lpstr>CM ATRELADO</vt:lpstr>
      <vt:lpstr>SR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2022-07-26T13:45:51Z</dcterms:created>
  <dcterms:modified xsi:type="dcterms:W3CDTF">2022-07-26T13:55:04Z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