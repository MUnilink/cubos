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ário\Documents\repositório\cubos\manutenção\"/>
    </mc:Choice>
  </mc:AlternateContent>
  <bookViews>
    <workbookView xWindow="0" yWindow="0" windowWidth="20490" windowHeight="7635"/>
  </bookViews>
  <sheets>
    <sheet name="CM" sheetId="1" r:id="rId1"/>
    <sheet name="CM ATRELADO" sheetId="3" r:id="rId2"/>
    <sheet name="SR" sheetId="2" r:id="rId3"/>
  </sheets>
  <calcPr calcId="152511"/>
</workbook>
</file>

<file path=xl/calcChain.xml><?xml version="1.0" encoding="utf-8"?>
<calcChain xmlns="http://schemas.openxmlformats.org/spreadsheetml/2006/main">
  <c r="C40" i="1" l="1"/>
  <c r="C40" i="3"/>
  <c r="B36" i="2" l="1"/>
  <c r="C36" i="2"/>
  <c r="B40" i="3"/>
  <c r="B40" i="1"/>
</calcChain>
</file>

<file path=xl/sharedStrings.xml><?xml version="1.0" encoding="utf-8"?>
<sst xmlns="http://schemas.openxmlformats.org/spreadsheetml/2006/main" count="194" uniqueCount="81">
  <si>
    <t xml:space="preserve">CM1001          </t>
  </si>
  <si>
    <t xml:space="preserve">CM1004          </t>
  </si>
  <si>
    <t xml:space="preserve">CM1005          </t>
  </si>
  <si>
    <t xml:space="preserve">CM1006          </t>
  </si>
  <si>
    <t xml:space="preserve">CM1007          </t>
  </si>
  <si>
    <t xml:space="preserve">CM1008          </t>
  </si>
  <si>
    <t xml:space="preserve">CM1009          </t>
  </si>
  <si>
    <t xml:space="preserve">CM1010          </t>
  </si>
  <si>
    <t xml:space="preserve">CM1011          </t>
  </si>
  <si>
    <t xml:space="preserve">CM1014          </t>
  </si>
  <si>
    <t xml:space="preserve">CM1016          </t>
  </si>
  <si>
    <t xml:space="preserve">CM1025          </t>
  </si>
  <si>
    <t xml:space="preserve">CM1026          </t>
  </si>
  <si>
    <t xml:space="preserve">CM1027          </t>
  </si>
  <si>
    <t xml:space="preserve">CM2000          </t>
  </si>
  <si>
    <t xml:space="preserve">CM2001          </t>
  </si>
  <si>
    <t xml:space="preserve">CM2002          </t>
  </si>
  <si>
    <t xml:space="preserve">CM2003          </t>
  </si>
  <si>
    <t xml:space="preserve">CM2004          </t>
  </si>
  <si>
    <t xml:space="preserve">CM2005          </t>
  </si>
  <si>
    <t xml:space="preserve">CM3000          </t>
  </si>
  <si>
    <t xml:space="preserve">CM3001          </t>
  </si>
  <si>
    <t xml:space="preserve">CM3002          </t>
  </si>
  <si>
    <t xml:space="preserve">CM3003          </t>
  </si>
  <si>
    <t xml:space="preserve">CM3004          </t>
  </si>
  <si>
    <t xml:space="preserve">CM3005          </t>
  </si>
  <si>
    <t xml:space="preserve">CM3006          </t>
  </si>
  <si>
    <t xml:space="preserve">CM3007          </t>
  </si>
  <si>
    <t xml:space="preserve">CM4001          </t>
  </si>
  <si>
    <t xml:space="preserve">CM4002          </t>
  </si>
  <si>
    <t xml:space="preserve">CM4004          </t>
  </si>
  <si>
    <t xml:space="preserve">CM5000          </t>
  </si>
  <si>
    <t xml:space="preserve">CM5001          </t>
  </si>
  <si>
    <t xml:space="preserve">CM5002          </t>
  </si>
  <si>
    <t xml:space="preserve">CM5009          </t>
  </si>
  <si>
    <t xml:space="preserve">CM5010          </t>
  </si>
  <si>
    <t xml:space="preserve">CM5013          </t>
  </si>
  <si>
    <t xml:space="preserve">CM5014          </t>
  </si>
  <si>
    <t xml:space="preserve">SR10007         </t>
  </si>
  <si>
    <t xml:space="preserve">SR10010         </t>
  </si>
  <si>
    <t xml:space="preserve">SR10021         </t>
  </si>
  <si>
    <t xml:space="preserve">SR10042         </t>
  </si>
  <si>
    <t xml:space="preserve">SR10064         </t>
  </si>
  <si>
    <t xml:space="preserve">SR10066         </t>
  </si>
  <si>
    <t xml:space="preserve">SR10067         </t>
  </si>
  <si>
    <t xml:space="preserve">SR10068         </t>
  </si>
  <si>
    <t xml:space="preserve">SR11001         </t>
  </si>
  <si>
    <t xml:space="preserve">SR11002         </t>
  </si>
  <si>
    <t xml:space="preserve">SR11004         </t>
  </si>
  <si>
    <t xml:space="preserve">SR13008         </t>
  </si>
  <si>
    <t xml:space="preserve">SR14000         </t>
  </si>
  <si>
    <t xml:space="preserve">SR14001         </t>
  </si>
  <si>
    <t xml:space="preserve">SR14002         </t>
  </si>
  <si>
    <t xml:space="preserve">SR14003         </t>
  </si>
  <si>
    <t xml:space="preserve">SR14004         </t>
  </si>
  <si>
    <t xml:space="preserve">SR14005         </t>
  </si>
  <si>
    <t xml:space="preserve">SR14006         </t>
  </si>
  <si>
    <t xml:space="preserve">SR15000         </t>
  </si>
  <si>
    <t xml:space="preserve">SR15001         </t>
  </si>
  <si>
    <t xml:space="preserve">SR15006         </t>
  </si>
  <si>
    <t xml:space="preserve">SR15007         </t>
  </si>
  <si>
    <t xml:space="preserve">SR16000         </t>
  </si>
  <si>
    <t xml:space="preserve">SR16002         </t>
  </si>
  <si>
    <t xml:space="preserve">SR16003         </t>
  </si>
  <si>
    <t xml:space="preserve">SR16004         </t>
  </si>
  <si>
    <t xml:space="preserve">SR16005         </t>
  </si>
  <si>
    <t xml:space="preserve">SR16006         </t>
  </si>
  <si>
    <t xml:space="preserve">SR16007         </t>
  </si>
  <si>
    <t xml:space="preserve">SR16008         </t>
  </si>
  <si>
    <t xml:space="preserve">SR17002         </t>
  </si>
  <si>
    <t xml:space="preserve">SR18000         </t>
  </si>
  <si>
    <t xml:space="preserve">SR18001         </t>
  </si>
  <si>
    <t>VEÍCULO</t>
  </si>
  <si>
    <t>Total</t>
  </si>
  <si>
    <t>OK</t>
  </si>
  <si>
    <t>VERIFICAR</t>
  </si>
  <si>
    <t>STATUS</t>
  </si>
  <si>
    <t>QTD</t>
  </si>
  <si>
    <t>COM SR</t>
  </si>
  <si>
    <t>Colunas1</t>
  </si>
  <si>
    <t>QTD PNEUS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</si>
</sst>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"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ela1" displayName="Tabela1" ref="A1:C40" totalsRowCount="1">
  <autoFilter ref="A1:C39">
    <filterColumn colId="1">
      <customFilters>
        <customFilter operator="lessThanOrEqual" val="1000"/>
      </customFilters>
    </filterColumn>
  </autoFilter>
  <tableColumns count="3">
    <tableColumn id="2" name="VEÍCULO" totalsRowLabel="Total"/>
    <tableColumn id="3" name="QTD" totalsRowFunction="count"/>
    <tableColumn id="4" name="STATUS" totalsRowFunction="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ela14" displayName="Tabela14" ref="A1:C40" totalsRowCount="1">
  <autoFilter ref="A1:C39">
    <filterColumn colId="1">
      <customFilters>
        <customFilter operator="greaterThanOrEqual" val="1000"/>
      </customFilters>
    </filterColumn>
  </autoFilter>
  <tableColumns count="3">
    <tableColumn id="2" name="VEÍCULO" totalsRowLabel="Total"/>
    <tableColumn id="3" name="QTD" totalsRowFunction="count"/>
    <tableColumn id="1" name="Colunas1" totalsRowFunction="c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Tabela13" displayName="Tabela13" ref="A1:C36" totalsRowCount="1">
  <autoFilter ref="A1:C35"/>
  <tableColumns count="3">
    <tableColumn id="2" name="VEÍCULO" totalsRowLabel="Total"/>
    <tableColumn id="3" name="QTD PNEUS" totalsRowFunction="count" dataDxfId="0"/>
    <tableColumn id="4" name="STATUS" totalsRowFunction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74"/>
  <sheetViews>
    <sheetView showGridLines="0" tabSelected="1" workbookViewId="0">
      <selection activeCell="B1" sqref="B1"/>
    </sheetView>
  </sheetViews>
  <sheetFormatPr defaultRowHeight="15" x14ac:dyDescent="0.25"/>
  <cols>
    <col min="1" max="1" width="12.140625" bestFit="1" customWidth="1"/>
    <col min="2" max="3" width="11.28515625" bestFit="1" customWidth="1"/>
  </cols>
  <sheetData>
    <row r="1" spans="1:3" ht="15" customHeight="1" x14ac:dyDescent="0.25">
      <c r="A1" t="s">
        <v>72</v>
      </c>
      <c r="B1" t="s">
        <v>77</v>
      </c>
      <c r="C1" t="s">
        <v>76</v>
      </c>
    </row>
    <row r="2" spans="1:3" ht="15" hidden="1" customHeight="1" x14ac:dyDescent="0.25">
      <c r="A2" t="s">
        <v>0</v>
      </c>
      <c r="B2">
        <v>1010</v>
      </c>
    </row>
    <row r="3" spans="1:3" ht="15" customHeight="1" x14ac:dyDescent="0.25">
      <c r="A3" t="s">
        <v>1</v>
      </c>
      <c r="B3" s="1">
        <v>10</v>
      </c>
      <c r="C3" t="s">
        <v>74</v>
      </c>
    </row>
    <row r="4" spans="1:3" ht="15" customHeight="1" x14ac:dyDescent="0.25">
      <c r="A4" t="s">
        <v>2</v>
      </c>
      <c r="B4" s="1">
        <v>10</v>
      </c>
      <c r="C4" t="s">
        <v>74</v>
      </c>
    </row>
    <row r="5" spans="1:3" ht="15" hidden="1" customHeight="1" x14ac:dyDescent="0.25">
      <c r="A5" t="s">
        <v>3</v>
      </c>
      <c r="B5">
        <v>1010</v>
      </c>
    </row>
    <row r="6" spans="1:3" ht="15" customHeight="1" x14ac:dyDescent="0.25">
      <c r="A6" t="s">
        <v>4</v>
      </c>
      <c r="B6" s="1">
        <v>6</v>
      </c>
      <c r="C6" t="s">
        <v>75</v>
      </c>
    </row>
    <row r="7" spans="1:3" ht="15" hidden="1" customHeight="1" x14ac:dyDescent="0.25">
      <c r="A7" t="s">
        <v>5</v>
      </c>
      <c r="B7">
        <v>1007</v>
      </c>
    </row>
    <row r="8" spans="1:3" ht="15" hidden="1" customHeight="1" x14ac:dyDescent="0.25">
      <c r="A8" t="s">
        <v>6</v>
      </c>
      <c r="B8">
        <v>1010</v>
      </c>
    </row>
    <row r="9" spans="1:3" ht="15" customHeight="1" x14ac:dyDescent="0.25">
      <c r="A9" t="s">
        <v>7</v>
      </c>
      <c r="B9" s="1">
        <v>10</v>
      </c>
      <c r="C9" t="s">
        <v>74</v>
      </c>
    </row>
    <row r="10" spans="1:3" ht="15" hidden="1" customHeight="1" x14ac:dyDescent="0.25">
      <c r="A10" t="s">
        <v>8</v>
      </c>
      <c r="B10">
        <v>1010</v>
      </c>
    </row>
    <row r="11" spans="1:3" ht="15" hidden="1" customHeight="1" x14ac:dyDescent="0.25">
      <c r="A11" t="s">
        <v>9</v>
      </c>
      <c r="B11">
        <v>1010</v>
      </c>
    </row>
    <row r="12" spans="1:3" ht="15" customHeight="1" x14ac:dyDescent="0.25">
      <c r="A12" t="s">
        <v>10</v>
      </c>
      <c r="B12" s="1">
        <v>10</v>
      </c>
      <c r="C12" t="s">
        <v>74</v>
      </c>
    </row>
    <row r="13" spans="1:3" ht="15" customHeight="1" x14ac:dyDescent="0.25">
      <c r="A13" t="s">
        <v>11</v>
      </c>
      <c r="B13" s="1">
        <v>9</v>
      </c>
      <c r="C13" t="s">
        <v>75</v>
      </c>
    </row>
    <row r="14" spans="1:3" ht="15" customHeight="1" x14ac:dyDescent="0.25">
      <c r="A14" t="s">
        <v>12</v>
      </c>
      <c r="B14" s="1">
        <v>10</v>
      </c>
      <c r="C14" t="s">
        <v>74</v>
      </c>
    </row>
    <row r="15" spans="1:3" ht="15" customHeight="1" x14ac:dyDescent="0.25">
      <c r="A15" t="s">
        <v>13</v>
      </c>
      <c r="B15" s="1">
        <v>9</v>
      </c>
      <c r="C15" t="s">
        <v>75</v>
      </c>
    </row>
    <row r="16" spans="1:3" ht="15" customHeight="1" x14ac:dyDescent="0.25">
      <c r="A16" t="s">
        <v>14</v>
      </c>
      <c r="B16" s="1">
        <v>8</v>
      </c>
      <c r="C16" t="s">
        <v>75</v>
      </c>
    </row>
    <row r="17" spans="1:3" ht="15" customHeight="1" x14ac:dyDescent="0.25">
      <c r="A17" t="s">
        <v>15</v>
      </c>
      <c r="B17" s="1">
        <v>6</v>
      </c>
      <c r="C17" t="s">
        <v>75</v>
      </c>
    </row>
    <row r="18" spans="1:3" ht="15" customHeight="1" x14ac:dyDescent="0.25">
      <c r="A18" t="s">
        <v>16</v>
      </c>
      <c r="B18" s="1">
        <v>10</v>
      </c>
      <c r="C18" t="s">
        <v>74</v>
      </c>
    </row>
    <row r="19" spans="1:3" ht="15" customHeight="1" x14ac:dyDescent="0.25">
      <c r="A19" t="s">
        <v>17</v>
      </c>
      <c r="B19" s="1">
        <v>9</v>
      </c>
      <c r="C19" t="s">
        <v>75</v>
      </c>
    </row>
    <row r="20" spans="1:3" ht="15" customHeight="1" x14ac:dyDescent="0.25">
      <c r="A20" t="s">
        <v>18</v>
      </c>
      <c r="B20" s="1">
        <v>4</v>
      </c>
      <c r="C20" t="s">
        <v>75</v>
      </c>
    </row>
    <row r="21" spans="1:3" ht="15" customHeight="1" x14ac:dyDescent="0.25">
      <c r="A21" t="s">
        <v>19</v>
      </c>
      <c r="B21" s="1">
        <v>10</v>
      </c>
      <c r="C21" t="s">
        <v>74</v>
      </c>
    </row>
    <row r="22" spans="1:3" ht="15" customHeight="1" x14ac:dyDescent="0.25">
      <c r="A22" t="s">
        <v>20</v>
      </c>
      <c r="B22" s="1">
        <v>6</v>
      </c>
      <c r="C22" t="s">
        <v>74</v>
      </c>
    </row>
    <row r="23" spans="1:3" ht="15" customHeight="1" x14ac:dyDescent="0.25">
      <c r="A23" t="s">
        <v>21</v>
      </c>
      <c r="B23" s="1">
        <v>6</v>
      </c>
      <c r="C23" t="s">
        <v>74</v>
      </c>
    </row>
    <row r="24" spans="1:3" ht="15" customHeight="1" x14ac:dyDescent="0.25">
      <c r="A24" t="s">
        <v>22</v>
      </c>
      <c r="B24" s="1">
        <v>6</v>
      </c>
      <c r="C24" t="s">
        <v>74</v>
      </c>
    </row>
    <row r="25" spans="1:3" ht="15" customHeight="1" x14ac:dyDescent="0.25">
      <c r="A25" t="s">
        <v>23</v>
      </c>
      <c r="B25" s="1">
        <v>5</v>
      </c>
      <c r="C25" t="s">
        <v>75</v>
      </c>
    </row>
    <row r="26" spans="1:3" ht="15" customHeight="1" x14ac:dyDescent="0.25">
      <c r="A26" t="s">
        <v>24</v>
      </c>
      <c r="B26" s="1">
        <v>4</v>
      </c>
      <c r="C26" t="s">
        <v>75</v>
      </c>
    </row>
    <row r="27" spans="1:3" ht="15" customHeight="1" x14ac:dyDescent="0.25">
      <c r="A27" t="s">
        <v>25</v>
      </c>
      <c r="B27" s="1">
        <v>6</v>
      </c>
      <c r="C27" t="s">
        <v>74</v>
      </c>
    </row>
    <row r="28" spans="1:3" ht="15" customHeight="1" x14ac:dyDescent="0.25">
      <c r="A28" t="s">
        <v>26</v>
      </c>
      <c r="B28" s="1">
        <v>6</v>
      </c>
      <c r="C28" t="s">
        <v>74</v>
      </c>
    </row>
    <row r="29" spans="1:3" ht="15" hidden="1" customHeight="1" x14ac:dyDescent="0.25">
      <c r="A29" t="s">
        <v>27</v>
      </c>
      <c r="B29">
        <v>1006</v>
      </c>
    </row>
    <row r="30" spans="1:3" ht="15" hidden="1" customHeight="1" x14ac:dyDescent="0.25">
      <c r="A30" t="s">
        <v>28</v>
      </c>
      <c r="B30">
        <v>1010</v>
      </c>
    </row>
    <row r="31" spans="1:3" ht="15" customHeight="1" x14ac:dyDescent="0.25">
      <c r="A31" t="s">
        <v>29</v>
      </c>
      <c r="B31" s="1">
        <v>10</v>
      </c>
      <c r="C31" t="s">
        <v>74</v>
      </c>
    </row>
    <row r="32" spans="1:3" ht="15" customHeight="1" x14ac:dyDescent="0.25">
      <c r="A32" t="s">
        <v>30</v>
      </c>
      <c r="B32" s="1">
        <v>3</v>
      </c>
      <c r="C32" t="s">
        <v>75</v>
      </c>
    </row>
    <row r="33" spans="1:3" ht="15" hidden="1" customHeight="1" x14ac:dyDescent="0.25">
      <c r="A33" t="s">
        <v>31</v>
      </c>
      <c r="B33">
        <v>1009</v>
      </c>
    </row>
    <row r="34" spans="1:3" ht="15" hidden="1" customHeight="1" x14ac:dyDescent="0.25">
      <c r="A34" t="s">
        <v>32</v>
      </c>
      <c r="B34">
        <v>1009</v>
      </c>
    </row>
    <row r="35" spans="1:3" ht="15" customHeight="1" x14ac:dyDescent="0.25">
      <c r="A35" t="s">
        <v>33</v>
      </c>
      <c r="B35" s="1">
        <v>10</v>
      </c>
      <c r="C35" t="s">
        <v>74</v>
      </c>
    </row>
    <row r="36" spans="1:3" ht="15" hidden="1" customHeight="1" x14ac:dyDescent="0.25">
      <c r="A36" t="s">
        <v>34</v>
      </c>
      <c r="B36">
        <v>1009</v>
      </c>
    </row>
    <row r="37" spans="1:3" ht="15" hidden="1" customHeight="1" x14ac:dyDescent="0.25">
      <c r="A37" t="s">
        <v>35</v>
      </c>
      <c r="B37">
        <v>1010</v>
      </c>
    </row>
    <row r="38" spans="1:3" ht="15" hidden="1" customHeight="1" x14ac:dyDescent="0.25">
      <c r="A38" t="s">
        <v>36</v>
      </c>
      <c r="B38">
        <v>1009</v>
      </c>
    </row>
    <row r="39" spans="1:3" ht="15" hidden="1" customHeight="1" x14ac:dyDescent="0.25">
      <c r="A39" t="s">
        <v>37</v>
      </c>
      <c r="B39">
        <v>1008</v>
      </c>
    </row>
    <row r="40" spans="1:3" ht="15" customHeight="1" x14ac:dyDescent="0.25">
      <c r="A40" t="s">
        <v>73</v>
      </c>
      <c r="B40">
        <f>SUBTOTAL(103,Tabela1[QTD])</f>
        <v>24</v>
      </c>
      <c r="C40">
        <f>SUBTOTAL(103,Tabela1[STATUS])</f>
        <v>24</v>
      </c>
    </row>
    <row r="41" spans="1:3" ht="15" customHeight="1" x14ac:dyDescent="0.25"/>
    <row r="42" spans="1:3" ht="15" customHeight="1" x14ac:dyDescent="0.25"/>
    <row r="43" spans="1:3" ht="15" customHeight="1" x14ac:dyDescent="0.25"/>
    <row r="44" spans="1:3" ht="15" customHeight="1" x14ac:dyDescent="0.25"/>
    <row r="45" spans="1:3" ht="15" customHeight="1" x14ac:dyDescent="0.25"/>
    <row r="46" spans="1:3" ht="15" customHeight="1" x14ac:dyDescent="0.25"/>
    <row r="47" spans="1:3" ht="15" customHeight="1" x14ac:dyDescent="0.25"/>
    <row r="48" spans="1:3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</sheetData>
  <pageMargins left="1" right="1" top="1" bottom="1" header="0.3" footer="0.3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74"/>
  <sheetViews>
    <sheetView showGridLines="0" workbookViewId="0">
      <selection activeCell="C40" sqref="C40"/>
    </sheetView>
  </sheetViews>
  <sheetFormatPr defaultRowHeight="15" x14ac:dyDescent="0.25"/>
  <cols>
    <col min="1" max="1" width="12.140625" bestFit="1" customWidth="1"/>
    <col min="2" max="2" width="11" hidden="1" customWidth="1"/>
  </cols>
  <sheetData>
    <row r="1" spans="1:3" ht="15" customHeight="1" x14ac:dyDescent="0.25">
      <c r="A1" t="s">
        <v>72</v>
      </c>
      <c r="B1" t="s">
        <v>77</v>
      </c>
      <c r="C1" t="s">
        <v>79</v>
      </c>
    </row>
    <row r="2" spans="1:3" ht="15" customHeight="1" x14ac:dyDescent="0.25">
      <c r="A2" t="s">
        <v>0</v>
      </c>
      <c r="B2">
        <v>1010</v>
      </c>
      <c r="C2" t="s">
        <v>78</v>
      </c>
    </row>
    <row r="3" spans="1:3" ht="15" hidden="1" customHeight="1" x14ac:dyDescent="0.25">
      <c r="A3" t="s">
        <v>1</v>
      </c>
      <c r="B3">
        <v>10</v>
      </c>
    </row>
    <row r="4" spans="1:3" ht="15" hidden="1" customHeight="1" x14ac:dyDescent="0.25">
      <c r="A4" t="s">
        <v>2</v>
      </c>
      <c r="B4">
        <v>10</v>
      </c>
    </row>
    <row r="5" spans="1:3" ht="15" customHeight="1" x14ac:dyDescent="0.25">
      <c r="A5" t="s">
        <v>3</v>
      </c>
      <c r="B5">
        <v>1010</v>
      </c>
      <c r="C5" t="s">
        <v>78</v>
      </c>
    </row>
    <row r="6" spans="1:3" ht="15" hidden="1" customHeight="1" x14ac:dyDescent="0.25">
      <c r="A6" t="s">
        <v>4</v>
      </c>
      <c r="B6">
        <v>6</v>
      </c>
    </row>
    <row r="7" spans="1:3" ht="15" customHeight="1" x14ac:dyDescent="0.25">
      <c r="A7" t="s">
        <v>5</v>
      </c>
      <c r="B7">
        <v>1007</v>
      </c>
      <c r="C7" t="s">
        <v>78</v>
      </c>
    </row>
    <row r="8" spans="1:3" ht="15" customHeight="1" x14ac:dyDescent="0.25">
      <c r="A8" t="s">
        <v>6</v>
      </c>
      <c r="B8">
        <v>1010</v>
      </c>
      <c r="C8" t="s">
        <v>78</v>
      </c>
    </row>
    <row r="9" spans="1:3" ht="15" hidden="1" customHeight="1" x14ac:dyDescent="0.25">
      <c r="A9" t="s">
        <v>7</v>
      </c>
      <c r="B9">
        <v>10</v>
      </c>
    </row>
    <row r="10" spans="1:3" ht="15" customHeight="1" x14ac:dyDescent="0.25">
      <c r="A10" t="s">
        <v>8</v>
      </c>
      <c r="B10">
        <v>1010</v>
      </c>
      <c r="C10" t="s">
        <v>78</v>
      </c>
    </row>
    <row r="11" spans="1:3" ht="15" customHeight="1" x14ac:dyDescent="0.25">
      <c r="A11" t="s">
        <v>9</v>
      </c>
      <c r="B11">
        <v>1010</v>
      </c>
      <c r="C11" t="s">
        <v>78</v>
      </c>
    </row>
    <row r="12" spans="1:3" ht="15" hidden="1" customHeight="1" x14ac:dyDescent="0.25">
      <c r="A12" t="s">
        <v>10</v>
      </c>
      <c r="B12">
        <v>10</v>
      </c>
    </row>
    <row r="13" spans="1:3" ht="15" hidden="1" customHeight="1" x14ac:dyDescent="0.25">
      <c r="A13" t="s">
        <v>11</v>
      </c>
      <c r="B13">
        <v>9</v>
      </c>
    </row>
    <row r="14" spans="1:3" ht="15" hidden="1" customHeight="1" x14ac:dyDescent="0.25">
      <c r="A14" t="s">
        <v>12</v>
      </c>
      <c r="B14">
        <v>10</v>
      </c>
    </row>
    <row r="15" spans="1:3" ht="15" hidden="1" customHeight="1" x14ac:dyDescent="0.25">
      <c r="A15" t="s">
        <v>13</v>
      </c>
      <c r="B15">
        <v>9</v>
      </c>
    </row>
    <row r="16" spans="1:3" ht="15" hidden="1" customHeight="1" x14ac:dyDescent="0.25">
      <c r="A16" t="s">
        <v>14</v>
      </c>
      <c r="B16">
        <v>8</v>
      </c>
    </row>
    <row r="17" spans="1:3" ht="15" hidden="1" customHeight="1" x14ac:dyDescent="0.25">
      <c r="A17" t="s">
        <v>15</v>
      </c>
      <c r="B17">
        <v>6</v>
      </c>
    </row>
    <row r="18" spans="1:3" ht="15" hidden="1" customHeight="1" x14ac:dyDescent="0.25">
      <c r="A18" t="s">
        <v>16</v>
      </c>
      <c r="B18">
        <v>10</v>
      </c>
    </row>
    <row r="19" spans="1:3" ht="15" hidden="1" customHeight="1" x14ac:dyDescent="0.25">
      <c r="A19" t="s">
        <v>17</v>
      </c>
      <c r="B19">
        <v>9</v>
      </c>
    </row>
    <row r="20" spans="1:3" ht="15" hidden="1" customHeight="1" x14ac:dyDescent="0.25">
      <c r="A20" t="s">
        <v>18</v>
      </c>
      <c r="B20">
        <v>4</v>
      </c>
    </row>
    <row r="21" spans="1:3" ht="15" hidden="1" customHeight="1" x14ac:dyDescent="0.25">
      <c r="A21" t="s">
        <v>19</v>
      </c>
      <c r="B21">
        <v>10</v>
      </c>
    </row>
    <row r="22" spans="1:3" ht="15" hidden="1" customHeight="1" x14ac:dyDescent="0.25">
      <c r="A22" t="s">
        <v>20</v>
      </c>
      <c r="B22">
        <v>6</v>
      </c>
    </row>
    <row r="23" spans="1:3" ht="15" hidden="1" customHeight="1" x14ac:dyDescent="0.25">
      <c r="A23" t="s">
        <v>21</v>
      </c>
      <c r="B23">
        <v>6</v>
      </c>
    </row>
    <row r="24" spans="1:3" ht="15" hidden="1" customHeight="1" x14ac:dyDescent="0.25">
      <c r="A24" t="s">
        <v>22</v>
      </c>
      <c r="B24">
        <v>6</v>
      </c>
    </row>
    <row r="25" spans="1:3" ht="15" hidden="1" customHeight="1" x14ac:dyDescent="0.25">
      <c r="A25" t="s">
        <v>23</v>
      </c>
      <c r="B25">
        <v>5</v>
      </c>
    </row>
    <row r="26" spans="1:3" ht="15" hidden="1" customHeight="1" x14ac:dyDescent="0.25">
      <c r="A26" t="s">
        <v>24</v>
      </c>
      <c r="B26">
        <v>4</v>
      </c>
    </row>
    <row r="27" spans="1:3" ht="15" hidden="1" customHeight="1" x14ac:dyDescent="0.25">
      <c r="A27" t="s">
        <v>25</v>
      </c>
      <c r="B27">
        <v>6</v>
      </c>
    </row>
    <row r="28" spans="1:3" ht="15" hidden="1" customHeight="1" x14ac:dyDescent="0.25">
      <c r="A28" t="s">
        <v>26</v>
      </c>
      <c r="B28">
        <v>6</v>
      </c>
    </row>
    <row r="29" spans="1:3" ht="15" customHeight="1" x14ac:dyDescent="0.25">
      <c r="A29" t="s">
        <v>27</v>
      </c>
      <c r="B29">
        <v>1006</v>
      </c>
      <c r="C29" t="s">
        <v>78</v>
      </c>
    </row>
    <row r="30" spans="1:3" ht="15" customHeight="1" x14ac:dyDescent="0.25">
      <c r="A30" t="s">
        <v>28</v>
      </c>
      <c r="B30">
        <v>1010</v>
      </c>
      <c r="C30" t="s">
        <v>78</v>
      </c>
    </row>
    <row r="31" spans="1:3" ht="15" hidden="1" customHeight="1" x14ac:dyDescent="0.25">
      <c r="A31" t="s">
        <v>29</v>
      </c>
      <c r="B31">
        <v>10</v>
      </c>
    </row>
    <row r="32" spans="1:3" ht="15" hidden="1" customHeight="1" x14ac:dyDescent="0.25">
      <c r="A32" t="s">
        <v>30</v>
      </c>
      <c r="B32">
        <v>3</v>
      </c>
    </row>
    <row r="33" spans="1:3" ht="15" customHeight="1" x14ac:dyDescent="0.25">
      <c r="A33" t="s">
        <v>31</v>
      </c>
      <c r="B33">
        <v>1009</v>
      </c>
      <c r="C33" t="s">
        <v>78</v>
      </c>
    </row>
    <row r="34" spans="1:3" ht="15" customHeight="1" x14ac:dyDescent="0.25">
      <c r="A34" t="s">
        <v>32</v>
      </c>
      <c r="B34">
        <v>1009</v>
      </c>
      <c r="C34" t="s">
        <v>78</v>
      </c>
    </row>
    <row r="35" spans="1:3" ht="15" hidden="1" customHeight="1" x14ac:dyDescent="0.25">
      <c r="A35" t="s">
        <v>33</v>
      </c>
      <c r="B35">
        <v>10</v>
      </c>
    </row>
    <row r="36" spans="1:3" ht="15" customHeight="1" x14ac:dyDescent="0.25">
      <c r="A36" t="s">
        <v>34</v>
      </c>
      <c r="B36">
        <v>1009</v>
      </c>
      <c r="C36" t="s">
        <v>78</v>
      </c>
    </row>
    <row r="37" spans="1:3" ht="15" customHeight="1" x14ac:dyDescent="0.25">
      <c r="A37" t="s">
        <v>35</v>
      </c>
      <c r="B37">
        <v>1010</v>
      </c>
      <c r="C37" t="s">
        <v>78</v>
      </c>
    </row>
    <row r="38" spans="1:3" ht="15" customHeight="1" x14ac:dyDescent="0.25">
      <c r="A38" t="s">
        <v>36</v>
      </c>
      <c r="B38">
        <v>1009</v>
      </c>
      <c r="C38" t="s">
        <v>78</v>
      </c>
    </row>
    <row r="39" spans="1:3" ht="15" customHeight="1" x14ac:dyDescent="0.25">
      <c r="A39" t="s">
        <v>37</v>
      </c>
      <c r="B39">
        <v>1008</v>
      </c>
      <c r="C39" t="s">
        <v>78</v>
      </c>
    </row>
    <row r="40" spans="1:3" ht="15" customHeight="1" x14ac:dyDescent="0.25">
      <c r="A40" t="s">
        <v>73</v>
      </c>
      <c r="B40">
        <f>SUBTOTAL(103,Tabela14[QTD])</f>
        <v>14</v>
      </c>
      <c r="C40">
        <f>SUBTOTAL(103,Tabela14[Colunas1])</f>
        <v>14</v>
      </c>
    </row>
    <row r="41" spans="1:3" ht="15" customHeight="1" x14ac:dyDescent="0.25"/>
    <row r="42" spans="1:3" ht="15" customHeight="1" x14ac:dyDescent="0.25"/>
    <row r="43" spans="1:3" ht="15" customHeight="1" x14ac:dyDescent="0.25"/>
    <row r="44" spans="1:3" ht="15" customHeight="1" x14ac:dyDescent="0.25"/>
    <row r="45" spans="1:3" ht="15" customHeight="1" x14ac:dyDescent="0.25"/>
    <row r="46" spans="1:3" ht="15" customHeight="1" x14ac:dyDescent="0.25"/>
    <row r="47" spans="1:3" ht="15" customHeight="1" x14ac:dyDescent="0.25"/>
    <row r="48" spans="1:3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</sheetData>
  <pageMargins left="1" right="1" top="1" bottom="1" header="0.3" footer="0.3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74"/>
  <sheetViews>
    <sheetView showGridLines="0" topLeftCell="A16" zoomScaleNormal="100" workbookViewId="0">
      <selection activeCell="B24" sqref="B24"/>
    </sheetView>
  </sheetViews>
  <sheetFormatPr defaultRowHeight="15" x14ac:dyDescent="0.25"/>
  <cols>
    <col min="1" max="1" width="12" bestFit="1" customWidth="1"/>
    <col min="2" max="2" width="15.42578125" customWidth="1"/>
    <col min="3" max="3" width="10.140625" bestFit="1" customWidth="1"/>
  </cols>
  <sheetData>
    <row r="1" spans="1:3" ht="15" customHeight="1" x14ac:dyDescent="0.25">
      <c r="A1" t="s">
        <v>72</v>
      </c>
      <c r="B1" t="s">
        <v>80</v>
      </c>
      <c r="C1" t="s">
        <v>76</v>
      </c>
    </row>
    <row r="2" spans="1:3" ht="15" customHeight="1" x14ac:dyDescent="0.25">
      <c r="A2" t="s">
        <v>38</v>
      </c>
      <c r="B2" s="2">
        <v>11</v>
      </c>
      <c r="C2" t="s">
        <v>75</v>
      </c>
    </row>
    <row r="3" spans="1:3" ht="15" customHeight="1" x14ac:dyDescent="0.25">
      <c r="A3" t="s">
        <v>39</v>
      </c>
      <c r="B3" s="2">
        <v>10</v>
      </c>
      <c r="C3" t="s">
        <v>75</v>
      </c>
    </row>
    <row r="4" spans="1:3" ht="15" customHeight="1" x14ac:dyDescent="0.25">
      <c r="A4" t="s">
        <v>40</v>
      </c>
      <c r="B4" s="2">
        <v>14</v>
      </c>
      <c r="C4" t="s">
        <v>75</v>
      </c>
    </row>
    <row r="5" spans="1:3" ht="15" customHeight="1" x14ac:dyDescent="0.25">
      <c r="A5" t="s">
        <v>41</v>
      </c>
      <c r="B5" s="2">
        <v>13</v>
      </c>
      <c r="C5" t="s">
        <v>75</v>
      </c>
    </row>
    <row r="6" spans="1:3" ht="15" customHeight="1" x14ac:dyDescent="0.25">
      <c r="A6" t="s">
        <v>42</v>
      </c>
      <c r="B6" s="2">
        <v>12</v>
      </c>
      <c r="C6" t="s">
        <v>75</v>
      </c>
    </row>
    <row r="7" spans="1:3" ht="15" customHeight="1" x14ac:dyDescent="0.25">
      <c r="A7" t="s">
        <v>43</v>
      </c>
      <c r="B7" s="2">
        <v>12</v>
      </c>
      <c r="C7" t="s">
        <v>75</v>
      </c>
    </row>
    <row r="8" spans="1:3" ht="15" customHeight="1" x14ac:dyDescent="0.25">
      <c r="A8" t="s">
        <v>44</v>
      </c>
      <c r="B8" s="2">
        <v>14</v>
      </c>
      <c r="C8" t="s">
        <v>75</v>
      </c>
    </row>
    <row r="9" spans="1:3" ht="15" customHeight="1" x14ac:dyDescent="0.25">
      <c r="A9" t="s">
        <v>45</v>
      </c>
      <c r="B9" s="2">
        <v>2</v>
      </c>
      <c r="C9" t="s">
        <v>75</v>
      </c>
    </row>
    <row r="10" spans="1:3" ht="15" customHeight="1" x14ac:dyDescent="0.25">
      <c r="A10" t="s">
        <v>46</v>
      </c>
      <c r="B10" s="2">
        <v>12</v>
      </c>
      <c r="C10" t="s">
        <v>75</v>
      </c>
    </row>
    <row r="11" spans="1:3" ht="15" customHeight="1" x14ac:dyDescent="0.25">
      <c r="A11" t="s">
        <v>47</v>
      </c>
      <c r="B11" s="2">
        <v>14</v>
      </c>
      <c r="C11" t="s">
        <v>75</v>
      </c>
    </row>
    <row r="12" spans="1:3" ht="15" customHeight="1" x14ac:dyDescent="0.25">
      <c r="A12" t="s">
        <v>48</v>
      </c>
      <c r="B12" s="2">
        <v>11</v>
      </c>
      <c r="C12" t="s">
        <v>75</v>
      </c>
    </row>
    <row r="13" spans="1:3" ht="15" customHeight="1" x14ac:dyDescent="0.25">
      <c r="A13" t="s">
        <v>49</v>
      </c>
      <c r="B13" s="2">
        <v>20</v>
      </c>
      <c r="C13" t="s">
        <v>75</v>
      </c>
    </row>
    <row r="14" spans="1:3" ht="15" customHeight="1" x14ac:dyDescent="0.25">
      <c r="A14" t="s">
        <v>50</v>
      </c>
      <c r="B14" s="2">
        <v>19</v>
      </c>
      <c r="C14" t="s">
        <v>75</v>
      </c>
    </row>
    <row r="15" spans="1:3" ht="15" customHeight="1" x14ac:dyDescent="0.25">
      <c r="A15" t="s">
        <v>51</v>
      </c>
      <c r="B15" s="2">
        <v>20</v>
      </c>
      <c r="C15" t="s">
        <v>75</v>
      </c>
    </row>
    <row r="16" spans="1:3" ht="15" customHeight="1" x14ac:dyDescent="0.25">
      <c r="A16" t="s">
        <v>52</v>
      </c>
      <c r="B16" s="2">
        <v>19</v>
      </c>
      <c r="C16" t="s">
        <v>75</v>
      </c>
    </row>
    <row r="17" spans="1:3" ht="15" customHeight="1" x14ac:dyDescent="0.25">
      <c r="A17" t="s">
        <v>53</v>
      </c>
      <c r="B17" s="2">
        <v>19</v>
      </c>
      <c r="C17" t="s">
        <v>75</v>
      </c>
    </row>
    <row r="18" spans="1:3" ht="15" customHeight="1" x14ac:dyDescent="0.25">
      <c r="A18" t="s">
        <v>54</v>
      </c>
      <c r="B18" s="2">
        <v>15</v>
      </c>
      <c r="C18" t="s">
        <v>75</v>
      </c>
    </row>
    <row r="19" spans="1:3" ht="15" customHeight="1" x14ac:dyDescent="0.25">
      <c r="A19" t="s">
        <v>55</v>
      </c>
      <c r="B19" s="2">
        <v>15</v>
      </c>
      <c r="C19" t="s">
        <v>75</v>
      </c>
    </row>
    <row r="20" spans="1:3" ht="15" customHeight="1" x14ac:dyDescent="0.25">
      <c r="A20" t="s">
        <v>56</v>
      </c>
      <c r="B20" s="2">
        <v>16</v>
      </c>
      <c r="C20" t="s">
        <v>75</v>
      </c>
    </row>
    <row r="21" spans="1:3" ht="15" customHeight="1" x14ac:dyDescent="0.25">
      <c r="A21" t="s">
        <v>57</v>
      </c>
      <c r="B21" s="2">
        <v>13</v>
      </c>
      <c r="C21" t="s">
        <v>75</v>
      </c>
    </row>
    <row r="22" spans="1:3" ht="15" customHeight="1" x14ac:dyDescent="0.25">
      <c r="A22" t="s">
        <v>58</v>
      </c>
      <c r="B22" s="2">
        <v>13</v>
      </c>
      <c r="C22" t="s">
        <v>75</v>
      </c>
    </row>
    <row r="23" spans="1:3" ht="15" customHeight="1" x14ac:dyDescent="0.25">
      <c r="A23" t="s">
        <v>59</v>
      </c>
      <c r="B23" s="2">
        <v>4</v>
      </c>
      <c r="C23" t="s">
        <v>75</v>
      </c>
    </row>
    <row r="24" spans="1:3" ht="15" customHeight="1" x14ac:dyDescent="0.25">
      <c r="A24" t="s">
        <v>60</v>
      </c>
      <c r="B24" s="2">
        <v>6</v>
      </c>
      <c r="C24" t="s">
        <v>75</v>
      </c>
    </row>
    <row r="25" spans="1:3" ht="15" customHeight="1" x14ac:dyDescent="0.25">
      <c r="A25" t="s">
        <v>61</v>
      </c>
      <c r="B25" s="2">
        <v>13</v>
      </c>
      <c r="C25" t="s">
        <v>75</v>
      </c>
    </row>
    <row r="26" spans="1:3" ht="15" customHeight="1" x14ac:dyDescent="0.25">
      <c r="A26" t="s">
        <v>62</v>
      </c>
      <c r="B26" s="2">
        <v>5</v>
      </c>
      <c r="C26" t="s">
        <v>75</v>
      </c>
    </row>
    <row r="27" spans="1:3" ht="15" customHeight="1" x14ac:dyDescent="0.25">
      <c r="A27" t="s">
        <v>63</v>
      </c>
      <c r="B27" s="2">
        <v>8</v>
      </c>
      <c r="C27" t="s">
        <v>75</v>
      </c>
    </row>
    <row r="28" spans="1:3" ht="15" customHeight="1" x14ac:dyDescent="0.25">
      <c r="A28" t="s">
        <v>64</v>
      </c>
      <c r="B28" s="2">
        <v>8</v>
      </c>
      <c r="C28" t="s">
        <v>75</v>
      </c>
    </row>
    <row r="29" spans="1:3" ht="15" customHeight="1" x14ac:dyDescent="0.25">
      <c r="A29" t="s">
        <v>65</v>
      </c>
      <c r="B29" s="2">
        <v>8</v>
      </c>
      <c r="C29" t="s">
        <v>75</v>
      </c>
    </row>
    <row r="30" spans="1:3" ht="15" customHeight="1" x14ac:dyDescent="0.25">
      <c r="A30" t="s">
        <v>66</v>
      </c>
      <c r="B30" s="2">
        <v>8</v>
      </c>
      <c r="C30" t="s">
        <v>75</v>
      </c>
    </row>
    <row r="31" spans="1:3" ht="15" customHeight="1" x14ac:dyDescent="0.25">
      <c r="A31" t="s">
        <v>67</v>
      </c>
      <c r="B31" s="2">
        <v>14</v>
      </c>
      <c r="C31" t="s">
        <v>75</v>
      </c>
    </row>
    <row r="32" spans="1:3" ht="15" customHeight="1" x14ac:dyDescent="0.25">
      <c r="A32" t="s">
        <v>68</v>
      </c>
      <c r="B32" s="2">
        <v>16</v>
      </c>
      <c r="C32" t="s">
        <v>75</v>
      </c>
    </row>
    <row r="33" spans="1:3" ht="15" customHeight="1" x14ac:dyDescent="0.25">
      <c r="A33" t="s">
        <v>69</v>
      </c>
      <c r="B33" s="2">
        <v>6</v>
      </c>
      <c r="C33" t="s">
        <v>75</v>
      </c>
    </row>
    <row r="34" spans="1:3" ht="15" customHeight="1" x14ac:dyDescent="0.25">
      <c r="A34" t="s">
        <v>70</v>
      </c>
      <c r="B34" s="2">
        <v>18</v>
      </c>
      <c r="C34" t="s">
        <v>75</v>
      </c>
    </row>
    <row r="35" spans="1:3" ht="15" customHeight="1" x14ac:dyDescent="0.25">
      <c r="A35" t="s">
        <v>71</v>
      </c>
      <c r="B35" s="2">
        <v>17</v>
      </c>
      <c r="C35" t="s">
        <v>75</v>
      </c>
    </row>
    <row r="36" spans="1:3" ht="15" customHeight="1" x14ac:dyDescent="0.25">
      <c r="A36" t="s">
        <v>73</v>
      </c>
      <c r="B36">
        <f>SUBTOTAL(103,Tabela13[QTD PNEUS])</f>
        <v>34</v>
      </c>
      <c r="C36">
        <f>SUBTOTAL(103,Tabela13[STATUS])</f>
        <v>34</v>
      </c>
    </row>
    <row r="37" spans="1:3" ht="15" customHeight="1" x14ac:dyDescent="0.25"/>
    <row r="38" spans="1:3" ht="15" customHeight="1" x14ac:dyDescent="0.25"/>
    <row r="39" spans="1:3" ht="15" customHeight="1" x14ac:dyDescent="0.25"/>
    <row r="40" spans="1:3" ht="15" customHeight="1" x14ac:dyDescent="0.25"/>
    <row r="41" spans="1:3" ht="15" customHeight="1" x14ac:dyDescent="0.25"/>
    <row r="42" spans="1:3" ht="15" customHeight="1" x14ac:dyDescent="0.25"/>
    <row r="43" spans="1:3" ht="15" customHeight="1" x14ac:dyDescent="0.25"/>
    <row r="44" spans="1:3" ht="15" customHeight="1" x14ac:dyDescent="0.25"/>
    <row r="45" spans="1:3" ht="15" customHeight="1" x14ac:dyDescent="0.25"/>
    <row r="46" spans="1:3" ht="15" customHeight="1" x14ac:dyDescent="0.25"/>
    <row r="47" spans="1:3" ht="15" customHeight="1" x14ac:dyDescent="0.25"/>
    <row r="48" spans="1:3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</sheetData>
  <pageMargins left="1" right="1" top="1" bottom="1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CM</vt:lpstr>
      <vt:lpstr>CM ATRELADO</vt:lpstr>
      <vt:lpstr>SR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Usuário</cp:lastModifiedBy>
  <dcterms:created xsi:type="dcterms:W3CDTF">2022-07-26T13:29:42Z</dcterms:created>
  <dcterms:modified xsi:type="dcterms:W3CDTF">2022-07-26T13:55:54Z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18.2.4.0</vt:lpwstr>
  </property>
</Properties>
</file>