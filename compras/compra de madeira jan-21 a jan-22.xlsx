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cuments\cubos\compras\"/>
    </mc:Choice>
  </mc:AlternateContent>
  <bookViews>
    <workbookView xWindow="0" yWindow="0" windowWidth="20490" windowHeight="7035"/>
  </bookViews>
  <sheets>
    <sheet name="1. Relatório sem título" sheetId="1" r:id="rId1"/>
  </sheets>
  <definedNames>
    <definedName name="_xlnm.Print_Titles" localSheetId="0">'1. Relatório sem título'!$A:$B,'1. Relatório sem título'!$1:$2</definedName>
  </definedNames>
  <calcPr calcId="152511"/>
</workbook>
</file>

<file path=xl/calcChain.xml><?xml version="1.0" encoding="utf-8"?>
<calcChain xmlns="http://schemas.openxmlformats.org/spreadsheetml/2006/main">
  <c r="AD5" i="1" l="1"/>
  <c r="AD6" i="1"/>
  <c r="AD7" i="1"/>
  <c r="AD8" i="1"/>
  <c r="AD9" i="1"/>
  <c r="AD10" i="1"/>
  <c r="AD3" i="1"/>
  <c r="AD4" i="1"/>
  <c r="AD11" i="1" s="1"/>
  <c r="AC5" i="1"/>
  <c r="AC6" i="1"/>
  <c r="AC7" i="1"/>
  <c r="AC8" i="1"/>
  <c r="AC9" i="1"/>
  <c r="AC10" i="1"/>
  <c r="AC3" i="1"/>
  <c r="AC4" i="1"/>
  <c r="F11" i="1" l="1"/>
  <c r="H11" i="1"/>
  <c r="J11" i="1"/>
  <c r="L11" i="1"/>
  <c r="N11" i="1"/>
  <c r="P11" i="1"/>
  <c r="R11" i="1"/>
  <c r="T11" i="1"/>
  <c r="V11" i="1"/>
  <c r="X11" i="1"/>
  <c r="Z11" i="1"/>
  <c r="AB11" i="1"/>
  <c r="D11" i="1"/>
</calcChain>
</file>

<file path=xl/sharedStrings.xml><?xml version="1.0" encoding="utf-8"?>
<sst xmlns="http://schemas.openxmlformats.org/spreadsheetml/2006/main" count="98" uniqueCount="27">
  <si>
    <t/>
  </si>
  <si>
    <t>Mês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</si>
  <si>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</si>
  <si>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</si>
  <si>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</si>
  <si>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</si>
  <si>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</si>
  <si>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</si>
  <si>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</si>
  <si>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</si>
  <si>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</si>
  <si>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</si>
  <si>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</si>
  <si>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</si>
  <si>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</si>
  <si>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Fornecedor</t>
  </si>
  <si>
    <t>Unidade</t>
  </si>
  <si>
    <t>Qtd Comprada</t>
  </si>
  <si>
    <t>Valor Comprado</t>
  </si>
  <si>
    <t>FF PALLETS INDUSTRIA E COMERCIO DE MADEI</t>
  </si>
  <si>
    <t>M3</t>
  </si>
  <si>
    <t>R$ 0.00</t>
  </si>
  <si>
    <t>UN</t>
  </si>
  <si>
    <t>FRANCISCA FABIANA RODRIGUES</t>
  </si>
  <si>
    <t>G2 REPRESENTACOES E DISTRIBUICAO EIRELI</t>
  </si>
  <si>
    <t>SOARES COMERCIO DE MADEIRAS EIRELI - ME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</si>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</sst>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R$&quot;\ * #,##0.00_-;\-&quot;R$&quot;\ * #,##0.00_-;_-&quot;R$&quot;\ * &quot;-&quot;??_-;_-@_-"/>
    <numFmt numFmtId="164" formatCode="#,##0.0;#,##0.0"/>
    <numFmt numFmtId="165" formatCode="&quot;R$&quot;\ #,##0.00;&quot;R$&quot;\ #,##0.00"/>
    <numFmt numFmtId="166" formatCode="0.0"/>
    <numFmt numFmtId="167" formatCode="&quot;R$&quot;\ 0.00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808080"/>
      <name val="Verdana"/>
      <family val="2"/>
    </font>
    <font>
      <sz val="8"/>
      <color rgb="FFFFFFFF"/>
      <name val="Verdana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Verdana"/>
      <family val="2"/>
    </font>
    <font>
      <b/>
      <u val="singleAccounting"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medium">
        <color rgb="FF00000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808080"/>
      </right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  <border>
      <left/>
      <right style="dashed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49" fontId="4" fillId="3" borderId="6" xfId="0" applyNumberFormat="1" applyFont="1" applyFill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left" vertical="top"/>
    </xf>
    <xf numFmtId="164" fontId="1" fillId="4" borderId="9" xfId="0" applyNumberFormat="1" applyFont="1" applyFill="1" applyBorder="1" applyAlignment="1">
      <alignment horizontal="right" vertical="center"/>
    </xf>
    <xf numFmtId="165" fontId="1" fillId="4" borderId="10" xfId="0" applyNumberFormat="1" applyFont="1" applyFill="1" applyBorder="1" applyAlignment="1">
      <alignment horizontal="right" vertical="center"/>
    </xf>
    <xf numFmtId="166" fontId="1" fillId="4" borderId="9" xfId="0" applyNumberFormat="1" applyFont="1" applyFill="1" applyBorder="1" applyAlignment="1">
      <alignment horizontal="right" vertical="center"/>
    </xf>
    <xf numFmtId="167" fontId="1" fillId="4" borderId="10" xfId="0" applyNumberFormat="1" applyFont="1" applyFill="1" applyBorder="1" applyAlignment="1">
      <alignment horizontal="right" vertical="center"/>
    </xf>
    <xf numFmtId="164" fontId="1" fillId="2" borderId="9" xfId="0" applyNumberFormat="1" applyFont="1" applyFill="1" applyBorder="1" applyAlignment="1">
      <alignment horizontal="right" vertical="center"/>
    </xf>
    <xf numFmtId="165" fontId="1" fillId="2" borderId="10" xfId="0" applyNumberFormat="1" applyFont="1" applyFill="1" applyBorder="1" applyAlignment="1">
      <alignment horizontal="right" vertical="center"/>
    </xf>
    <xf numFmtId="166" fontId="1" fillId="2" borderId="9" xfId="0" applyNumberFormat="1" applyFont="1" applyFill="1" applyBorder="1" applyAlignment="1">
      <alignment horizontal="right" vertical="center"/>
    </xf>
    <xf numFmtId="167" fontId="1" fillId="2" borderId="10" xfId="0" applyNumberFormat="1" applyFont="1" applyFill="1" applyBorder="1" applyAlignment="1">
      <alignment horizontal="right" vertical="center"/>
    </xf>
    <xf numFmtId="49" fontId="3" fillId="2" borderId="3" xfId="0" applyNumberFormat="1" applyFont="1" applyFill="1" applyBorder="1" applyAlignment="1">
      <alignment horizontal="left" vertical="center"/>
    </xf>
    <xf numFmtId="49" fontId="3" fillId="2" borderId="7" xfId="0" applyNumberFormat="1" applyFont="1" applyFill="1" applyBorder="1" applyAlignment="1">
      <alignment horizontal="left" vertical="top"/>
    </xf>
    <xf numFmtId="164" fontId="6" fillId="0" borderId="0" xfId="0" applyNumberFormat="1" applyFont="1" applyAlignment="1">
      <alignment horizontal="center"/>
    </xf>
    <xf numFmtId="44" fontId="6" fillId="0" borderId="0" xfId="1" applyFont="1" applyAlignment="1">
      <alignment horizontal="center"/>
    </xf>
    <xf numFmtId="49" fontId="3" fillId="2" borderId="3" xfId="0" applyNumberFormat="1" applyFont="1" applyFill="1" applyBorder="1" applyAlignment="1">
      <alignment horizontal="center" vertical="center"/>
    </xf>
    <xf numFmtId="44" fontId="8" fillId="0" borderId="0" xfId="1" applyFont="1" applyAlignment="1">
      <alignment horizontal="center"/>
    </xf>
    <xf numFmtId="166" fontId="7" fillId="4" borderId="9" xfId="0" applyNumberFormat="1" applyFont="1" applyFill="1" applyBorder="1" applyAlignment="1">
      <alignment horizontal="right" vertical="center"/>
    </xf>
    <xf numFmtId="166" fontId="7" fillId="2" borderId="9" xfId="0" applyNumberFormat="1" applyFont="1" applyFill="1" applyBorder="1" applyAlignment="1">
      <alignment horizontal="right" vertical="center"/>
    </xf>
    <xf numFmtId="44" fontId="7" fillId="4" borderId="10" xfId="1" applyFont="1" applyFill="1" applyBorder="1" applyAlignment="1">
      <alignment horizontal="right" vertical="center"/>
    </xf>
    <xf numFmtId="44" fontId="7" fillId="2" borderId="10" xfId="1" applyFont="1" applyFill="1" applyBorder="1" applyAlignment="1">
      <alignment horizontal="right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workbookViewId="0">
      <selection activeCell="A3" sqref="A3:A4"/>
    </sheetView>
  </sheetViews>
  <sheetFormatPr defaultRowHeight="15" x14ac:dyDescent="0.25"/>
  <cols>
    <col min="1" max="1" width="41.5703125" bestFit="1" customWidth="1"/>
    <col min="2" max="2" width="7.5703125" bestFit="1" customWidth="1"/>
    <col min="3" max="28" width="16.42578125" customWidth="1"/>
    <col min="29" max="29" width="13.140625" bestFit="1" customWidth="1"/>
    <col min="30" max="30" width="17.85546875" bestFit="1" customWidth="1"/>
  </cols>
  <sheetData>
    <row r="1" spans="1:30" x14ac:dyDescent="0.25">
      <c r="A1" s="1" t="s">
        <v>0</v>
      </c>
      <c r="B1" s="2" t="s">
        <v>1</v>
      </c>
      <c r="C1" s="15" t="s">
        <v>2</v>
      </c>
      <c r="D1" s="15"/>
      <c r="E1" s="15" t="s">
        <v>3</v>
      </c>
      <c r="F1" s="15"/>
      <c r="G1" s="15" t="s">
        <v>4</v>
      </c>
      <c r="H1" s="15"/>
      <c r="I1" s="15" t="s">
        <v>5</v>
      </c>
      <c r="J1" s="15"/>
      <c r="K1" s="15" t="s">
        <v>6</v>
      </c>
      <c r="L1" s="15"/>
      <c r="M1" s="15" t="s">
        <v>7</v>
      </c>
      <c r="N1" s="15"/>
      <c r="O1" s="15" t="s">
        <v>8</v>
      </c>
      <c r="P1" s="15"/>
      <c r="Q1" s="15" t="s">
        <v>9</v>
      </c>
      <c r="R1" s="15"/>
      <c r="S1" s="15" t="s">
        <v>10</v>
      </c>
      <c r="T1" s="15"/>
      <c r="U1" s="15" t="s">
        <v>11</v>
      </c>
      <c r="V1" s="15"/>
      <c r="W1" s="15" t="s">
        <v>12</v>
      </c>
      <c r="X1" s="15"/>
      <c r="Y1" s="15" t="s">
        <v>13</v>
      </c>
      <c r="Z1" s="15"/>
      <c r="AA1" s="15" t="s">
        <v>14</v>
      </c>
      <c r="AB1" s="15"/>
      <c r="AC1" s="19" t="s">
        <v>26</v>
      </c>
      <c r="AD1" s="19"/>
    </row>
    <row r="2" spans="1:30" ht="15.75" thickBot="1" x14ac:dyDescent="0.3">
      <c r="A2" s="3" t="s">
        <v>15</v>
      </c>
      <c r="B2" s="4" t="s">
        <v>16</v>
      </c>
      <c r="C2" s="5" t="s">
        <v>17</v>
      </c>
      <c r="D2" s="5" t="s">
        <v>18</v>
      </c>
      <c r="E2" s="5" t="s">
        <v>17</v>
      </c>
      <c r="F2" s="5" t="s">
        <v>18</v>
      </c>
      <c r="G2" s="5" t="s">
        <v>17</v>
      </c>
      <c r="H2" s="5" t="s">
        <v>18</v>
      </c>
      <c r="I2" s="5" t="s">
        <v>17</v>
      </c>
      <c r="J2" s="5" t="s">
        <v>18</v>
      </c>
      <c r="K2" s="5" t="s">
        <v>17</v>
      </c>
      <c r="L2" s="5" t="s">
        <v>18</v>
      </c>
      <c r="M2" s="5" t="s">
        <v>17</v>
      </c>
      <c r="N2" s="5" t="s">
        <v>18</v>
      </c>
      <c r="O2" s="5" t="s">
        <v>17</v>
      </c>
      <c r="P2" s="5" t="s">
        <v>18</v>
      </c>
      <c r="Q2" s="5" t="s">
        <v>17</v>
      </c>
      <c r="R2" s="5" t="s">
        <v>18</v>
      </c>
      <c r="S2" s="5" t="s">
        <v>17</v>
      </c>
      <c r="T2" s="5" t="s">
        <v>18</v>
      </c>
      <c r="U2" s="5" t="s">
        <v>17</v>
      </c>
      <c r="V2" s="5" t="s">
        <v>18</v>
      </c>
      <c r="W2" s="5" t="s">
        <v>17</v>
      </c>
      <c r="X2" s="5" t="s">
        <v>18</v>
      </c>
      <c r="Y2" s="5" t="s">
        <v>17</v>
      </c>
      <c r="Z2" s="5" t="s">
        <v>18</v>
      </c>
      <c r="AA2" s="5" t="s">
        <v>17</v>
      </c>
      <c r="AB2" s="5" t="s">
        <v>18</v>
      </c>
      <c r="AC2" s="5" t="s">
        <v>17</v>
      </c>
      <c r="AD2" s="5" t="s">
        <v>18</v>
      </c>
    </row>
    <row r="3" spans="1:30" x14ac:dyDescent="0.25">
      <c r="A3" s="16" t="s">
        <v>19</v>
      </c>
      <c r="B3" s="6" t="s">
        <v>20</v>
      </c>
      <c r="C3" s="7">
        <v>16</v>
      </c>
      <c r="D3" s="8">
        <v>15680</v>
      </c>
      <c r="E3" s="9">
        <v>0</v>
      </c>
      <c r="F3" s="10" t="s">
        <v>21</v>
      </c>
      <c r="G3" s="9">
        <v>0</v>
      </c>
      <c r="H3" s="10" t="s">
        <v>21</v>
      </c>
      <c r="I3" s="9">
        <v>0</v>
      </c>
      <c r="J3" s="10" t="s">
        <v>21</v>
      </c>
      <c r="K3" s="9">
        <v>0</v>
      </c>
      <c r="L3" s="10" t="s">
        <v>21</v>
      </c>
      <c r="M3" s="9">
        <v>0</v>
      </c>
      <c r="N3" s="10" t="s">
        <v>21</v>
      </c>
      <c r="O3" s="9">
        <v>0</v>
      </c>
      <c r="P3" s="10" t="s">
        <v>21</v>
      </c>
      <c r="Q3" s="9">
        <v>0</v>
      </c>
      <c r="R3" s="10" t="s">
        <v>21</v>
      </c>
      <c r="S3" s="9">
        <v>0</v>
      </c>
      <c r="T3" s="10" t="s">
        <v>21</v>
      </c>
      <c r="U3" s="9">
        <v>0</v>
      </c>
      <c r="V3" s="10" t="s">
        <v>21</v>
      </c>
      <c r="W3" s="9">
        <v>0</v>
      </c>
      <c r="X3" s="10" t="s">
        <v>21</v>
      </c>
      <c r="Y3" s="9">
        <v>0</v>
      </c>
      <c r="Z3" s="10" t="s">
        <v>21</v>
      </c>
      <c r="AA3" s="9">
        <v>0</v>
      </c>
      <c r="AB3" s="10" t="s">
        <v>21</v>
      </c>
      <c r="AC3" s="21">
        <f>SUM(C3,E3,G3,I3,K3,M3,O3,Q3,S3,U3,W3,Y3,AA3,)</f>
        <v>16</v>
      </c>
      <c r="AD3" s="23">
        <f t="shared" ref="AD3:AD9" si="0">SUM(D3,F3,H3,J3,L3,N3,P3,R3,T3,V3,X3,Z3,AB3,)</f>
        <v>15680</v>
      </c>
    </row>
    <row r="4" spans="1:30" x14ac:dyDescent="0.25">
      <c r="A4" s="16"/>
      <c r="B4" s="6" t="s">
        <v>22</v>
      </c>
      <c r="C4" s="11">
        <v>24000</v>
      </c>
      <c r="D4" s="12">
        <v>71850</v>
      </c>
      <c r="E4" s="13">
        <v>0</v>
      </c>
      <c r="F4" s="14" t="s">
        <v>21</v>
      </c>
      <c r="G4" s="13">
        <v>0</v>
      </c>
      <c r="H4" s="14" t="s">
        <v>21</v>
      </c>
      <c r="I4" s="13">
        <v>0</v>
      </c>
      <c r="J4" s="14" t="s">
        <v>21</v>
      </c>
      <c r="K4" s="13">
        <v>0</v>
      </c>
      <c r="L4" s="14" t="s">
        <v>21</v>
      </c>
      <c r="M4" s="13">
        <v>0</v>
      </c>
      <c r="N4" s="14" t="s">
        <v>21</v>
      </c>
      <c r="O4" s="13">
        <v>0</v>
      </c>
      <c r="P4" s="14" t="s">
        <v>21</v>
      </c>
      <c r="Q4" s="13">
        <v>0</v>
      </c>
      <c r="R4" s="14" t="s">
        <v>21</v>
      </c>
      <c r="S4" s="13">
        <v>0</v>
      </c>
      <c r="T4" s="14" t="s">
        <v>21</v>
      </c>
      <c r="U4" s="13">
        <v>0</v>
      </c>
      <c r="V4" s="14" t="s">
        <v>21</v>
      </c>
      <c r="W4" s="13">
        <v>0</v>
      </c>
      <c r="X4" s="14" t="s">
        <v>21</v>
      </c>
      <c r="Y4" s="13">
        <v>0</v>
      </c>
      <c r="Z4" s="14" t="s">
        <v>21</v>
      </c>
      <c r="AA4" s="13">
        <v>0</v>
      </c>
      <c r="AB4" s="14" t="s">
        <v>21</v>
      </c>
      <c r="AC4" s="22">
        <f t="shared" ref="AC4:AC10" si="1">SUM(C4,E4,G4,I4,K4,M4,O4,Q4,S4,U4,W4,Y4,AA4,)</f>
        <v>24000</v>
      </c>
      <c r="AD4" s="24">
        <f t="shared" ref="AD4:AD10" si="2">SUM(D4,F4,H4,J4,L4,N4,P4,R4,T4,V4,X4,Z4,AB4,)</f>
        <v>71850</v>
      </c>
    </row>
    <row r="5" spans="1:30" x14ac:dyDescent="0.25">
      <c r="A5" s="16" t="s">
        <v>23</v>
      </c>
      <c r="B5" s="6" t="s">
        <v>20</v>
      </c>
      <c r="C5" s="9">
        <v>0</v>
      </c>
      <c r="D5" s="10" t="s">
        <v>21</v>
      </c>
      <c r="E5" s="7">
        <v>74</v>
      </c>
      <c r="F5" s="8">
        <v>72520</v>
      </c>
      <c r="G5" s="7">
        <v>113</v>
      </c>
      <c r="H5" s="8">
        <v>121490</v>
      </c>
      <c r="I5" s="7">
        <v>52</v>
      </c>
      <c r="J5" s="8">
        <v>57460</v>
      </c>
      <c r="K5" s="7">
        <v>54</v>
      </c>
      <c r="L5" s="8">
        <v>59670</v>
      </c>
      <c r="M5" s="7">
        <v>118</v>
      </c>
      <c r="N5" s="8">
        <v>130390</v>
      </c>
      <c r="O5" s="7">
        <v>20</v>
      </c>
      <c r="P5" s="8">
        <v>22100</v>
      </c>
      <c r="Q5" s="7">
        <v>116</v>
      </c>
      <c r="R5" s="8">
        <v>128180</v>
      </c>
      <c r="S5" s="7">
        <v>70</v>
      </c>
      <c r="T5" s="8">
        <v>77350</v>
      </c>
      <c r="U5" s="7">
        <v>28</v>
      </c>
      <c r="V5" s="8">
        <v>30940</v>
      </c>
      <c r="W5" s="7">
        <v>17</v>
      </c>
      <c r="X5" s="8">
        <v>22100</v>
      </c>
      <c r="Y5" s="7">
        <v>62</v>
      </c>
      <c r="Z5" s="8">
        <v>78120</v>
      </c>
      <c r="AA5" s="7">
        <v>84</v>
      </c>
      <c r="AB5" s="8">
        <v>105840</v>
      </c>
      <c r="AC5" s="21">
        <f t="shared" si="1"/>
        <v>808</v>
      </c>
      <c r="AD5" s="23">
        <f t="shared" si="0"/>
        <v>906160</v>
      </c>
    </row>
    <row r="6" spans="1:30" x14ac:dyDescent="0.25">
      <c r="A6" s="16"/>
      <c r="B6" s="6" t="s">
        <v>22</v>
      </c>
      <c r="C6" s="13">
        <v>0</v>
      </c>
      <c r="D6" s="14" t="s">
        <v>21</v>
      </c>
      <c r="E6" s="11">
        <v>42000</v>
      </c>
      <c r="F6" s="12">
        <v>112475</v>
      </c>
      <c r="G6" s="11">
        <v>44500</v>
      </c>
      <c r="H6" s="12">
        <v>136950</v>
      </c>
      <c r="I6" s="11">
        <v>32000</v>
      </c>
      <c r="J6" s="12">
        <v>102350</v>
      </c>
      <c r="K6" s="11">
        <v>73500</v>
      </c>
      <c r="L6" s="12">
        <v>213300</v>
      </c>
      <c r="M6" s="11">
        <v>14000</v>
      </c>
      <c r="N6" s="12">
        <v>57950</v>
      </c>
      <c r="O6" s="11">
        <v>33000</v>
      </c>
      <c r="P6" s="12">
        <v>96900</v>
      </c>
      <c r="Q6" s="11">
        <v>42000</v>
      </c>
      <c r="R6" s="12">
        <v>125100</v>
      </c>
      <c r="S6" s="11">
        <v>49000</v>
      </c>
      <c r="T6" s="12">
        <v>148450</v>
      </c>
      <c r="U6" s="11">
        <v>17000</v>
      </c>
      <c r="V6" s="12">
        <v>61850</v>
      </c>
      <c r="W6" s="11">
        <v>14500</v>
      </c>
      <c r="X6" s="12">
        <v>46600</v>
      </c>
      <c r="Y6" s="11">
        <v>23500</v>
      </c>
      <c r="Z6" s="12">
        <v>89050</v>
      </c>
      <c r="AA6" s="11">
        <v>55000</v>
      </c>
      <c r="AB6" s="12">
        <v>188700</v>
      </c>
      <c r="AC6" s="22">
        <f t="shared" si="1"/>
        <v>440000</v>
      </c>
      <c r="AD6" s="24">
        <f t="shared" si="2"/>
        <v>1379675</v>
      </c>
    </row>
    <row r="7" spans="1:30" x14ac:dyDescent="0.25">
      <c r="A7" s="16" t="s">
        <v>24</v>
      </c>
      <c r="B7" s="6" t="s">
        <v>20</v>
      </c>
      <c r="C7" s="7">
        <v>210</v>
      </c>
      <c r="D7" s="8">
        <v>197400</v>
      </c>
      <c r="E7" s="7">
        <v>32</v>
      </c>
      <c r="F7" s="8">
        <v>30080</v>
      </c>
      <c r="G7" s="9">
        <v>0</v>
      </c>
      <c r="H7" s="10" t="s">
        <v>21</v>
      </c>
      <c r="I7" s="7">
        <v>135</v>
      </c>
      <c r="J7" s="8">
        <v>145800</v>
      </c>
      <c r="K7" s="7">
        <v>68</v>
      </c>
      <c r="L7" s="8">
        <v>73440</v>
      </c>
      <c r="M7" s="7">
        <v>105</v>
      </c>
      <c r="N7" s="8">
        <v>113400</v>
      </c>
      <c r="O7" s="7">
        <v>135</v>
      </c>
      <c r="P7" s="8">
        <v>145800</v>
      </c>
      <c r="Q7" s="7">
        <v>34</v>
      </c>
      <c r="R7" s="8">
        <v>36720</v>
      </c>
      <c r="S7" s="7">
        <v>104</v>
      </c>
      <c r="T7" s="8">
        <v>112320</v>
      </c>
      <c r="U7" s="7">
        <v>105</v>
      </c>
      <c r="V7" s="8">
        <v>116025</v>
      </c>
      <c r="W7" s="7">
        <v>102</v>
      </c>
      <c r="X7" s="8">
        <v>112710</v>
      </c>
      <c r="Y7" s="9">
        <v>0</v>
      </c>
      <c r="Z7" s="10" t="s">
        <v>21</v>
      </c>
      <c r="AA7" s="7">
        <v>173</v>
      </c>
      <c r="AB7" s="8">
        <v>191165</v>
      </c>
      <c r="AC7" s="21">
        <f t="shared" si="1"/>
        <v>1203</v>
      </c>
      <c r="AD7" s="23">
        <f t="shared" si="0"/>
        <v>1274860</v>
      </c>
    </row>
    <row r="8" spans="1:30" x14ac:dyDescent="0.25">
      <c r="A8" s="16"/>
      <c r="B8" s="6" t="s">
        <v>22</v>
      </c>
      <c r="C8" s="11">
        <v>14100</v>
      </c>
      <c r="D8" s="12">
        <v>25380</v>
      </c>
      <c r="E8" s="13">
        <v>0</v>
      </c>
      <c r="F8" s="14" t="s">
        <v>21</v>
      </c>
      <c r="G8" s="13">
        <v>0</v>
      </c>
      <c r="H8" s="14" t="s">
        <v>21</v>
      </c>
      <c r="I8" s="13">
        <v>0</v>
      </c>
      <c r="J8" s="14" t="s">
        <v>21</v>
      </c>
      <c r="K8" s="13">
        <v>0</v>
      </c>
      <c r="L8" s="14" t="s">
        <v>21</v>
      </c>
      <c r="M8" s="13">
        <v>0</v>
      </c>
      <c r="N8" s="14" t="s">
        <v>21</v>
      </c>
      <c r="O8" s="13">
        <v>0</v>
      </c>
      <c r="P8" s="14" t="s">
        <v>21</v>
      </c>
      <c r="Q8" s="13">
        <v>0</v>
      </c>
      <c r="R8" s="14" t="s">
        <v>21</v>
      </c>
      <c r="S8" s="13">
        <v>0</v>
      </c>
      <c r="T8" s="14" t="s">
        <v>21</v>
      </c>
      <c r="U8" s="13">
        <v>0</v>
      </c>
      <c r="V8" s="14" t="s">
        <v>21</v>
      </c>
      <c r="W8" s="13">
        <v>0</v>
      </c>
      <c r="X8" s="14" t="s">
        <v>21</v>
      </c>
      <c r="Y8" s="13">
        <v>0</v>
      </c>
      <c r="Z8" s="14" t="s">
        <v>21</v>
      </c>
      <c r="AA8" s="13">
        <v>0</v>
      </c>
      <c r="AB8" s="14" t="s">
        <v>21</v>
      </c>
      <c r="AC8" s="22">
        <f t="shared" si="1"/>
        <v>14100</v>
      </c>
      <c r="AD8" s="24">
        <f t="shared" si="2"/>
        <v>25380</v>
      </c>
    </row>
    <row r="9" spans="1:30" x14ac:dyDescent="0.25">
      <c r="A9" s="16" t="s">
        <v>25</v>
      </c>
      <c r="B9" s="6" t="s">
        <v>20</v>
      </c>
      <c r="C9" s="7">
        <v>36</v>
      </c>
      <c r="D9" s="8">
        <v>35280</v>
      </c>
      <c r="E9" s="7">
        <v>52</v>
      </c>
      <c r="F9" s="8">
        <v>50960</v>
      </c>
      <c r="G9" s="7">
        <v>87</v>
      </c>
      <c r="H9" s="8">
        <v>91260</v>
      </c>
      <c r="I9" s="7">
        <v>120</v>
      </c>
      <c r="J9" s="8">
        <v>132600</v>
      </c>
      <c r="K9" s="7">
        <v>56</v>
      </c>
      <c r="L9" s="8">
        <v>61880</v>
      </c>
      <c r="M9" s="7">
        <v>26</v>
      </c>
      <c r="N9" s="8">
        <v>28730</v>
      </c>
      <c r="O9" s="7">
        <v>22</v>
      </c>
      <c r="P9" s="8">
        <v>24310</v>
      </c>
      <c r="Q9" s="7">
        <v>76</v>
      </c>
      <c r="R9" s="8">
        <v>83980</v>
      </c>
      <c r="S9" s="7">
        <v>64</v>
      </c>
      <c r="T9" s="8">
        <v>70720</v>
      </c>
      <c r="U9" s="7">
        <v>38</v>
      </c>
      <c r="V9" s="8">
        <v>41990</v>
      </c>
      <c r="W9" s="7">
        <v>93</v>
      </c>
      <c r="X9" s="8">
        <v>102765</v>
      </c>
      <c r="Y9" s="7">
        <v>40</v>
      </c>
      <c r="Z9" s="8">
        <v>45750</v>
      </c>
      <c r="AA9" s="7">
        <v>80</v>
      </c>
      <c r="AB9" s="8">
        <v>100800</v>
      </c>
      <c r="AC9" s="21">
        <f t="shared" si="1"/>
        <v>790</v>
      </c>
      <c r="AD9" s="23">
        <f t="shared" si="0"/>
        <v>871025</v>
      </c>
    </row>
    <row r="10" spans="1:30" x14ac:dyDescent="0.25">
      <c r="A10" s="16"/>
      <c r="B10" s="6" t="s">
        <v>22</v>
      </c>
      <c r="C10" s="11">
        <v>31000</v>
      </c>
      <c r="D10" s="12">
        <v>77500</v>
      </c>
      <c r="E10" s="11">
        <v>12668</v>
      </c>
      <c r="F10" s="12">
        <v>36263.599999999999</v>
      </c>
      <c r="G10" s="11">
        <v>55740</v>
      </c>
      <c r="H10" s="12">
        <v>160182</v>
      </c>
      <c r="I10" s="11">
        <v>31224</v>
      </c>
      <c r="J10" s="12">
        <v>93763.199999999997</v>
      </c>
      <c r="K10" s="11">
        <v>4224</v>
      </c>
      <c r="L10" s="12">
        <v>18163.2</v>
      </c>
      <c r="M10" s="11">
        <v>60976</v>
      </c>
      <c r="N10" s="12">
        <v>184196.8</v>
      </c>
      <c r="O10" s="11">
        <v>28000</v>
      </c>
      <c r="P10" s="12">
        <v>78400</v>
      </c>
      <c r="Q10" s="11">
        <v>42252</v>
      </c>
      <c r="R10" s="12">
        <v>125433.60000000001</v>
      </c>
      <c r="S10" s="11">
        <v>38696</v>
      </c>
      <c r="T10" s="12">
        <v>113892.8</v>
      </c>
      <c r="U10" s="11">
        <v>29500</v>
      </c>
      <c r="V10" s="12">
        <v>82600</v>
      </c>
      <c r="W10" s="11">
        <v>23766</v>
      </c>
      <c r="X10" s="12">
        <v>72452.800000000003</v>
      </c>
      <c r="Y10" s="11">
        <v>67112</v>
      </c>
      <c r="Z10" s="12">
        <v>207581.6</v>
      </c>
      <c r="AA10" s="11">
        <v>9024</v>
      </c>
      <c r="AB10" s="12">
        <v>33568.800000000003</v>
      </c>
      <c r="AC10" s="22">
        <f t="shared" si="1"/>
        <v>434182</v>
      </c>
      <c r="AD10" s="24">
        <f t="shared" si="2"/>
        <v>1283998.4000000001</v>
      </c>
    </row>
    <row r="11" spans="1:30" ht="18" x14ac:dyDescent="0.4">
      <c r="C11" s="17"/>
      <c r="D11" s="18">
        <f>SUM(D3:D10)</f>
        <v>423090</v>
      </c>
      <c r="E11" s="17"/>
      <c r="F11" s="18">
        <f t="shared" ref="E11:AD11" si="3">SUM(F3:F10)</f>
        <v>302298.59999999998</v>
      </c>
      <c r="G11" s="17"/>
      <c r="H11" s="18">
        <f t="shared" si="3"/>
        <v>509882</v>
      </c>
      <c r="I11" s="17"/>
      <c r="J11" s="18">
        <f t="shared" si="3"/>
        <v>531973.19999999995</v>
      </c>
      <c r="K11" s="17"/>
      <c r="L11" s="18">
        <f t="shared" si="3"/>
        <v>426453.2</v>
      </c>
      <c r="M11" s="17"/>
      <c r="N11" s="18">
        <f t="shared" si="3"/>
        <v>514666.8</v>
      </c>
      <c r="O11" s="17"/>
      <c r="P11" s="18">
        <f t="shared" si="3"/>
        <v>367510</v>
      </c>
      <c r="Q11" s="17"/>
      <c r="R11" s="18">
        <f t="shared" si="3"/>
        <v>499413.6</v>
      </c>
      <c r="S11" s="17"/>
      <c r="T11" s="18">
        <f t="shared" si="3"/>
        <v>522732.79999999999</v>
      </c>
      <c r="U11" s="17"/>
      <c r="V11" s="18">
        <f t="shared" si="3"/>
        <v>333405</v>
      </c>
      <c r="W11" s="17"/>
      <c r="X11" s="18">
        <f t="shared" si="3"/>
        <v>356627.8</v>
      </c>
      <c r="Y11" s="17"/>
      <c r="Z11" s="18">
        <f t="shared" si="3"/>
        <v>420501.6</v>
      </c>
      <c r="AA11" s="17"/>
      <c r="AB11" s="18">
        <f t="shared" si="3"/>
        <v>620073.80000000005</v>
      </c>
      <c r="AD11" s="20">
        <f t="shared" si="3"/>
        <v>5828628.4000000004</v>
      </c>
    </row>
  </sheetData>
  <mergeCells count="18">
    <mergeCell ref="A7:A8"/>
    <mergeCell ref="A9:A10"/>
    <mergeCell ref="AC1:AD1"/>
    <mergeCell ref="W1:X1"/>
    <mergeCell ref="Y1:Z1"/>
    <mergeCell ref="AA1:AB1"/>
    <mergeCell ref="A3:A4"/>
    <mergeCell ref="A5:A6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45" footer="0.45"/>
  <pageSetup paperSize="9" orientation="portrait" r:id="rId1"/>
  <headerFooter>
    <oddHeader>&amp;L&amp;20Relatório sem título&amp;R&amp;D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Relatório sem título</vt:lpstr>
      <vt:lpstr>'1. Relatório sem título'!Titulos_de_impressao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2022-01-20T16:30:24Z</dcterms:created>
  <dcterms:modified xsi:type="dcterms:W3CDTF">2022-01-20T16:45:14Z</dcterms:modified>
</cp:coreProperties>
</file>