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cuments\cubos\folha\planilha folha conferência\"/>
    </mc:Choice>
  </mc:AlternateContent>
  <bookViews>
    <workbookView xWindow="0" yWindow="0" windowWidth="15345" windowHeight="4755"/>
  </bookViews>
  <sheets>
    <sheet name="Plan1" sheetId="1" r:id="rId1"/>
    <sheet name="QUADRO RESUMO" sheetId="2" r:id="rId2"/>
  </sheets>
  <definedNames>
    <definedName name="_xlnm.Print_Area" localSheetId="1">'QUADRO RESUMO'!$A$1:$G$23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2" l="1"/>
  <c r="E35" i="2"/>
  <c r="F34" i="2"/>
  <c r="E34" i="2"/>
  <c r="D33" i="2"/>
  <c r="F33" i="2" s="1"/>
  <c r="C33" i="2"/>
  <c r="F32" i="2"/>
  <c r="E32" i="2"/>
  <c r="F31" i="2"/>
  <c r="E31" i="2"/>
  <c r="F30" i="2"/>
  <c r="E30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J14" i="2"/>
  <c r="I14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E33" i="2" l="1"/>
</calcChain>
</file>

<file path=xl/sharedStrings.xml><?xml version="1.0" encoding="utf-8"?>
<sst xmlns="http://schemas.openxmlformats.org/spreadsheetml/2006/main" count="166" uniqueCount="97">
  <si>
    <t>Filial</t>
  </si>
  <si>
    <t>Funcionário</t>
  </si>
  <si>
    <t>Matr.</t>
  </si>
  <si>
    <t>Status</t>
  </si>
  <si>
    <t>Função</t>
  </si>
  <si>
    <t>Centro de Custo</t>
  </si>
  <si>
    <t>Atividade</t>
  </si>
  <si>
    <t>VT</t>
  </si>
  <si>
    <t>Cesta Básica</t>
  </si>
  <si>
    <t>Plano Odontológico Empresa</t>
  </si>
  <si>
    <t>Hapvida Empresa</t>
  </si>
  <si>
    <t>Custo Total com Pessoal</t>
  </si>
  <si>
    <t>Total de Proventos</t>
  </si>
  <si>
    <t xml:space="preserve">Salario Base </t>
  </si>
  <si>
    <t>Gratificação</t>
  </si>
  <si>
    <t>Dias Trabalhados</t>
  </si>
  <si>
    <t>Salário Base Pro rata /  mês</t>
  </si>
  <si>
    <t>PTS (premio tempo serviço)</t>
  </si>
  <si>
    <t>Pgto de férias compradas</t>
  </si>
  <si>
    <t>Dobras Domingos/ Feriados</t>
  </si>
  <si>
    <t>Hora Extra Eventual (mês)</t>
  </si>
  <si>
    <t>Sal. Família</t>
  </si>
  <si>
    <t xml:space="preserve"> Pgto 1ª Q          (créd. em folha)</t>
  </si>
  <si>
    <t>Arredond.</t>
  </si>
  <si>
    <t xml:space="preserve">  Pgto 1ª Q          (espécie )</t>
  </si>
  <si>
    <t>Saldo Folha Pgto  1ª Q.</t>
  </si>
  <si>
    <t xml:space="preserve"> Pgto 2ª Q          (créd. em folha)</t>
  </si>
  <si>
    <t>(-) BV Financ.</t>
  </si>
  <si>
    <t>(-) Santander Financ.</t>
  </si>
  <si>
    <t>Dia do Motorista</t>
  </si>
  <si>
    <t xml:space="preserve">  Pgto 2ª Q          (espécie )</t>
  </si>
  <si>
    <t>Saldo Folha Pgto  2ª Q.</t>
  </si>
  <si>
    <t>Total Descontos</t>
  </si>
  <si>
    <t>INSS</t>
  </si>
  <si>
    <t>Plano Odontológico (funcionario)</t>
  </si>
  <si>
    <t>Hapvida (funcionario)</t>
  </si>
  <si>
    <t>Imp.Renda</t>
  </si>
  <si>
    <t>Pens Alim</t>
  </si>
  <si>
    <t>Mensal Sind - Patronal</t>
  </si>
  <si>
    <t>Cont Sindical Funcionário</t>
  </si>
  <si>
    <t>Cont.Assist.</t>
  </si>
  <si>
    <t>Faltas &amp; DSR</t>
  </si>
  <si>
    <t>Atrasos, Suspensão &amp; Faltas em Horas</t>
  </si>
  <si>
    <t>Vale Transporte</t>
  </si>
  <si>
    <t>Observações da Folha de Adiantamento - 1ª QUINZENA</t>
  </si>
  <si>
    <t>Observações da Folha de Enc. Mensal - 2ª QUINZENA</t>
  </si>
  <si>
    <t>Vale Alimentação</t>
  </si>
  <si>
    <t>Diárias Motoristas</t>
  </si>
  <si>
    <t>Desconto Vale Transporte</t>
  </si>
  <si>
    <t>Desconto VA</t>
  </si>
  <si>
    <t>Férias Qtde de dias comprados</t>
  </si>
  <si>
    <t>Adicional Noturno</t>
  </si>
  <si>
    <t>Periculosidade</t>
  </si>
  <si>
    <t>Periculosidade // Adic. Risco</t>
  </si>
  <si>
    <t>(-) Biorc Financ.</t>
  </si>
  <si>
    <t>Pgto 2ª Q                               (créd. em folha)</t>
  </si>
  <si>
    <t>INSS Férias</t>
  </si>
  <si>
    <t>Descontos Autorizados (Funcionários)</t>
  </si>
  <si>
    <t>QUADRO EVOLUTIVO - FOLHA GERAL MENSAL - 2021</t>
  </si>
  <si>
    <t xml:space="preserve">Comparativo </t>
  </si>
  <si>
    <t>AGOSTO</t>
  </si>
  <si>
    <t>DIFERENÇA</t>
  </si>
  <si>
    <t>%</t>
  </si>
  <si>
    <t>ENTRADAS</t>
  </si>
  <si>
    <t>SAÍDAS</t>
  </si>
  <si>
    <t>Qtde de func. ativos</t>
  </si>
  <si>
    <t>MOT.CARRETEIRO</t>
  </si>
  <si>
    <t>Qtde de func. em licença</t>
  </si>
  <si>
    <t>AUX. DE OPERAÇÕES</t>
  </si>
  <si>
    <t>Qtde de func. Demitidos</t>
  </si>
  <si>
    <t>SINALEIRO</t>
  </si>
  <si>
    <t>Custo Total COM Diárias Motoristas</t>
  </si>
  <si>
    <t>CONFERENTE</t>
  </si>
  <si>
    <t>Custo Total SEM Diárias Motoristas</t>
  </si>
  <si>
    <t>OPER. MÁQUINAS</t>
  </si>
  <si>
    <t>Salario Base</t>
  </si>
  <si>
    <t>SOLDADOR</t>
  </si>
  <si>
    <t>COORD. DE PÁTIO</t>
  </si>
  <si>
    <t xml:space="preserve">Horas Extras </t>
  </si>
  <si>
    <t>AUX. ADM</t>
  </si>
  <si>
    <t>Dobras - Domingos e Feriados</t>
  </si>
  <si>
    <t>AUX. CONTABILIDADE</t>
  </si>
  <si>
    <t>Total de Saídas</t>
  </si>
  <si>
    <t>Vale Cesta</t>
  </si>
  <si>
    <t>Plano de Saúde</t>
  </si>
  <si>
    <t>Plano Odontologico</t>
  </si>
  <si>
    <t>Diárias de Viagem</t>
  </si>
  <si>
    <t>Férias Compradas</t>
  </si>
  <si>
    <t>QUADRO EVOLUTIVO - FOLHA GERAL QUINZENAL</t>
  </si>
  <si>
    <t>1a Q - OUTUBRO</t>
  </si>
  <si>
    <t>1a Q - NOVEMBRO</t>
  </si>
  <si>
    <t>Diferença ( C-D)</t>
  </si>
  <si>
    <t>Qtde de func. Demitido</t>
  </si>
  <si>
    <t>Total Salário pago</t>
  </si>
  <si>
    <t>Salario Base pago - cred. Folha</t>
  </si>
  <si>
    <t>Salario Base pago - Saldo folha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</si>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</sst>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 Light"/>
      <family val="2"/>
    </font>
    <font>
      <b/>
      <sz val="10"/>
      <name val="Calibri Light"/>
      <family val="2"/>
    </font>
    <font>
      <b/>
      <sz val="10"/>
      <color theme="1"/>
      <name val="Calibri Light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5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5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43" fontId="3" fillId="0" borderId="1" xfId="1" applyFont="1" applyFill="1" applyBorder="1" applyAlignment="1" applyProtection="1">
      <alignment horizontal="center" vertical="center" wrapText="1"/>
      <protection locked="0"/>
    </xf>
    <xf numFmtId="43" fontId="3" fillId="0" borderId="1" xfId="1" applyFont="1" applyFill="1" applyBorder="1" applyAlignment="1">
      <alignment horizontal="center" vertical="center" wrapText="1"/>
    </xf>
    <xf numFmtId="43" fontId="3" fillId="0" borderId="1" xfId="1" quotePrefix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  <xf numFmtId="0" fontId="3" fillId="0" borderId="1" xfId="0" quotePrefix="1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5" fillId="2" borderId="0" xfId="0" applyFont="1" applyFill="1"/>
    <xf numFmtId="0" fontId="6" fillId="0" borderId="2" xfId="0" applyFont="1" applyBorder="1" applyAlignment="1">
      <alignment horizontal="left" vertical="center" wrapText="1"/>
    </xf>
    <xf numFmtId="17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8" fillId="2" borderId="5" xfId="1" applyFont="1" applyFill="1" applyBorder="1" applyAlignment="1" applyProtection="1">
      <alignment horizontal="center"/>
      <protection locked="0"/>
    </xf>
    <xf numFmtId="43" fontId="8" fillId="2" borderId="6" xfId="1" applyFont="1" applyFill="1" applyBorder="1" applyAlignment="1" applyProtection="1">
      <alignment horizontal="center"/>
      <protection locked="0"/>
    </xf>
    <xf numFmtId="43" fontId="8" fillId="2" borderId="7" xfId="1" applyFont="1" applyFill="1" applyBorder="1" applyAlignment="1" applyProtection="1">
      <alignment horizontal="center"/>
      <protection locked="0"/>
    </xf>
    <xf numFmtId="0" fontId="9" fillId="0" borderId="8" xfId="0" applyFont="1" applyBorder="1"/>
    <xf numFmtId="0" fontId="9" fillId="0" borderId="9" xfId="0" applyFont="1" applyBorder="1" applyAlignment="1">
      <alignment horizontal="center"/>
    </xf>
    <xf numFmtId="164" fontId="10" fillId="0" borderId="10" xfId="0" applyNumberFormat="1" applyFont="1" applyBorder="1"/>
    <xf numFmtId="10" fontId="11" fillId="0" borderId="11" xfId="0" applyNumberFormat="1" applyFont="1" applyBorder="1" applyAlignment="1">
      <alignment vertical="center" wrapText="1"/>
    </xf>
    <xf numFmtId="0" fontId="12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3" xfId="0" applyFont="1" applyFill="1" applyBorder="1" applyAlignment="1" applyProtection="1">
      <alignment horizontal="center" wrapText="1"/>
      <protection locked="0"/>
    </xf>
    <xf numFmtId="0" fontId="12" fillId="2" borderId="14" xfId="0" applyFont="1" applyFill="1" applyBorder="1" applyAlignment="1" applyProtection="1">
      <alignment horizontal="center" wrapText="1"/>
      <protection locked="0"/>
    </xf>
    <xf numFmtId="0" fontId="9" fillId="0" borderId="15" xfId="0" applyFont="1" applyBorder="1"/>
    <xf numFmtId="0" fontId="9" fillId="0" borderId="10" xfId="0" applyFont="1" applyBorder="1" applyAlignment="1">
      <alignment horizontal="center"/>
    </xf>
    <xf numFmtId="164" fontId="11" fillId="0" borderId="10" xfId="0" applyNumberFormat="1" applyFont="1" applyBorder="1"/>
    <xf numFmtId="0" fontId="6" fillId="3" borderId="16" xfId="0" applyFont="1" applyFill="1" applyBorder="1"/>
    <xf numFmtId="4" fontId="6" fillId="3" borderId="17" xfId="0" applyNumberFormat="1" applyFont="1" applyFill="1" applyBorder="1"/>
    <xf numFmtId="43" fontId="10" fillId="3" borderId="10" xfId="1" applyFont="1" applyFill="1" applyBorder="1"/>
    <xf numFmtId="10" fontId="11" fillId="3" borderId="11" xfId="0" applyNumberFormat="1" applyFont="1" applyFill="1" applyBorder="1" applyAlignment="1">
      <alignment vertical="center" wrapText="1"/>
    </xf>
    <xf numFmtId="0" fontId="9" fillId="0" borderId="16" xfId="0" applyFont="1" applyBorder="1"/>
    <xf numFmtId="43" fontId="9" fillId="4" borderId="10" xfId="0" applyNumberFormat="1" applyFont="1" applyFill="1" applyBorder="1" applyProtection="1">
      <protection locked="0"/>
    </xf>
    <xf numFmtId="43" fontId="10" fillId="0" borderId="10" xfId="1" applyFont="1" applyBorder="1"/>
    <xf numFmtId="0" fontId="13" fillId="2" borderId="12" xfId="0" applyFont="1" applyFill="1" applyBorder="1" applyProtection="1">
      <protection locked="0"/>
    </xf>
    <xf numFmtId="0" fontId="13" fillId="2" borderId="13" xfId="0" applyFont="1" applyFill="1" applyBorder="1" applyAlignment="1" applyProtection="1">
      <alignment horizontal="center"/>
      <protection locked="0"/>
    </xf>
    <xf numFmtId="0" fontId="13" fillId="2" borderId="14" xfId="0" applyFont="1" applyFill="1" applyBorder="1" applyAlignment="1" applyProtection="1">
      <alignment horizontal="center"/>
      <protection locked="0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9" fillId="0" borderId="21" xfId="0" applyFont="1" applyBorder="1"/>
    <xf numFmtId="43" fontId="9" fillId="4" borderId="22" xfId="0" applyNumberFormat="1" applyFont="1" applyFill="1" applyBorder="1" applyProtection="1">
      <protection locked="0"/>
    </xf>
    <xf numFmtId="0" fontId="9" fillId="0" borderId="23" xfId="0" applyFont="1" applyBorder="1"/>
    <xf numFmtId="43" fontId="9" fillId="4" borderId="24" xfId="0" applyNumberFormat="1" applyFont="1" applyFill="1" applyBorder="1" applyProtection="1">
      <protection locked="0"/>
    </xf>
    <xf numFmtId="164" fontId="11" fillId="0" borderId="24" xfId="0" applyNumberFormat="1" applyFont="1" applyBorder="1"/>
    <xf numFmtId="10" fontId="11" fillId="0" borderId="25" xfId="0" applyNumberFormat="1" applyFont="1" applyBorder="1" applyAlignment="1">
      <alignment vertical="center" wrapText="1"/>
    </xf>
    <xf numFmtId="0" fontId="0" fillId="2" borderId="0" xfId="0" applyFill="1" applyAlignment="1">
      <alignment vertical="center"/>
    </xf>
    <xf numFmtId="17" fontId="6" fillId="0" borderId="26" xfId="0" applyNumberFormat="1" applyFont="1" applyBorder="1" applyAlignment="1">
      <alignment horizontal="center" vertical="center" wrapText="1"/>
    </xf>
    <xf numFmtId="1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3" fontId="8" fillId="2" borderId="5" xfId="1" applyFont="1" applyFill="1" applyBorder="1" applyAlignment="1" applyProtection="1">
      <alignment horizontal="center" vertical="center"/>
      <protection locked="0"/>
    </xf>
    <xf numFmtId="43" fontId="8" fillId="2" borderId="6" xfId="1" applyFont="1" applyFill="1" applyBorder="1" applyAlignment="1" applyProtection="1">
      <alignment horizontal="center" vertical="center"/>
      <protection locked="0"/>
    </xf>
    <xf numFmtId="43" fontId="8" fillId="2" borderId="7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9" fillId="0" borderId="27" xfId="0" applyFont="1" applyBorder="1" applyAlignment="1">
      <alignment horizontal="center"/>
    </xf>
    <xf numFmtId="164" fontId="6" fillId="0" borderId="10" xfId="0" applyNumberFormat="1" applyFont="1" applyBorder="1"/>
    <xf numFmtId="10" fontId="10" fillId="0" borderId="11" xfId="0" applyNumberFormat="1" applyFont="1" applyBorder="1" applyAlignment="1">
      <alignment vertical="center" wrapText="1"/>
    </xf>
    <xf numFmtId="0" fontId="9" fillId="0" borderId="28" xfId="0" applyFont="1" applyBorder="1" applyAlignment="1">
      <alignment horizontal="center"/>
    </xf>
    <xf numFmtId="43" fontId="9" fillId="0" borderId="28" xfId="0" applyNumberFormat="1" applyFont="1" applyBorder="1" applyAlignment="1">
      <alignment horizontal="center"/>
    </xf>
    <xf numFmtId="43" fontId="9" fillId="0" borderId="17" xfId="1" applyFont="1" applyBorder="1" applyProtection="1">
      <protection locked="0"/>
    </xf>
    <xf numFmtId="0" fontId="9" fillId="0" borderId="29" xfId="0" applyFont="1" applyBorder="1"/>
    <xf numFmtId="43" fontId="9" fillId="0" borderId="30" xfId="1" applyFont="1" applyBorder="1" applyProtection="1">
      <protection locked="0"/>
    </xf>
    <xf numFmtId="164" fontId="6" fillId="0" borderId="24" xfId="0" applyNumberFormat="1" applyFont="1" applyBorder="1"/>
    <xf numFmtId="10" fontId="10" fillId="0" borderId="25" xfId="0" applyNumberFormat="1" applyFont="1" applyBorder="1" applyAlignment="1">
      <alignment vertical="center" wrapText="1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43" fontId="3" fillId="5" borderId="1" xfId="1" applyFont="1" applyFill="1" applyBorder="1" applyAlignment="1" applyProtection="1">
      <alignment horizontal="center" vertical="center" wrapText="1"/>
      <protection locked="0"/>
    </xf>
    <xf numFmtId="43" fontId="3" fillId="5" borderId="1" xfId="1" applyFont="1" applyFill="1" applyBorder="1" applyAlignment="1">
      <alignment horizontal="center" vertical="center" wrapText="1"/>
    </xf>
    <xf numFmtId="43" fontId="3" fillId="5" borderId="1" xfId="1" quotePrefix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59"/>
  <sheetViews>
    <sheetView tabSelected="1" topLeftCell="L2" zoomScaleNormal="100" workbookViewId="0">
      <selection activeCell="T2" sqref="T2"/>
    </sheetView>
  </sheetViews>
  <sheetFormatPr defaultColWidth="8.85546875" defaultRowHeight="15" x14ac:dyDescent="0.25"/>
  <cols>
    <col min="1" max="11" width="15.7109375" style="7" customWidth="1"/>
    <col min="12" max="12" width="10.7109375" style="7" customWidth="1"/>
    <col min="13" max="16384" width="8.85546875" style="7"/>
  </cols>
  <sheetData>
    <row r="2" spans="1:56" ht="114.75" x14ac:dyDescent="0.25">
      <c r="A2" s="5" t="s">
        <v>0</v>
      </c>
      <c r="B2" s="1" t="s">
        <v>1</v>
      </c>
      <c r="C2" s="1" t="s">
        <v>2</v>
      </c>
      <c r="D2" s="6" t="s">
        <v>3</v>
      </c>
      <c r="E2" s="1" t="s">
        <v>4</v>
      </c>
      <c r="F2" s="1" t="s">
        <v>5</v>
      </c>
      <c r="G2" s="1" t="s">
        <v>6</v>
      </c>
      <c r="H2" s="69" t="s">
        <v>7</v>
      </c>
      <c r="I2" s="70" t="s">
        <v>46</v>
      </c>
      <c r="J2" s="70" t="s">
        <v>8</v>
      </c>
      <c r="K2" s="70" t="s">
        <v>9</v>
      </c>
      <c r="L2" s="69" t="s">
        <v>10</v>
      </c>
      <c r="M2" s="69" t="s">
        <v>47</v>
      </c>
      <c r="N2" s="1" t="s">
        <v>11</v>
      </c>
      <c r="O2" s="1" t="s">
        <v>12</v>
      </c>
      <c r="P2" s="8" t="s">
        <v>13</v>
      </c>
      <c r="Q2" s="3" t="s">
        <v>15</v>
      </c>
      <c r="R2" s="3" t="s">
        <v>16</v>
      </c>
      <c r="S2" s="71" t="s">
        <v>17</v>
      </c>
      <c r="T2" s="3" t="s">
        <v>50</v>
      </c>
      <c r="U2" s="70" t="s">
        <v>18</v>
      </c>
      <c r="V2" s="70" t="s">
        <v>19</v>
      </c>
      <c r="W2" s="70" t="s">
        <v>20</v>
      </c>
      <c r="X2" s="70" t="s">
        <v>51</v>
      </c>
      <c r="Y2" s="70" t="s">
        <v>53</v>
      </c>
      <c r="Z2" s="70" t="s">
        <v>21</v>
      </c>
      <c r="AA2" s="2" t="s">
        <v>22</v>
      </c>
      <c r="AB2" s="2" t="s">
        <v>23</v>
      </c>
      <c r="AC2" s="2" t="s">
        <v>24</v>
      </c>
      <c r="AD2" s="2" t="s">
        <v>25</v>
      </c>
      <c r="AE2" s="4" t="s">
        <v>26</v>
      </c>
      <c r="AF2" s="4" t="s">
        <v>27</v>
      </c>
      <c r="AG2" s="4" t="s">
        <v>28</v>
      </c>
      <c r="AH2" s="2" t="s">
        <v>54</v>
      </c>
      <c r="AI2" s="72" t="s">
        <v>29</v>
      </c>
      <c r="AJ2" s="2" t="s">
        <v>55</v>
      </c>
      <c r="AK2" s="2" t="s">
        <v>23</v>
      </c>
      <c r="AL2" s="2" t="s">
        <v>30</v>
      </c>
      <c r="AM2" s="2" t="s">
        <v>31</v>
      </c>
      <c r="AN2" s="2" t="s">
        <v>32</v>
      </c>
      <c r="AO2" s="2" t="s">
        <v>33</v>
      </c>
      <c r="AP2" s="2" t="s">
        <v>56</v>
      </c>
      <c r="AQ2" s="2" t="s">
        <v>34</v>
      </c>
      <c r="AR2" s="2" t="s">
        <v>35</v>
      </c>
      <c r="AS2" s="2" t="s">
        <v>36</v>
      </c>
      <c r="AT2" s="2" t="s">
        <v>37</v>
      </c>
      <c r="AU2" s="70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49</v>
      </c>
      <c r="BA2" s="2" t="s">
        <v>57</v>
      </c>
      <c r="BB2" s="2" t="s">
        <v>48</v>
      </c>
      <c r="BC2" s="2" t="s">
        <v>44</v>
      </c>
      <c r="BD2" s="2" t="s">
        <v>45</v>
      </c>
    </row>
    <row r="4" spans="1:56" x14ac:dyDescent="0.25">
      <c r="A4" s="5" t="s">
        <v>0</v>
      </c>
    </row>
    <row r="5" spans="1:56" x14ac:dyDescent="0.25">
      <c r="A5" s="1" t="s">
        <v>1</v>
      </c>
    </row>
    <row r="6" spans="1:56" x14ac:dyDescent="0.25">
      <c r="A6" s="1" t="s">
        <v>2</v>
      </c>
    </row>
    <row r="7" spans="1:56" x14ac:dyDescent="0.25">
      <c r="A7" s="6" t="s">
        <v>3</v>
      </c>
    </row>
    <row r="8" spans="1:56" x14ac:dyDescent="0.25">
      <c r="A8" s="1" t="s">
        <v>4</v>
      </c>
    </row>
    <row r="9" spans="1:56" x14ac:dyDescent="0.25">
      <c r="A9" s="1" t="s">
        <v>5</v>
      </c>
    </row>
    <row r="10" spans="1:56" x14ac:dyDescent="0.25">
      <c r="A10" s="1" t="s">
        <v>6</v>
      </c>
    </row>
    <row r="11" spans="1:56" x14ac:dyDescent="0.25">
      <c r="A11" s="1" t="s">
        <v>7</v>
      </c>
    </row>
    <row r="12" spans="1:56" ht="25.5" x14ac:dyDescent="0.25">
      <c r="A12" s="2" t="s">
        <v>46</v>
      </c>
    </row>
    <row r="13" spans="1:56" x14ac:dyDescent="0.25">
      <c r="A13" s="2" t="s">
        <v>8</v>
      </c>
    </row>
    <row r="14" spans="1:56" ht="38.25" x14ac:dyDescent="0.25">
      <c r="A14" s="2" t="s">
        <v>9</v>
      </c>
    </row>
    <row r="15" spans="1:56" ht="25.5" x14ac:dyDescent="0.25">
      <c r="A15" s="1" t="s">
        <v>10</v>
      </c>
    </row>
    <row r="16" spans="1:56" ht="25.5" x14ac:dyDescent="0.25">
      <c r="A16" s="1" t="s">
        <v>47</v>
      </c>
    </row>
    <row r="17" spans="1:1" ht="25.5" x14ac:dyDescent="0.25">
      <c r="A17" s="1" t="s">
        <v>11</v>
      </c>
    </row>
    <row r="18" spans="1:1" ht="25.5" x14ac:dyDescent="0.25">
      <c r="A18" s="1" t="s">
        <v>12</v>
      </c>
    </row>
    <row r="19" spans="1:1" x14ac:dyDescent="0.25">
      <c r="A19" s="8" t="s">
        <v>13</v>
      </c>
    </row>
    <row r="20" spans="1:1" ht="25.5" x14ac:dyDescent="0.25">
      <c r="A20" s="3" t="s">
        <v>15</v>
      </c>
    </row>
    <row r="21" spans="1:1" ht="25.5" x14ac:dyDescent="0.25">
      <c r="A21" s="3" t="s">
        <v>16</v>
      </c>
    </row>
    <row r="22" spans="1:1" ht="25.5" x14ac:dyDescent="0.25">
      <c r="A22" s="3" t="s">
        <v>17</v>
      </c>
    </row>
    <row r="23" spans="1:1" ht="25.5" x14ac:dyDescent="0.25">
      <c r="A23" s="3" t="s">
        <v>50</v>
      </c>
    </row>
    <row r="24" spans="1:1" ht="25.5" x14ac:dyDescent="0.25">
      <c r="A24" s="2" t="s">
        <v>18</v>
      </c>
    </row>
    <row r="25" spans="1:1" ht="38.25" x14ac:dyDescent="0.25">
      <c r="A25" s="2" t="s">
        <v>19</v>
      </c>
    </row>
    <row r="26" spans="1:1" ht="25.5" x14ac:dyDescent="0.25">
      <c r="A26" s="2" t="s">
        <v>20</v>
      </c>
    </row>
    <row r="27" spans="1:1" ht="25.5" x14ac:dyDescent="0.25">
      <c r="A27" s="2" t="s">
        <v>51</v>
      </c>
    </row>
    <row r="28" spans="1:1" ht="25.5" x14ac:dyDescent="0.25">
      <c r="A28" s="2" t="s">
        <v>53</v>
      </c>
    </row>
    <row r="29" spans="1:1" x14ac:dyDescent="0.25">
      <c r="A29" s="2" t="s">
        <v>21</v>
      </c>
    </row>
    <row r="30" spans="1:1" ht="25.5" x14ac:dyDescent="0.25">
      <c r="A30" s="2" t="s">
        <v>22</v>
      </c>
    </row>
    <row r="31" spans="1:1" x14ac:dyDescent="0.25">
      <c r="A31" s="2" t="s">
        <v>23</v>
      </c>
    </row>
    <row r="32" spans="1:1" ht="25.5" x14ac:dyDescent="0.25">
      <c r="A32" s="2" t="s">
        <v>24</v>
      </c>
    </row>
    <row r="33" spans="1:1" ht="25.5" x14ac:dyDescent="0.25">
      <c r="A33" s="2" t="s">
        <v>25</v>
      </c>
    </row>
    <row r="34" spans="1:1" ht="25.5" x14ac:dyDescent="0.25">
      <c r="A34" s="4" t="s">
        <v>26</v>
      </c>
    </row>
    <row r="35" spans="1:1" x14ac:dyDescent="0.25">
      <c r="A35" s="4" t="s">
        <v>27</v>
      </c>
    </row>
    <row r="36" spans="1:1" ht="25.5" x14ac:dyDescent="0.25">
      <c r="A36" s="4" t="s">
        <v>28</v>
      </c>
    </row>
    <row r="37" spans="1:1" ht="25.5" x14ac:dyDescent="0.25">
      <c r="A37" s="2" t="s">
        <v>54</v>
      </c>
    </row>
    <row r="38" spans="1:1" ht="25.5" x14ac:dyDescent="0.25">
      <c r="A38" s="4" t="s">
        <v>29</v>
      </c>
    </row>
    <row r="39" spans="1:1" ht="25.5" x14ac:dyDescent="0.25">
      <c r="A39" s="2" t="s">
        <v>55</v>
      </c>
    </row>
    <row r="40" spans="1:1" x14ac:dyDescent="0.25">
      <c r="A40" s="2" t="s">
        <v>23</v>
      </c>
    </row>
    <row r="41" spans="1:1" ht="25.5" x14ac:dyDescent="0.25">
      <c r="A41" s="2" t="s">
        <v>30</v>
      </c>
    </row>
    <row r="42" spans="1:1" ht="25.5" x14ac:dyDescent="0.25">
      <c r="A42" s="2" t="s">
        <v>31</v>
      </c>
    </row>
    <row r="43" spans="1:1" ht="25.5" x14ac:dyDescent="0.25">
      <c r="A43" s="2" t="s">
        <v>32</v>
      </c>
    </row>
    <row r="44" spans="1:1" x14ac:dyDescent="0.25">
      <c r="A44" s="2" t="s">
        <v>33</v>
      </c>
    </row>
    <row r="45" spans="1:1" x14ac:dyDescent="0.25">
      <c r="A45" s="2" t="s">
        <v>56</v>
      </c>
    </row>
    <row r="46" spans="1:1" ht="38.25" x14ac:dyDescent="0.25">
      <c r="A46" s="2" t="s">
        <v>34</v>
      </c>
    </row>
    <row r="47" spans="1:1" ht="25.5" x14ac:dyDescent="0.25">
      <c r="A47" s="2" t="s">
        <v>35</v>
      </c>
    </row>
    <row r="48" spans="1:1" x14ac:dyDescent="0.25">
      <c r="A48" s="2" t="s">
        <v>36</v>
      </c>
    </row>
    <row r="49" spans="1:1" x14ac:dyDescent="0.25">
      <c r="A49" s="2" t="s">
        <v>37</v>
      </c>
    </row>
    <row r="50" spans="1:1" ht="25.5" x14ac:dyDescent="0.25">
      <c r="A50" s="2" t="s">
        <v>38</v>
      </c>
    </row>
    <row r="51" spans="1:1" ht="25.5" x14ac:dyDescent="0.25">
      <c r="A51" s="2" t="s">
        <v>39</v>
      </c>
    </row>
    <row r="52" spans="1:1" x14ac:dyDescent="0.25">
      <c r="A52" s="2" t="s">
        <v>40</v>
      </c>
    </row>
    <row r="53" spans="1:1" x14ac:dyDescent="0.25">
      <c r="A53" s="2" t="s">
        <v>41</v>
      </c>
    </row>
    <row r="54" spans="1:1" ht="38.25" x14ac:dyDescent="0.25">
      <c r="A54" s="2" t="s">
        <v>42</v>
      </c>
    </row>
    <row r="55" spans="1:1" x14ac:dyDescent="0.25">
      <c r="A55" s="2" t="s">
        <v>49</v>
      </c>
    </row>
    <row r="56" spans="1:1" ht="38.25" x14ac:dyDescent="0.25">
      <c r="A56" s="2" t="s">
        <v>57</v>
      </c>
    </row>
    <row r="57" spans="1:1" ht="25.5" x14ac:dyDescent="0.25">
      <c r="A57" s="2" t="s">
        <v>48</v>
      </c>
    </row>
    <row r="58" spans="1:1" ht="51" x14ac:dyDescent="0.25">
      <c r="A58" s="2" t="s">
        <v>44</v>
      </c>
    </row>
    <row r="59" spans="1:1" ht="51" x14ac:dyDescent="0.25">
      <c r="A59" s="2" t="s">
        <v>45</v>
      </c>
    </row>
  </sheetData>
  <pageMargins left="0.511811024" right="0.511811024" top="0.78740157499999996" bottom="0.78740157499999996" header="0.31496062000000002" footer="0.31496062000000002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5"/>
  <sheetViews>
    <sheetView showGridLines="0" workbookViewId="0">
      <selection activeCell="C12" sqref="C12"/>
    </sheetView>
  </sheetViews>
  <sheetFormatPr defaultRowHeight="15" x14ac:dyDescent="0.25"/>
  <cols>
    <col min="1" max="1" width="5.28515625" style="9" customWidth="1"/>
    <col min="2" max="2" width="55.140625" customWidth="1"/>
    <col min="3" max="4" width="20.140625" customWidth="1"/>
    <col min="5" max="5" width="21.7109375" customWidth="1"/>
    <col min="6" max="6" width="14" style="66" bestFit="1" customWidth="1"/>
    <col min="7" max="7" width="8.85546875" style="9"/>
    <col min="8" max="8" width="39.140625" style="9" hidden="1" customWidth="1"/>
    <col min="9" max="9" width="26.140625" style="9" hidden="1" customWidth="1"/>
    <col min="10" max="10" width="24.7109375" style="9" hidden="1" customWidth="1"/>
    <col min="11" max="23" width="0" style="9" hidden="1" customWidth="1"/>
    <col min="24" max="35" width="8.85546875" style="9"/>
  </cols>
  <sheetData>
    <row r="1" spans="2:10" x14ac:dyDescent="0.25">
      <c r="B1" s="9"/>
      <c r="C1" s="9"/>
      <c r="D1" s="9"/>
      <c r="E1" s="9"/>
      <c r="F1" s="10"/>
    </row>
    <row r="2" spans="2:10" ht="18" x14ac:dyDescent="0.25">
      <c r="B2" s="67" t="s">
        <v>58</v>
      </c>
      <c r="C2" s="67"/>
      <c r="D2" s="67"/>
      <c r="E2" s="67"/>
      <c r="F2" s="67"/>
    </row>
    <row r="3" spans="2:10" ht="15.75" thickBot="1" x14ac:dyDescent="0.3">
      <c r="B3" s="9"/>
      <c r="C3" s="9"/>
      <c r="D3" s="9"/>
      <c r="E3" s="9"/>
      <c r="F3" s="10"/>
    </row>
    <row r="4" spans="2:10" ht="20.25" thickBot="1" x14ac:dyDescent="0.35">
      <c r="B4" s="11" t="s">
        <v>59</v>
      </c>
      <c r="C4" s="12" t="s">
        <v>96</v>
      </c>
      <c r="D4" s="12" t="s">
        <v>60</v>
      </c>
      <c r="E4" s="13" t="s">
        <v>61</v>
      </c>
      <c r="F4" s="14" t="s">
        <v>62</v>
      </c>
      <c r="H4" s="15"/>
      <c r="I4" s="16" t="s">
        <v>63</v>
      </c>
      <c r="J4" s="17" t="s">
        <v>64</v>
      </c>
    </row>
    <row r="5" spans="2:10" ht="19.5" thickTop="1" x14ac:dyDescent="0.25">
      <c r="B5" s="18" t="s">
        <v>65</v>
      </c>
      <c r="C5" s="19"/>
      <c r="D5" s="19"/>
      <c r="E5" s="20">
        <f>D5-C5</f>
        <v>0</v>
      </c>
      <c r="F5" s="21" t="e">
        <f>(D5-C5)/C5</f>
        <v>#DIV/0!</v>
      </c>
      <c r="H5" s="22" t="s">
        <v>66</v>
      </c>
      <c r="I5" s="23">
        <v>0</v>
      </c>
      <c r="J5" s="24">
        <v>1</v>
      </c>
    </row>
    <row r="6" spans="2:10" ht="18.75" x14ac:dyDescent="0.25">
      <c r="B6" s="25" t="s">
        <v>67</v>
      </c>
      <c r="C6" s="26"/>
      <c r="D6" s="26"/>
      <c r="E6" s="27">
        <f t="shared" ref="E6:E22" si="0">D6-C6</f>
        <v>0</v>
      </c>
      <c r="F6" s="21" t="e">
        <f t="shared" ref="F6:F22" si="1">(D6-C6)/C6</f>
        <v>#DIV/0!</v>
      </c>
      <c r="H6" s="22" t="s">
        <v>68</v>
      </c>
      <c r="I6" s="23">
        <v>0</v>
      </c>
      <c r="J6" s="24">
        <v>14</v>
      </c>
    </row>
    <row r="7" spans="2:10" ht="18.75" x14ac:dyDescent="0.25">
      <c r="B7" s="25" t="s">
        <v>69</v>
      </c>
      <c r="C7" s="26"/>
      <c r="D7" s="26"/>
      <c r="E7" s="27">
        <f t="shared" si="0"/>
        <v>0</v>
      </c>
      <c r="F7" s="21" t="e">
        <f t="shared" si="1"/>
        <v>#DIV/0!</v>
      </c>
      <c r="H7" s="22" t="s">
        <v>70</v>
      </c>
      <c r="I7" s="23">
        <v>0</v>
      </c>
      <c r="J7" s="24">
        <v>0</v>
      </c>
    </row>
    <row r="8" spans="2:10" ht="18.75" x14ac:dyDescent="0.25">
      <c r="B8" s="28" t="s">
        <v>71</v>
      </c>
      <c r="C8" s="29"/>
      <c r="D8" s="29"/>
      <c r="E8" s="30">
        <f t="shared" si="0"/>
        <v>0</v>
      </c>
      <c r="F8" s="31" t="e">
        <f t="shared" si="1"/>
        <v>#DIV/0!</v>
      </c>
      <c r="H8" s="22" t="s">
        <v>72</v>
      </c>
      <c r="I8" s="23">
        <v>0</v>
      </c>
      <c r="J8" s="24">
        <v>3</v>
      </c>
    </row>
    <row r="9" spans="2:10" ht="18.75" x14ac:dyDescent="0.25">
      <c r="B9" s="28" t="s">
        <v>73</v>
      </c>
      <c r="C9" s="29"/>
      <c r="D9" s="29"/>
      <c r="E9" s="30">
        <f t="shared" si="0"/>
        <v>0</v>
      </c>
      <c r="F9" s="31" t="e">
        <f t="shared" si="1"/>
        <v>#DIV/0!</v>
      </c>
      <c r="H9" s="22" t="s">
        <v>74</v>
      </c>
      <c r="I9" s="23">
        <v>0</v>
      </c>
      <c r="J9" s="24">
        <v>4</v>
      </c>
    </row>
    <row r="10" spans="2:10" ht="18.75" x14ac:dyDescent="0.25">
      <c r="B10" s="32" t="s">
        <v>75</v>
      </c>
      <c r="C10" s="33"/>
      <c r="D10" s="33"/>
      <c r="E10" s="34">
        <f t="shared" si="0"/>
        <v>0</v>
      </c>
      <c r="F10" s="21" t="e">
        <f t="shared" si="1"/>
        <v>#DIV/0!</v>
      </c>
      <c r="H10" s="22" t="s">
        <v>76</v>
      </c>
      <c r="I10" s="23">
        <v>0</v>
      </c>
      <c r="J10" s="24">
        <v>0</v>
      </c>
    </row>
    <row r="11" spans="2:10" ht="18.75" x14ac:dyDescent="0.25">
      <c r="B11" s="32" t="s">
        <v>14</v>
      </c>
      <c r="C11" s="33"/>
      <c r="D11" s="33"/>
      <c r="E11" s="34">
        <f t="shared" si="0"/>
        <v>0</v>
      </c>
      <c r="F11" s="21" t="e">
        <f t="shared" si="1"/>
        <v>#DIV/0!</v>
      </c>
      <c r="H11" s="22" t="s">
        <v>77</v>
      </c>
      <c r="I11" s="23">
        <v>0</v>
      </c>
      <c r="J11" s="24">
        <v>2</v>
      </c>
    </row>
    <row r="12" spans="2:10" ht="18.75" x14ac:dyDescent="0.25">
      <c r="B12" s="32" t="s">
        <v>78</v>
      </c>
      <c r="C12" s="33"/>
      <c r="D12" s="33"/>
      <c r="E12" s="34">
        <f t="shared" si="0"/>
        <v>0</v>
      </c>
      <c r="F12" s="21" t="e">
        <f t="shared" si="1"/>
        <v>#DIV/0!</v>
      </c>
      <c r="H12" s="22" t="s">
        <v>79</v>
      </c>
      <c r="I12" s="23">
        <v>0</v>
      </c>
      <c r="J12" s="24">
        <v>2</v>
      </c>
    </row>
    <row r="13" spans="2:10" ht="18.75" x14ac:dyDescent="0.25">
      <c r="B13" s="32" t="s">
        <v>80</v>
      </c>
      <c r="C13" s="33"/>
      <c r="D13" s="33"/>
      <c r="E13" s="34">
        <f t="shared" si="0"/>
        <v>0</v>
      </c>
      <c r="F13" s="21" t="e">
        <f t="shared" si="1"/>
        <v>#DIV/0!</v>
      </c>
      <c r="H13" s="22" t="s">
        <v>81</v>
      </c>
      <c r="I13" s="23">
        <v>0</v>
      </c>
      <c r="J13" s="24">
        <v>1</v>
      </c>
    </row>
    <row r="14" spans="2:10" ht="20.25" x14ac:dyDescent="0.3">
      <c r="B14" s="32" t="s">
        <v>51</v>
      </c>
      <c r="C14" s="33"/>
      <c r="D14" s="33"/>
      <c r="E14" s="34">
        <f t="shared" si="0"/>
        <v>0</v>
      </c>
      <c r="F14" s="21" t="e">
        <f t="shared" si="1"/>
        <v>#DIV/0!</v>
      </c>
      <c r="H14" s="35" t="s">
        <v>82</v>
      </c>
      <c r="I14" s="36">
        <f>SUM(I4:I13)</f>
        <v>0</v>
      </c>
      <c r="J14" s="37">
        <f>SUM(J4:J13)</f>
        <v>27</v>
      </c>
    </row>
    <row r="15" spans="2:10" ht="18.75" thickBot="1" x14ac:dyDescent="0.3">
      <c r="B15" s="32" t="s">
        <v>52</v>
      </c>
      <c r="C15" s="33"/>
      <c r="D15" s="33"/>
      <c r="E15" s="34">
        <f t="shared" si="0"/>
        <v>0</v>
      </c>
      <c r="F15" s="21" t="e">
        <f t="shared" si="1"/>
        <v>#DIV/0!</v>
      </c>
      <c r="H15" s="38"/>
      <c r="I15" s="39"/>
      <c r="J15" s="40"/>
    </row>
    <row r="16" spans="2:10" ht="18" x14ac:dyDescent="0.25">
      <c r="B16" s="32" t="s">
        <v>43</v>
      </c>
      <c r="C16" s="33"/>
      <c r="D16" s="33"/>
      <c r="E16" s="34">
        <f t="shared" si="0"/>
        <v>0</v>
      </c>
      <c r="F16" s="21" t="e">
        <f t="shared" si="1"/>
        <v>#DIV/0!</v>
      </c>
    </row>
    <row r="17" spans="1:35" ht="18" x14ac:dyDescent="0.25">
      <c r="B17" s="32" t="s">
        <v>46</v>
      </c>
      <c r="C17" s="33"/>
      <c r="D17" s="33"/>
      <c r="E17" s="34">
        <f t="shared" si="0"/>
        <v>0</v>
      </c>
      <c r="F17" s="21" t="e">
        <f t="shared" si="1"/>
        <v>#DIV/0!</v>
      </c>
    </row>
    <row r="18" spans="1:35" ht="18" x14ac:dyDescent="0.25">
      <c r="B18" s="41" t="s">
        <v>83</v>
      </c>
      <c r="C18" s="42"/>
      <c r="D18" s="42"/>
      <c r="E18" s="34">
        <f t="shared" si="0"/>
        <v>0</v>
      </c>
      <c r="F18" s="21" t="e">
        <f t="shared" si="1"/>
        <v>#DIV/0!</v>
      </c>
    </row>
    <row r="19" spans="1:35" ht="18" x14ac:dyDescent="0.25">
      <c r="B19" s="32" t="s">
        <v>84</v>
      </c>
      <c r="C19" s="33"/>
      <c r="D19" s="33"/>
      <c r="E19" s="34">
        <f t="shared" si="0"/>
        <v>0</v>
      </c>
      <c r="F19" s="21" t="e">
        <f t="shared" si="1"/>
        <v>#DIV/0!</v>
      </c>
    </row>
    <row r="20" spans="1:35" ht="18" x14ac:dyDescent="0.25">
      <c r="B20" s="32" t="s">
        <v>85</v>
      </c>
      <c r="C20" s="33"/>
      <c r="D20" s="33"/>
      <c r="E20" s="34">
        <f t="shared" si="0"/>
        <v>0</v>
      </c>
      <c r="F20" s="21" t="e">
        <f t="shared" si="1"/>
        <v>#DIV/0!</v>
      </c>
    </row>
    <row r="21" spans="1:35" ht="18" x14ac:dyDescent="0.25">
      <c r="B21" s="32" t="s">
        <v>86</v>
      </c>
      <c r="C21" s="33"/>
      <c r="D21" s="33"/>
      <c r="E21" s="34">
        <f t="shared" si="0"/>
        <v>0</v>
      </c>
      <c r="F21" s="21" t="e">
        <f t="shared" si="1"/>
        <v>#DIV/0!</v>
      </c>
    </row>
    <row r="22" spans="1:35" ht="18.75" thickBot="1" x14ac:dyDescent="0.3">
      <c r="B22" s="43" t="s">
        <v>87</v>
      </c>
      <c r="C22" s="44"/>
      <c r="D22" s="44"/>
      <c r="E22" s="45">
        <f t="shared" si="0"/>
        <v>0</v>
      </c>
      <c r="F22" s="46" t="e">
        <f t="shared" si="1"/>
        <v>#DIV/0!</v>
      </c>
    </row>
    <row r="23" spans="1:35" x14ac:dyDescent="0.25">
      <c r="B23" s="68"/>
      <c r="C23" s="68"/>
      <c r="D23" s="68"/>
      <c r="E23" s="68"/>
      <c r="F23" s="68"/>
    </row>
    <row r="24" spans="1:35" x14ac:dyDescent="0.25">
      <c r="B24" s="9"/>
      <c r="C24" s="9"/>
      <c r="D24" s="9"/>
      <c r="E24" s="9"/>
      <c r="F24" s="10"/>
    </row>
    <row r="25" spans="1:35" x14ac:dyDescent="0.25">
      <c r="B25" s="9"/>
      <c r="C25" s="9"/>
      <c r="D25" s="9"/>
      <c r="E25" s="9"/>
      <c r="F25" s="10"/>
    </row>
    <row r="26" spans="1:35" x14ac:dyDescent="0.25">
      <c r="B26" s="9"/>
      <c r="C26" s="9"/>
      <c r="D26" s="9"/>
      <c r="E26" s="9"/>
      <c r="F26" s="10"/>
    </row>
    <row r="27" spans="1:35" ht="18" hidden="1" x14ac:dyDescent="0.25">
      <c r="B27" s="67" t="s">
        <v>88</v>
      </c>
      <c r="C27" s="67"/>
      <c r="D27" s="67"/>
      <c r="E27" s="67"/>
      <c r="F27" s="67"/>
    </row>
    <row r="28" spans="1:35" hidden="1" x14ac:dyDescent="0.25">
      <c r="B28" s="9"/>
      <c r="C28" s="9"/>
      <c r="D28" s="9"/>
      <c r="E28" s="9"/>
      <c r="F28" s="10"/>
    </row>
    <row r="29" spans="1:35" s="55" customFormat="1" ht="36.75" hidden="1" thickBot="1" x14ac:dyDescent="0.3">
      <c r="A29" s="47"/>
      <c r="B29" s="11" t="s">
        <v>59</v>
      </c>
      <c r="C29" s="48" t="s">
        <v>89</v>
      </c>
      <c r="D29" s="49" t="s">
        <v>90</v>
      </c>
      <c r="E29" s="50" t="s">
        <v>91</v>
      </c>
      <c r="F29" s="51" t="s">
        <v>62</v>
      </c>
      <c r="G29" s="47"/>
      <c r="H29" s="52"/>
      <c r="I29" s="53" t="s">
        <v>63</v>
      </c>
      <c r="J29" s="54" t="s">
        <v>64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</row>
    <row r="30" spans="1:35" ht="18.75" hidden="1" x14ac:dyDescent="0.25">
      <c r="B30" s="18" t="s">
        <v>65</v>
      </c>
      <c r="C30" s="56">
        <v>421</v>
      </c>
      <c r="D30" s="19">
        <v>423</v>
      </c>
      <c r="E30" s="57">
        <f>D30-C30</f>
        <v>2</v>
      </c>
      <c r="F30" s="58">
        <f>(D30-C30)/C30</f>
        <v>4.7505938242280287E-3</v>
      </c>
      <c r="H30" s="22" t="s">
        <v>66</v>
      </c>
      <c r="I30" s="23">
        <v>0</v>
      </c>
      <c r="J30" s="24">
        <v>1</v>
      </c>
    </row>
    <row r="31" spans="1:35" ht="18.75" hidden="1" x14ac:dyDescent="0.25">
      <c r="B31" s="25" t="s">
        <v>67</v>
      </c>
      <c r="C31" s="59">
        <v>5</v>
      </c>
      <c r="D31" s="26">
        <v>4</v>
      </c>
      <c r="E31" s="57">
        <f t="shared" ref="E31:E35" si="2">D31-C31</f>
        <v>-1</v>
      </c>
      <c r="F31" s="58">
        <f t="shared" ref="F31:F35" si="3">(D31-C31)/C31</f>
        <v>-0.2</v>
      </c>
      <c r="H31" s="22" t="s">
        <v>68</v>
      </c>
      <c r="I31" s="23">
        <v>0</v>
      </c>
      <c r="J31" s="24">
        <v>14</v>
      </c>
    </row>
    <row r="32" spans="1:35" ht="18.75" hidden="1" x14ac:dyDescent="0.25">
      <c r="B32" s="25" t="s">
        <v>92</v>
      </c>
      <c r="C32" s="59">
        <v>9</v>
      </c>
      <c r="D32" s="26">
        <v>3</v>
      </c>
      <c r="E32" s="57">
        <f t="shared" si="2"/>
        <v>-6</v>
      </c>
      <c r="F32" s="58">
        <f t="shared" si="3"/>
        <v>-0.66666666666666663</v>
      </c>
      <c r="H32" s="22"/>
      <c r="I32" s="23"/>
      <c r="J32" s="24"/>
    </row>
    <row r="33" spans="2:10" ht="18.75" hidden="1" x14ac:dyDescent="0.25">
      <c r="B33" s="25" t="s">
        <v>93</v>
      </c>
      <c r="C33" s="60">
        <f>C34+C35</f>
        <v>273351.28000000003</v>
      </c>
      <c r="D33" s="60">
        <f>D34+D35</f>
        <v>272097.41000000003</v>
      </c>
      <c r="E33" s="57">
        <f t="shared" si="2"/>
        <v>-1253.8699999999953</v>
      </c>
      <c r="F33" s="58">
        <f t="shared" si="3"/>
        <v>-4.5870280907409512E-3</v>
      </c>
      <c r="H33" s="22" t="s">
        <v>70</v>
      </c>
      <c r="I33" s="23">
        <v>0</v>
      </c>
      <c r="J33" s="24">
        <v>0</v>
      </c>
    </row>
    <row r="34" spans="2:10" s="9" customFormat="1" ht="18.75" hidden="1" x14ac:dyDescent="0.25">
      <c r="B34" s="25" t="s">
        <v>94</v>
      </c>
      <c r="C34" s="61">
        <v>266871.28000000003</v>
      </c>
      <c r="D34" s="33">
        <v>268411.28000000003</v>
      </c>
      <c r="E34" s="57">
        <f t="shared" si="2"/>
        <v>1540</v>
      </c>
      <c r="F34" s="58">
        <f t="shared" si="3"/>
        <v>5.7705722399203083E-3</v>
      </c>
      <c r="H34" s="22" t="s">
        <v>76</v>
      </c>
      <c r="I34" s="23">
        <v>0</v>
      </c>
      <c r="J34" s="24">
        <v>0</v>
      </c>
    </row>
    <row r="35" spans="2:10" s="9" customFormat="1" ht="19.5" hidden="1" thickBot="1" x14ac:dyDescent="0.3">
      <c r="B35" s="62" t="s">
        <v>95</v>
      </c>
      <c r="C35" s="63">
        <v>6480</v>
      </c>
      <c r="D35" s="44">
        <v>3686.13</v>
      </c>
      <c r="E35" s="64">
        <f t="shared" si="2"/>
        <v>-2793.87</v>
      </c>
      <c r="F35" s="65">
        <f t="shared" si="3"/>
        <v>-0.43115277777777777</v>
      </c>
      <c r="H35" s="22"/>
      <c r="I35" s="23"/>
      <c r="J35" s="24"/>
    </row>
    <row r="36" spans="2:10" s="9" customFormat="1" hidden="1" x14ac:dyDescent="0.25">
      <c r="B36"/>
      <c r="C36"/>
      <c r="D36"/>
      <c r="E36"/>
      <c r="F36" s="10"/>
    </row>
    <row r="37" spans="2:10" s="9" customFormat="1" hidden="1" x14ac:dyDescent="0.25">
      <c r="B37"/>
      <c r="C37"/>
      <c r="D37"/>
      <c r="E37"/>
      <c r="F37" s="10"/>
    </row>
    <row r="38" spans="2:10" s="9" customFormat="1" x14ac:dyDescent="0.25">
      <c r="B38"/>
      <c r="C38"/>
      <c r="D38"/>
      <c r="E38"/>
      <c r="F38" s="10"/>
    </row>
    <row r="39" spans="2:10" s="9" customFormat="1" x14ac:dyDescent="0.25">
      <c r="B39"/>
      <c r="C39"/>
      <c r="D39"/>
      <c r="E39"/>
      <c r="F39" s="10"/>
    </row>
    <row r="40" spans="2:10" s="9" customFormat="1" x14ac:dyDescent="0.25">
      <c r="B40"/>
      <c r="C40"/>
      <c r="D40"/>
      <c r="E40"/>
      <c r="F40" s="10"/>
    </row>
    <row r="41" spans="2:10" s="9" customFormat="1" x14ac:dyDescent="0.25">
      <c r="B41"/>
      <c r="C41"/>
      <c r="D41"/>
      <c r="E41"/>
      <c r="F41" s="10"/>
    </row>
    <row r="42" spans="2:10" s="9" customFormat="1" x14ac:dyDescent="0.25">
      <c r="B42"/>
      <c r="C42"/>
      <c r="D42"/>
      <c r="E42"/>
      <c r="F42" s="10"/>
    </row>
    <row r="43" spans="2:10" s="9" customFormat="1" x14ac:dyDescent="0.25">
      <c r="B43"/>
      <c r="C43"/>
      <c r="D43"/>
      <c r="E43"/>
      <c r="F43" s="10"/>
    </row>
    <row r="44" spans="2:10" s="9" customFormat="1" x14ac:dyDescent="0.25">
      <c r="B44"/>
      <c r="C44"/>
      <c r="D44"/>
      <c r="E44"/>
      <c r="F44" s="10"/>
    </row>
    <row r="45" spans="2:10" s="9" customFormat="1" x14ac:dyDescent="0.25">
      <c r="B45"/>
      <c r="C45"/>
      <c r="D45"/>
      <c r="E45"/>
      <c r="F45" s="10"/>
    </row>
    <row r="46" spans="2:10" s="9" customFormat="1" x14ac:dyDescent="0.25">
      <c r="B46"/>
      <c r="C46"/>
      <c r="D46"/>
      <c r="E46"/>
      <c r="F46" s="10"/>
    </row>
    <row r="47" spans="2:10" s="9" customFormat="1" x14ac:dyDescent="0.25">
      <c r="B47"/>
      <c r="C47"/>
      <c r="D47"/>
      <c r="E47"/>
      <c r="F47" s="10"/>
    </row>
    <row r="48" spans="2:10" s="9" customFormat="1" x14ac:dyDescent="0.25">
      <c r="B48"/>
      <c r="C48"/>
      <c r="D48"/>
      <c r="E48"/>
      <c r="F48" s="10"/>
    </row>
    <row r="49" spans="2:6" s="9" customFormat="1" x14ac:dyDescent="0.25">
      <c r="B49"/>
      <c r="C49"/>
      <c r="D49"/>
      <c r="E49"/>
      <c r="F49" s="10"/>
    </row>
    <row r="50" spans="2:6" s="9" customFormat="1" x14ac:dyDescent="0.25">
      <c r="B50"/>
      <c r="C50"/>
      <c r="D50"/>
      <c r="E50"/>
      <c r="F50" s="10"/>
    </row>
    <row r="51" spans="2:6" s="9" customFormat="1" x14ac:dyDescent="0.25">
      <c r="B51"/>
      <c r="C51"/>
      <c r="D51"/>
      <c r="E51"/>
      <c r="F51" s="10"/>
    </row>
    <row r="52" spans="2:6" s="9" customFormat="1" x14ac:dyDescent="0.25">
      <c r="B52"/>
      <c r="C52"/>
      <c r="D52"/>
      <c r="E52"/>
      <c r="F52" s="10"/>
    </row>
    <row r="53" spans="2:6" s="9" customFormat="1" x14ac:dyDescent="0.25">
      <c r="B53"/>
      <c r="C53"/>
      <c r="D53"/>
      <c r="E53"/>
      <c r="F53" s="10"/>
    </row>
    <row r="54" spans="2:6" s="9" customFormat="1" x14ac:dyDescent="0.25">
      <c r="B54"/>
      <c r="C54"/>
      <c r="D54"/>
      <c r="E54"/>
      <c r="F54" s="10"/>
    </row>
    <row r="55" spans="2:6" s="9" customFormat="1" x14ac:dyDescent="0.25">
      <c r="B55"/>
      <c r="C55"/>
      <c r="D55"/>
      <c r="E55"/>
      <c r="F55" s="10"/>
    </row>
  </sheetData>
  <mergeCells count="3">
    <mergeCell ref="B2:F2"/>
    <mergeCell ref="B23:F23"/>
    <mergeCell ref="B27:F27"/>
  </mergeCells>
  <printOptions horizontalCentered="1"/>
  <pageMargins left="0.51181102362204722" right="0.51181102362204722" top="0.78740157480314965" bottom="0.78740157480314965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QUADRO RESUMO</vt:lpstr>
      <vt:lpstr>'QUADRO RESUMO'!Area_de_impressao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Cristianne Ribeiro</dc:creator>
  <cp:lastModifiedBy>Usuário</cp:lastModifiedBy>
  <cp:lastPrinted>2021-09-29T17:51:25Z</cp:lastPrinted>
  <dcterms:created xsi:type="dcterms:W3CDTF">2021-09-29T17:48:51Z</dcterms:created>
  <dcterms:modified xsi:type="dcterms:W3CDTF">2021-09-30T14:47:50Z</dcterms:modified>
</cp:coreProperties>
</file>