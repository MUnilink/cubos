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oel\Downloads\"/>
    </mc:Choice>
  </mc:AlternateContent>
  <bookViews>
    <workbookView xWindow="0" yWindow="0" windowWidth="21600" windowHeight="90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0" i="1" l="1"/>
  <c r="T4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 l="1"/>
  <c r="R22" i="1"/>
  <c r="R38" i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Q39" i="1"/>
  <c r="R39" i="1" s="1"/>
  <c r="Q3" i="1"/>
  <c r="R3" i="1" s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9" i="1"/>
  <c r="O3" i="1"/>
  <c r="P44" i="1" l="1"/>
  <c r="O40" i="1"/>
  <c r="O44" i="1" s="1"/>
  <c r="Q40" i="1"/>
  <c r="R11" i="1"/>
  <c r="R40" i="1" s="1"/>
  <c r="R44" i="1" s="1"/>
  <c r="L35" i="1"/>
  <c r="M35" i="1" s="1"/>
  <c r="L38" i="1"/>
  <c r="H40" i="1"/>
  <c r="J40" i="1"/>
  <c r="J45" i="1" s="1"/>
  <c r="K40" i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6" i="1"/>
  <c r="M36" i="1" s="1"/>
  <c r="L37" i="1"/>
  <c r="M37" i="1" s="1"/>
  <c r="L39" i="1"/>
  <c r="M39" i="1" s="1"/>
  <c r="L3" i="1"/>
  <c r="M3" i="1" s="1"/>
  <c r="G40" i="1"/>
  <c r="L40" i="1" l="1"/>
  <c r="M38" i="1"/>
  <c r="M40" i="1" s="1"/>
  <c r="L45" i="1" l="1"/>
  <c r="K46" i="1" s="1"/>
  <c r="K48" i="1" s="1"/>
</calcChain>
</file>

<file path=xl/sharedStrings.xml><?xml version="1.0" encoding="utf-8"?>
<sst xmlns="http://schemas.openxmlformats.org/spreadsheetml/2006/main" count="188" uniqueCount="34">
  <si>
    <t>003861</t>
  </si>
  <si>
    <t>ERICK GONCALVES DE CASTRO</t>
  </si>
  <si>
    <t>140</t>
  </si>
  <si>
    <t>HE NORMAL</t>
  </si>
  <si>
    <t>Qtde x 0,60</t>
  </si>
  <si>
    <t>Total de Horas</t>
  </si>
  <si>
    <t>Matricula</t>
  </si>
  <si>
    <t>Nome</t>
  </si>
  <si>
    <t>Saldo Anterior</t>
  </si>
  <si>
    <t>Data</t>
  </si>
  <si>
    <t>Evento</t>
  </si>
  <si>
    <t>Apontamento</t>
  </si>
  <si>
    <t>Debito</t>
  </si>
  <si>
    <t>Credito</t>
  </si>
  <si>
    <t>Saldo</t>
  </si>
  <si>
    <t>horas</t>
  </si>
  <si>
    <t>horas,cent</t>
  </si>
  <si>
    <t>Qtde</t>
  </si>
  <si>
    <t>Hora</t>
  </si>
  <si>
    <t>minutos</t>
  </si>
  <si>
    <t>CORREÇÃO</t>
  </si>
  <si>
    <t>necessária conversão antes da soma</t>
  </si>
  <si>
    <t>MINUTOS</t>
  </si>
  <si>
    <t>HORA INTEIRA</t>
  </si>
  <si>
    <t>HORA FRAÇÃO</t>
  </si>
  <si>
    <t>MINUTOS FRAÇÃO</t>
  </si>
  <si>
    <t>DIVIDINDO POR 60:</t>
  </si>
  <si>
    <t>SOMA EM MINUTOS</t>
  </si>
  <si>
    <t>TOTAL EM MINUTOS</t>
  </si>
  <si>
    <t>HORAS INTEIRAS</t>
  </si>
  <si>
    <t>FRAÇÕES EM HORAS</t>
  </si>
  <si>
    <t>FRAÇÕES EM MINUTOS</t>
  </si>
  <si>
    <t>TOTAL EM HORAS</t>
  </si>
  <si>
    <t>SOMA EM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</si>
</sst>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0.0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ourier New"/>
      <family val="2"/>
    </font>
    <font>
      <b/>
      <sz val="9"/>
      <color theme="1"/>
      <name val="Courier New"/>
      <family val="3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43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43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3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43" fontId="0" fillId="3" borderId="1" xfId="0" applyNumberFormat="1" applyFill="1" applyBorder="1"/>
    <xf numFmtId="43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2" fontId="0" fillId="0" borderId="0" xfId="0" applyNumberFormat="1"/>
    <xf numFmtId="43" fontId="2" fillId="2" borderId="1" xfId="0" applyNumberFormat="1" applyFont="1" applyFill="1" applyBorder="1" applyAlignment="1">
      <alignment horizontal="center"/>
    </xf>
    <xf numFmtId="0" fontId="0" fillId="0" borderId="0" xfId="0" applyFill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/>
    <xf numFmtId="43" fontId="3" fillId="3" borderId="1" xfId="0" applyNumberFormat="1" applyFont="1" applyFill="1" applyBorder="1"/>
    <xf numFmtId="43" fontId="3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3" fontId="3" fillId="3" borderId="1" xfId="0" applyNumberFormat="1" applyFont="1" applyFill="1" applyBorder="1" applyAlignment="1">
      <alignment vertical="center"/>
    </xf>
    <xf numFmtId="43" fontId="0" fillId="0" borderId="0" xfId="0" applyNumberFormat="1"/>
    <xf numFmtId="165" fontId="0" fillId="0" borderId="0" xfId="0" applyNumberFormat="1"/>
    <xf numFmtId="1" fontId="0" fillId="0" borderId="0" xfId="0" applyNumberFormat="1"/>
    <xf numFmtId="0" fontId="3" fillId="0" borderId="1" xfId="0" applyFont="1" applyFill="1" applyBorder="1" applyAlignment="1">
      <alignment horizontal="center"/>
    </xf>
    <xf numFmtId="43" fontId="5" fillId="4" borderId="0" xfId="0" applyNumberFormat="1" applyFont="1" applyFill="1" applyBorder="1"/>
    <xf numFmtId="1" fontId="5" fillId="5" borderId="0" xfId="0" applyNumberFormat="1" applyFont="1" applyFill="1" applyBorder="1"/>
    <xf numFmtId="2" fontId="5" fillId="5" borderId="0" xfId="0" applyNumberFormat="1" applyFont="1" applyFill="1" applyBorder="1"/>
    <xf numFmtId="2" fontId="5" fillId="4" borderId="0" xfId="0" applyNumberFormat="1" applyFont="1" applyFill="1" applyBorder="1"/>
    <xf numFmtId="0" fontId="6" fillId="0" borderId="0" xfId="0" applyFont="1" applyBorder="1"/>
    <xf numFmtId="43" fontId="5" fillId="0" borderId="0" xfId="0" applyNumberFormat="1" applyFont="1" applyBorder="1"/>
    <xf numFmtId="1" fontId="5" fillId="0" borderId="0" xfId="0" applyNumberFormat="1" applyFont="1" applyBorder="1"/>
    <xf numFmtId="2" fontId="5" fillId="0" borderId="0" xfId="0" applyNumberFormat="1" applyFont="1" applyFill="1" applyBorder="1"/>
    <xf numFmtId="2" fontId="5" fillId="0" borderId="0" xfId="0" applyNumberFormat="1" applyFont="1" applyBorder="1"/>
    <xf numFmtId="0" fontId="6" fillId="0" borderId="0" xfId="0" applyFont="1" applyFill="1" applyBorder="1"/>
    <xf numFmtId="0" fontId="5" fillId="0" borderId="0" xfId="0" applyFont="1" applyBorder="1"/>
    <xf numFmtId="43" fontId="5" fillId="5" borderId="0" xfId="0" applyNumberFormat="1" applyFont="1" applyFill="1" applyBorder="1"/>
    <xf numFmtId="0" fontId="5" fillId="5" borderId="0" xfId="0" applyFont="1" applyFill="1" applyBorder="1"/>
  </cellXfs>
  <cellStyles count="1">
    <cellStyle name="Normal" xfId="0" builtinId="0"/>
  </cellStyles>
  <dxfs count="4">
    <dxf>
      <numFmt numFmtId="1" formatCode="0"/>
    </dxf>
    <dxf>
      <numFmt numFmtId="165" formatCode="0.0"/>
    </dxf>
    <dxf>
      <numFmt numFmtId="2" formatCode="0.00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O2:R40" totalsRowShown="0">
  <autoFilter ref="O2:R40"/>
  <tableColumns count="4">
    <tableColumn id="1" name="MINUTOS" dataDxfId="3"/>
    <tableColumn id="2" name="HORA INTEIRA" dataDxfId="0"/>
    <tableColumn id="3" name="HORA FRAÇÃO" dataDxfId="2"/>
    <tableColumn id="4" name="MINUTOS FRAÇÃ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tabSelected="1" topLeftCell="J22" workbookViewId="0">
      <selection activeCell="Q34" sqref="Q34"/>
    </sheetView>
  </sheetViews>
  <sheetFormatPr defaultRowHeight="15" x14ac:dyDescent="0.25"/>
  <cols>
    <col min="1" max="1" width="10" bestFit="1" customWidth="1"/>
    <col min="2" max="2" width="26.5703125" bestFit="1" customWidth="1"/>
    <col min="3" max="3" width="15.140625" bestFit="1" customWidth="1"/>
    <col min="4" max="4" width="11" bestFit="1" customWidth="1"/>
    <col min="5" max="5" width="7" bestFit="1" customWidth="1"/>
    <col min="6" max="6" width="12" bestFit="1" customWidth="1"/>
    <col min="7" max="7" width="7" bestFit="1" customWidth="1"/>
    <col min="8" max="8" width="10.28515625" bestFit="1" customWidth="1"/>
    <col min="9" max="9" width="11.85546875" customWidth="1"/>
    <col min="10" max="10" width="8.28515625" bestFit="1" customWidth="1"/>
    <col min="11" max="11" width="11.85546875" customWidth="1"/>
    <col min="12" max="12" width="12" bestFit="1" customWidth="1"/>
    <col min="13" max="13" width="33.42578125" style="7" bestFit="1" customWidth="1"/>
    <col min="15" max="15" width="20.7109375" bestFit="1" customWidth="1"/>
    <col min="16" max="16" width="15.7109375" customWidth="1"/>
    <col min="17" max="17" width="19.140625" bestFit="1" customWidth="1"/>
    <col min="18" max="18" width="23.28515625" bestFit="1" customWidth="1"/>
    <col min="20" max="20" width="20.7109375" bestFit="1" customWidth="1"/>
  </cols>
  <sheetData>
    <row r="1" spans="1:1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18" x14ac:dyDescent="0.25">
      <c r="A2" s="1" t="s">
        <v>0</v>
      </c>
      <c r="B2" s="1" t="s">
        <v>1</v>
      </c>
      <c r="C2" s="2"/>
      <c r="D2" s="3"/>
      <c r="E2" s="1"/>
      <c r="F2" s="1"/>
      <c r="G2" s="1"/>
      <c r="H2" s="1"/>
      <c r="I2" s="1"/>
      <c r="J2" s="10" t="s">
        <v>18</v>
      </c>
      <c r="K2" s="10" t="s">
        <v>17</v>
      </c>
      <c r="L2" s="5" t="s">
        <v>4</v>
      </c>
      <c r="M2" s="8" t="s">
        <v>5</v>
      </c>
      <c r="O2" t="s">
        <v>22</v>
      </c>
      <c r="P2" t="s">
        <v>23</v>
      </c>
      <c r="Q2" t="s">
        <v>24</v>
      </c>
      <c r="R2" t="s">
        <v>25</v>
      </c>
    </row>
    <row r="3" spans="1:18" x14ac:dyDescent="0.25">
      <c r="A3" s="1" t="s">
        <v>0</v>
      </c>
      <c r="B3" s="1" t="s">
        <v>1</v>
      </c>
      <c r="C3" s="2">
        <v>0</v>
      </c>
      <c r="D3" s="3">
        <v>44942</v>
      </c>
      <c r="E3" s="1" t="s">
        <v>2</v>
      </c>
      <c r="F3" s="1" t="s">
        <v>3</v>
      </c>
      <c r="G3" s="2">
        <v>0</v>
      </c>
      <c r="H3" s="2">
        <v>1</v>
      </c>
      <c r="I3" s="2"/>
      <c r="J3" s="6">
        <v>1</v>
      </c>
      <c r="K3" s="6">
        <v>0</v>
      </c>
      <c r="L3" s="6">
        <f>K3*0.6</f>
        <v>0</v>
      </c>
      <c r="M3" s="9">
        <f>SUM(J3,L3)</f>
        <v>1</v>
      </c>
      <c r="O3" s="30">
        <f>H3*60</f>
        <v>60</v>
      </c>
      <c r="P3" s="32">
        <f>J3</f>
        <v>1</v>
      </c>
      <c r="Q3" s="19">
        <f>K3</f>
        <v>0</v>
      </c>
      <c r="R3" s="31">
        <f>Q3*60</f>
        <v>0</v>
      </c>
    </row>
    <row r="4" spans="1:18" x14ac:dyDescent="0.25">
      <c r="A4" s="1" t="s">
        <v>0</v>
      </c>
      <c r="B4" s="1" t="s">
        <v>1</v>
      </c>
      <c r="C4" s="2">
        <v>0</v>
      </c>
      <c r="D4" s="3">
        <v>44943</v>
      </c>
      <c r="E4" s="1" t="s">
        <v>2</v>
      </c>
      <c r="F4" s="1" t="s">
        <v>3</v>
      </c>
      <c r="G4" s="2">
        <v>0</v>
      </c>
      <c r="H4" s="2">
        <v>0.77</v>
      </c>
      <c r="I4" s="2"/>
      <c r="J4" s="6"/>
      <c r="K4" s="6">
        <v>0.77</v>
      </c>
      <c r="L4" s="6">
        <f t="shared" ref="L4:L39" si="0">K4*0.6</f>
        <v>0.46199999999999997</v>
      </c>
      <c r="M4" s="9">
        <f t="shared" ref="M4:M39" si="1">SUM(J4,L4)</f>
        <v>0.46199999999999997</v>
      </c>
      <c r="O4" s="30">
        <f t="shared" ref="O4:O38" si="2">H4*60</f>
        <v>46.2</v>
      </c>
      <c r="P4" s="32">
        <f t="shared" ref="P4:P39" si="3">J4</f>
        <v>0</v>
      </c>
      <c r="Q4" s="19">
        <f t="shared" ref="Q4:Q39" si="4">K4</f>
        <v>0.77</v>
      </c>
      <c r="R4" s="19">
        <f t="shared" ref="R4:R39" si="5">Q4*60</f>
        <v>46.2</v>
      </c>
    </row>
    <row r="5" spans="1:18" x14ac:dyDescent="0.25">
      <c r="A5" s="1" t="s">
        <v>0</v>
      </c>
      <c r="B5" s="1" t="s">
        <v>1</v>
      </c>
      <c r="C5" s="2">
        <v>0</v>
      </c>
      <c r="D5" s="3">
        <v>44945</v>
      </c>
      <c r="E5" s="1" t="s">
        <v>2</v>
      </c>
      <c r="F5" s="1" t="s">
        <v>3</v>
      </c>
      <c r="G5" s="2">
        <v>0</v>
      </c>
      <c r="H5" s="2">
        <v>0.88</v>
      </c>
      <c r="I5" s="2"/>
      <c r="J5" s="6"/>
      <c r="K5" s="6">
        <v>0.88</v>
      </c>
      <c r="L5" s="6">
        <f t="shared" si="0"/>
        <v>0.52800000000000002</v>
      </c>
      <c r="M5" s="9">
        <f t="shared" si="1"/>
        <v>0.52800000000000002</v>
      </c>
      <c r="O5" s="30">
        <f t="shared" si="2"/>
        <v>52.8</v>
      </c>
      <c r="P5" s="32">
        <f t="shared" si="3"/>
        <v>0</v>
      </c>
      <c r="Q5" s="19">
        <f t="shared" si="4"/>
        <v>0.88</v>
      </c>
      <c r="R5" s="19">
        <f t="shared" si="5"/>
        <v>52.8</v>
      </c>
    </row>
    <row r="6" spans="1:18" x14ac:dyDescent="0.25">
      <c r="A6" s="1" t="s">
        <v>0</v>
      </c>
      <c r="B6" s="1" t="s">
        <v>1</v>
      </c>
      <c r="C6" s="2">
        <v>0</v>
      </c>
      <c r="D6" s="3">
        <v>44946</v>
      </c>
      <c r="E6" s="1" t="s">
        <v>2</v>
      </c>
      <c r="F6" s="1" t="s">
        <v>3</v>
      </c>
      <c r="G6" s="2">
        <v>0</v>
      </c>
      <c r="H6" s="2">
        <v>0.77</v>
      </c>
      <c r="I6" s="2"/>
      <c r="J6" s="6"/>
      <c r="K6" s="6">
        <v>0.77</v>
      </c>
      <c r="L6" s="6">
        <f t="shared" si="0"/>
        <v>0.46199999999999997</v>
      </c>
      <c r="M6" s="9">
        <f t="shared" si="1"/>
        <v>0.46199999999999997</v>
      </c>
      <c r="O6" s="30">
        <f t="shared" si="2"/>
        <v>46.2</v>
      </c>
      <c r="P6" s="32">
        <f t="shared" si="3"/>
        <v>0</v>
      </c>
      <c r="Q6" s="19">
        <f t="shared" si="4"/>
        <v>0.77</v>
      </c>
      <c r="R6" s="19">
        <f t="shared" si="5"/>
        <v>46.2</v>
      </c>
    </row>
    <row r="7" spans="1:18" x14ac:dyDescent="0.25">
      <c r="A7" s="1" t="s">
        <v>0</v>
      </c>
      <c r="B7" s="1" t="s">
        <v>1</v>
      </c>
      <c r="C7" s="2">
        <v>0</v>
      </c>
      <c r="D7" s="3">
        <v>44949</v>
      </c>
      <c r="E7" s="1" t="s">
        <v>2</v>
      </c>
      <c r="F7" s="1" t="s">
        <v>3</v>
      </c>
      <c r="G7" s="2">
        <v>0</v>
      </c>
      <c r="H7" s="2">
        <v>1.07</v>
      </c>
      <c r="I7" s="2"/>
      <c r="J7" s="6">
        <v>1</v>
      </c>
      <c r="K7" s="6">
        <v>7.0000000000000007E-2</v>
      </c>
      <c r="L7" s="6">
        <f t="shared" si="0"/>
        <v>4.2000000000000003E-2</v>
      </c>
      <c r="M7" s="9">
        <f t="shared" si="1"/>
        <v>1.042</v>
      </c>
      <c r="O7" s="30">
        <f t="shared" si="2"/>
        <v>64.2</v>
      </c>
      <c r="P7" s="32">
        <f t="shared" si="3"/>
        <v>1</v>
      </c>
      <c r="Q7" s="19">
        <f t="shared" si="4"/>
        <v>7.0000000000000007E-2</v>
      </c>
      <c r="R7" s="19">
        <f t="shared" si="5"/>
        <v>4.2</v>
      </c>
    </row>
    <row r="8" spans="1:18" x14ac:dyDescent="0.25">
      <c r="A8" s="1" t="s">
        <v>0</v>
      </c>
      <c r="B8" s="1" t="s">
        <v>1</v>
      </c>
      <c r="C8" s="2">
        <v>0</v>
      </c>
      <c r="D8" s="3">
        <v>44950</v>
      </c>
      <c r="E8" s="1" t="s">
        <v>2</v>
      </c>
      <c r="F8" s="1" t="s">
        <v>3</v>
      </c>
      <c r="G8" s="2">
        <v>0</v>
      </c>
      <c r="H8" s="2">
        <v>1.28</v>
      </c>
      <c r="I8" s="2"/>
      <c r="J8" s="6">
        <v>1</v>
      </c>
      <c r="K8" s="6">
        <v>0.28000000000000003</v>
      </c>
      <c r="L8" s="6">
        <f t="shared" si="0"/>
        <v>0.16800000000000001</v>
      </c>
      <c r="M8" s="9">
        <f t="shared" si="1"/>
        <v>1.1679999999999999</v>
      </c>
      <c r="O8" s="30">
        <f t="shared" si="2"/>
        <v>76.8</v>
      </c>
      <c r="P8" s="32">
        <f t="shared" si="3"/>
        <v>1</v>
      </c>
      <c r="Q8" s="19">
        <f t="shared" si="4"/>
        <v>0.28000000000000003</v>
      </c>
      <c r="R8" s="19">
        <f t="shared" si="5"/>
        <v>16.8</v>
      </c>
    </row>
    <row r="9" spans="1:18" x14ac:dyDescent="0.25">
      <c r="A9" s="1" t="s">
        <v>0</v>
      </c>
      <c r="B9" s="1" t="s">
        <v>1</v>
      </c>
      <c r="C9" s="2">
        <v>0</v>
      </c>
      <c r="D9" s="3">
        <v>44951</v>
      </c>
      <c r="E9" s="1" t="s">
        <v>2</v>
      </c>
      <c r="F9" s="1" t="s">
        <v>3</v>
      </c>
      <c r="G9" s="2">
        <v>0</v>
      </c>
      <c r="H9" s="2">
        <v>0.5</v>
      </c>
      <c r="I9" s="2"/>
      <c r="J9" s="6"/>
      <c r="K9" s="6">
        <v>0.5</v>
      </c>
      <c r="L9" s="6">
        <f t="shared" si="0"/>
        <v>0.3</v>
      </c>
      <c r="M9" s="9">
        <f t="shared" si="1"/>
        <v>0.3</v>
      </c>
      <c r="O9" s="30">
        <f t="shared" si="2"/>
        <v>30</v>
      </c>
      <c r="P9" s="32">
        <f t="shared" si="3"/>
        <v>0</v>
      </c>
      <c r="Q9" s="19">
        <f t="shared" si="4"/>
        <v>0.5</v>
      </c>
      <c r="R9" s="19">
        <f t="shared" si="5"/>
        <v>30</v>
      </c>
    </row>
    <row r="10" spans="1:18" x14ac:dyDescent="0.25">
      <c r="A10" s="1" t="s">
        <v>0</v>
      </c>
      <c r="B10" s="1" t="s">
        <v>1</v>
      </c>
      <c r="C10" s="2">
        <v>0</v>
      </c>
      <c r="D10" s="3">
        <v>44952</v>
      </c>
      <c r="E10" s="1" t="s">
        <v>2</v>
      </c>
      <c r="F10" s="1" t="s">
        <v>3</v>
      </c>
      <c r="G10" s="2">
        <v>0</v>
      </c>
      <c r="H10" s="2">
        <v>0.47</v>
      </c>
      <c r="I10" s="2"/>
      <c r="J10" s="6"/>
      <c r="K10" s="6">
        <v>0.47</v>
      </c>
      <c r="L10" s="6">
        <f t="shared" si="0"/>
        <v>0.28199999999999997</v>
      </c>
      <c r="M10" s="9">
        <f t="shared" si="1"/>
        <v>0.28199999999999997</v>
      </c>
      <c r="O10" s="30">
        <f t="shared" si="2"/>
        <v>28.2</v>
      </c>
      <c r="P10" s="32">
        <f t="shared" si="3"/>
        <v>0</v>
      </c>
      <c r="Q10" s="19">
        <f t="shared" si="4"/>
        <v>0.47</v>
      </c>
      <c r="R10" s="19">
        <f t="shared" si="5"/>
        <v>28.2</v>
      </c>
    </row>
    <row r="11" spans="1:18" x14ac:dyDescent="0.25">
      <c r="A11" s="1" t="s">
        <v>0</v>
      </c>
      <c r="B11" s="1" t="s">
        <v>1</v>
      </c>
      <c r="C11" s="2">
        <v>0</v>
      </c>
      <c r="D11" s="3">
        <v>44953</v>
      </c>
      <c r="E11" s="1" t="s">
        <v>2</v>
      </c>
      <c r="F11" s="1" t="s">
        <v>3</v>
      </c>
      <c r="G11" s="2">
        <v>0</v>
      </c>
      <c r="H11" s="2">
        <v>0.56999999999999995</v>
      </c>
      <c r="I11" s="2"/>
      <c r="J11" s="6"/>
      <c r="K11" s="6">
        <v>0.56999999999999995</v>
      </c>
      <c r="L11" s="6">
        <f t="shared" si="0"/>
        <v>0.34199999999999997</v>
      </c>
      <c r="M11" s="9">
        <f t="shared" si="1"/>
        <v>0.34199999999999997</v>
      </c>
      <c r="O11" s="30">
        <f t="shared" si="2"/>
        <v>34.199999999999996</v>
      </c>
      <c r="P11" s="32">
        <f t="shared" si="3"/>
        <v>0</v>
      </c>
      <c r="Q11" s="19">
        <f t="shared" si="4"/>
        <v>0.56999999999999995</v>
      </c>
      <c r="R11" s="19">
        <f t="shared" si="5"/>
        <v>34.199999999999996</v>
      </c>
    </row>
    <row r="12" spans="1:18" x14ac:dyDescent="0.25">
      <c r="A12" s="1" t="s">
        <v>0</v>
      </c>
      <c r="B12" s="1" t="s">
        <v>1</v>
      </c>
      <c r="C12" s="2">
        <v>0</v>
      </c>
      <c r="D12" s="3">
        <v>44957</v>
      </c>
      <c r="E12" s="1" t="s">
        <v>2</v>
      </c>
      <c r="F12" s="1" t="s">
        <v>3</v>
      </c>
      <c r="G12" s="2">
        <v>0</v>
      </c>
      <c r="H12" s="2">
        <v>0.4</v>
      </c>
      <c r="I12" s="2"/>
      <c r="J12" s="6"/>
      <c r="K12" s="6">
        <v>0.4</v>
      </c>
      <c r="L12" s="6">
        <f t="shared" si="0"/>
        <v>0.24</v>
      </c>
      <c r="M12" s="9">
        <f t="shared" si="1"/>
        <v>0.24</v>
      </c>
      <c r="O12" s="30">
        <f t="shared" si="2"/>
        <v>24</v>
      </c>
      <c r="P12" s="32">
        <f t="shared" si="3"/>
        <v>0</v>
      </c>
      <c r="Q12" s="19">
        <f t="shared" si="4"/>
        <v>0.4</v>
      </c>
      <c r="R12" s="19">
        <f t="shared" si="5"/>
        <v>24</v>
      </c>
    </row>
    <row r="13" spans="1:18" x14ac:dyDescent="0.25">
      <c r="A13" s="1" t="s">
        <v>0</v>
      </c>
      <c r="B13" s="1" t="s">
        <v>1</v>
      </c>
      <c r="C13" s="2">
        <v>0</v>
      </c>
      <c r="D13" s="3">
        <v>44958</v>
      </c>
      <c r="E13" s="1" t="s">
        <v>2</v>
      </c>
      <c r="F13" s="1" t="s">
        <v>3</v>
      </c>
      <c r="G13" s="2">
        <v>0</v>
      </c>
      <c r="H13" s="2">
        <v>0.65</v>
      </c>
      <c r="I13" s="2"/>
      <c r="J13" s="6"/>
      <c r="K13" s="6">
        <v>0.65</v>
      </c>
      <c r="L13" s="6">
        <f t="shared" si="0"/>
        <v>0.39</v>
      </c>
      <c r="M13" s="9">
        <f t="shared" si="1"/>
        <v>0.39</v>
      </c>
      <c r="O13" s="30">
        <f t="shared" si="2"/>
        <v>39</v>
      </c>
      <c r="P13" s="32">
        <f t="shared" si="3"/>
        <v>0</v>
      </c>
      <c r="Q13" s="19">
        <f t="shared" si="4"/>
        <v>0.65</v>
      </c>
      <c r="R13" s="19">
        <f t="shared" si="5"/>
        <v>39</v>
      </c>
    </row>
    <row r="14" spans="1:18" x14ac:dyDescent="0.25">
      <c r="A14" s="1" t="s">
        <v>0</v>
      </c>
      <c r="B14" s="1" t="s">
        <v>1</v>
      </c>
      <c r="C14" s="2">
        <v>0</v>
      </c>
      <c r="D14" s="3">
        <v>44959</v>
      </c>
      <c r="E14" s="1" t="s">
        <v>2</v>
      </c>
      <c r="F14" s="1" t="s">
        <v>3</v>
      </c>
      <c r="G14" s="2">
        <v>0</v>
      </c>
      <c r="H14" s="2">
        <v>0.45</v>
      </c>
      <c r="I14" s="2"/>
      <c r="J14" s="6"/>
      <c r="K14" s="6">
        <v>0.45</v>
      </c>
      <c r="L14" s="6">
        <f t="shared" si="0"/>
        <v>0.27</v>
      </c>
      <c r="M14" s="9">
        <f t="shared" si="1"/>
        <v>0.27</v>
      </c>
      <c r="O14" s="30">
        <f t="shared" si="2"/>
        <v>27</v>
      </c>
      <c r="P14" s="32">
        <f t="shared" si="3"/>
        <v>0</v>
      </c>
      <c r="Q14" s="19">
        <f t="shared" si="4"/>
        <v>0.45</v>
      </c>
      <c r="R14" s="19">
        <f t="shared" si="5"/>
        <v>27</v>
      </c>
    </row>
    <row r="15" spans="1:18" x14ac:dyDescent="0.25">
      <c r="A15" s="1" t="s">
        <v>0</v>
      </c>
      <c r="B15" s="1" t="s">
        <v>1</v>
      </c>
      <c r="C15" s="2">
        <v>0</v>
      </c>
      <c r="D15" s="3">
        <v>44960</v>
      </c>
      <c r="E15" s="1" t="s">
        <v>2</v>
      </c>
      <c r="F15" s="1" t="s">
        <v>3</v>
      </c>
      <c r="G15" s="2">
        <v>0</v>
      </c>
      <c r="H15" s="2">
        <v>1.32</v>
      </c>
      <c r="I15" s="2"/>
      <c r="J15" s="6">
        <v>1</v>
      </c>
      <c r="K15" s="6">
        <v>0.32</v>
      </c>
      <c r="L15" s="6">
        <f t="shared" si="0"/>
        <v>0.192</v>
      </c>
      <c r="M15" s="9">
        <f t="shared" si="1"/>
        <v>1.1919999999999999</v>
      </c>
      <c r="O15" s="30">
        <f t="shared" si="2"/>
        <v>79.2</v>
      </c>
      <c r="P15" s="32">
        <f t="shared" si="3"/>
        <v>1</v>
      </c>
      <c r="Q15" s="19">
        <f t="shared" si="4"/>
        <v>0.32</v>
      </c>
      <c r="R15" s="19">
        <f t="shared" si="5"/>
        <v>19.2</v>
      </c>
    </row>
    <row r="16" spans="1:18" x14ac:dyDescent="0.25">
      <c r="A16" s="1" t="s">
        <v>0</v>
      </c>
      <c r="B16" s="1" t="s">
        <v>1</v>
      </c>
      <c r="C16" s="2">
        <v>0</v>
      </c>
      <c r="D16" s="3">
        <v>44961</v>
      </c>
      <c r="E16" s="1" t="s">
        <v>2</v>
      </c>
      <c r="F16" s="1" t="s">
        <v>3</v>
      </c>
      <c r="G16" s="2">
        <v>0</v>
      </c>
      <c r="H16" s="2">
        <v>0.56999999999999995</v>
      </c>
      <c r="I16" s="2"/>
      <c r="J16" s="6"/>
      <c r="K16" s="6">
        <v>0.56999999999999995</v>
      </c>
      <c r="L16" s="6">
        <f t="shared" si="0"/>
        <v>0.34199999999999997</v>
      </c>
      <c r="M16" s="9">
        <f t="shared" si="1"/>
        <v>0.34199999999999997</v>
      </c>
      <c r="O16" s="30">
        <f t="shared" si="2"/>
        <v>34.199999999999996</v>
      </c>
      <c r="P16" s="32">
        <f t="shared" si="3"/>
        <v>0</v>
      </c>
      <c r="Q16" s="19">
        <f t="shared" si="4"/>
        <v>0.56999999999999995</v>
      </c>
      <c r="R16" s="19">
        <f t="shared" si="5"/>
        <v>34.199999999999996</v>
      </c>
    </row>
    <row r="17" spans="1:18" x14ac:dyDescent="0.25">
      <c r="A17" s="1" t="s">
        <v>0</v>
      </c>
      <c r="B17" s="1" t="s">
        <v>1</v>
      </c>
      <c r="C17" s="2">
        <v>0</v>
      </c>
      <c r="D17" s="3">
        <v>44963</v>
      </c>
      <c r="E17" s="1" t="s">
        <v>2</v>
      </c>
      <c r="F17" s="1" t="s">
        <v>3</v>
      </c>
      <c r="G17" s="2">
        <v>0</v>
      </c>
      <c r="H17" s="2">
        <v>0.52</v>
      </c>
      <c r="I17" s="2"/>
      <c r="J17" s="6"/>
      <c r="K17" s="6">
        <v>0.52</v>
      </c>
      <c r="L17" s="6">
        <f t="shared" si="0"/>
        <v>0.312</v>
      </c>
      <c r="M17" s="9">
        <f t="shared" si="1"/>
        <v>0.312</v>
      </c>
      <c r="O17" s="30">
        <f t="shared" si="2"/>
        <v>31.200000000000003</v>
      </c>
      <c r="P17" s="32">
        <f t="shared" si="3"/>
        <v>0</v>
      </c>
      <c r="Q17" s="19">
        <f t="shared" si="4"/>
        <v>0.52</v>
      </c>
      <c r="R17" s="19">
        <f t="shared" si="5"/>
        <v>31.200000000000003</v>
      </c>
    </row>
    <row r="18" spans="1:18" x14ac:dyDescent="0.25">
      <c r="A18" s="1" t="s">
        <v>0</v>
      </c>
      <c r="B18" s="1" t="s">
        <v>1</v>
      </c>
      <c r="C18" s="2">
        <v>0</v>
      </c>
      <c r="D18" s="3">
        <v>44964</v>
      </c>
      <c r="E18" s="1" t="s">
        <v>2</v>
      </c>
      <c r="F18" s="1" t="s">
        <v>3</v>
      </c>
      <c r="G18" s="2">
        <v>0</v>
      </c>
      <c r="H18" s="2">
        <v>0.73</v>
      </c>
      <c r="I18" s="2"/>
      <c r="J18" s="6"/>
      <c r="K18" s="6">
        <v>0.73</v>
      </c>
      <c r="L18" s="6">
        <f t="shared" si="0"/>
        <v>0.438</v>
      </c>
      <c r="M18" s="9">
        <f t="shared" si="1"/>
        <v>0.438</v>
      </c>
      <c r="O18" s="30">
        <f t="shared" si="2"/>
        <v>43.8</v>
      </c>
      <c r="P18" s="32">
        <f t="shared" si="3"/>
        <v>0</v>
      </c>
      <c r="Q18" s="19">
        <f t="shared" si="4"/>
        <v>0.73</v>
      </c>
      <c r="R18" s="19">
        <f t="shared" si="5"/>
        <v>43.8</v>
      </c>
    </row>
    <row r="19" spans="1:18" x14ac:dyDescent="0.25">
      <c r="A19" s="1" t="s">
        <v>0</v>
      </c>
      <c r="B19" s="1" t="s">
        <v>1</v>
      </c>
      <c r="C19" s="2">
        <v>0</v>
      </c>
      <c r="D19" s="3">
        <v>44966</v>
      </c>
      <c r="E19" s="1" t="s">
        <v>2</v>
      </c>
      <c r="F19" s="1" t="s">
        <v>3</v>
      </c>
      <c r="G19" s="2">
        <v>0</v>
      </c>
      <c r="H19" s="2">
        <v>0.7</v>
      </c>
      <c r="I19" s="2"/>
      <c r="J19" s="6"/>
      <c r="K19" s="6">
        <v>0.7</v>
      </c>
      <c r="L19" s="6">
        <f t="shared" si="0"/>
        <v>0.42</v>
      </c>
      <c r="M19" s="9">
        <f t="shared" si="1"/>
        <v>0.42</v>
      </c>
      <c r="O19" s="30">
        <f t="shared" si="2"/>
        <v>42</v>
      </c>
      <c r="P19" s="32">
        <f t="shared" si="3"/>
        <v>0</v>
      </c>
      <c r="Q19" s="19">
        <f t="shared" si="4"/>
        <v>0.7</v>
      </c>
      <c r="R19" s="19">
        <f t="shared" si="5"/>
        <v>42</v>
      </c>
    </row>
    <row r="20" spans="1:18" x14ac:dyDescent="0.25">
      <c r="A20" s="1" t="s">
        <v>0</v>
      </c>
      <c r="B20" s="1" t="s">
        <v>1</v>
      </c>
      <c r="C20" s="2">
        <v>0</v>
      </c>
      <c r="D20" s="3">
        <v>44967</v>
      </c>
      <c r="E20" s="1" t="s">
        <v>2</v>
      </c>
      <c r="F20" s="1" t="s">
        <v>3</v>
      </c>
      <c r="G20" s="2">
        <v>0</v>
      </c>
      <c r="H20" s="2">
        <v>0.23</v>
      </c>
      <c r="I20" s="2"/>
      <c r="J20" s="6"/>
      <c r="K20" s="6">
        <v>0.23</v>
      </c>
      <c r="L20" s="6">
        <f t="shared" si="0"/>
        <v>0.13800000000000001</v>
      </c>
      <c r="M20" s="9">
        <f t="shared" si="1"/>
        <v>0.13800000000000001</v>
      </c>
      <c r="O20" s="30">
        <f t="shared" si="2"/>
        <v>13.8</v>
      </c>
      <c r="P20" s="32">
        <f t="shared" si="3"/>
        <v>0</v>
      </c>
      <c r="Q20" s="19">
        <f t="shared" si="4"/>
        <v>0.23</v>
      </c>
      <c r="R20" s="19">
        <f t="shared" si="5"/>
        <v>13.8</v>
      </c>
    </row>
    <row r="21" spans="1:18" x14ac:dyDescent="0.25">
      <c r="A21" s="1" t="s">
        <v>0</v>
      </c>
      <c r="B21" s="1" t="s">
        <v>1</v>
      </c>
      <c r="C21" s="2">
        <v>0</v>
      </c>
      <c r="D21" s="3">
        <v>44973</v>
      </c>
      <c r="E21" s="1" t="s">
        <v>2</v>
      </c>
      <c r="F21" s="1" t="s">
        <v>3</v>
      </c>
      <c r="G21" s="2">
        <v>0</v>
      </c>
      <c r="H21" s="2">
        <v>0.4</v>
      </c>
      <c r="I21" s="2"/>
      <c r="J21" s="6"/>
      <c r="K21" s="6">
        <v>0.4</v>
      </c>
      <c r="L21" s="6">
        <f t="shared" si="0"/>
        <v>0.24</v>
      </c>
      <c r="M21" s="9">
        <f t="shared" si="1"/>
        <v>0.24</v>
      </c>
      <c r="O21" s="30">
        <f t="shared" si="2"/>
        <v>24</v>
      </c>
      <c r="P21" s="32">
        <f t="shared" si="3"/>
        <v>0</v>
      </c>
      <c r="Q21" s="19">
        <f t="shared" si="4"/>
        <v>0.4</v>
      </c>
      <c r="R21" s="19">
        <f t="shared" si="5"/>
        <v>24</v>
      </c>
    </row>
    <row r="22" spans="1:18" x14ac:dyDescent="0.25">
      <c r="A22" s="1" t="s">
        <v>0</v>
      </c>
      <c r="B22" s="1" t="s">
        <v>1</v>
      </c>
      <c r="C22" s="2">
        <v>0</v>
      </c>
      <c r="D22" s="3">
        <v>44974</v>
      </c>
      <c r="E22" s="1" t="s">
        <v>2</v>
      </c>
      <c r="F22" s="1" t="s">
        <v>3</v>
      </c>
      <c r="G22" s="2">
        <v>0</v>
      </c>
      <c r="H22" s="2">
        <v>0.77</v>
      </c>
      <c r="I22" s="2"/>
      <c r="J22" s="6"/>
      <c r="K22" s="6">
        <v>0.77</v>
      </c>
      <c r="L22" s="6">
        <f t="shared" si="0"/>
        <v>0.46199999999999997</v>
      </c>
      <c r="M22" s="9">
        <f t="shared" si="1"/>
        <v>0.46199999999999997</v>
      </c>
      <c r="O22" s="30">
        <f t="shared" si="2"/>
        <v>46.2</v>
      </c>
      <c r="P22" s="32">
        <f t="shared" si="3"/>
        <v>0</v>
      </c>
      <c r="Q22" s="19">
        <f t="shared" si="4"/>
        <v>0.77</v>
      </c>
      <c r="R22" s="19">
        <f t="shared" si="5"/>
        <v>46.2</v>
      </c>
    </row>
    <row r="23" spans="1:18" x14ac:dyDescent="0.25">
      <c r="A23" s="1" t="s">
        <v>0</v>
      </c>
      <c r="B23" s="1" t="s">
        <v>1</v>
      </c>
      <c r="C23" s="2">
        <v>0</v>
      </c>
      <c r="D23" s="3">
        <v>44975</v>
      </c>
      <c r="E23" s="1" t="s">
        <v>2</v>
      </c>
      <c r="F23" s="1" t="s">
        <v>3</v>
      </c>
      <c r="G23" s="2">
        <v>0</v>
      </c>
      <c r="H23" s="2">
        <v>0.33</v>
      </c>
      <c r="I23" s="2"/>
      <c r="J23" s="6"/>
      <c r="K23" s="6">
        <v>0.33</v>
      </c>
      <c r="L23" s="6">
        <f t="shared" si="0"/>
        <v>0.19800000000000001</v>
      </c>
      <c r="M23" s="9">
        <f t="shared" si="1"/>
        <v>0.19800000000000001</v>
      </c>
      <c r="O23" s="30">
        <f t="shared" si="2"/>
        <v>19.8</v>
      </c>
      <c r="P23" s="32">
        <f t="shared" si="3"/>
        <v>0</v>
      </c>
      <c r="Q23" s="19">
        <f t="shared" si="4"/>
        <v>0.33</v>
      </c>
      <c r="R23" s="19">
        <f t="shared" si="5"/>
        <v>19.8</v>
      </c>
    </row>
    <row r="24" spans="1:18" x14ac:dyDescent="0.25">
      <c r="A24" s="1" t="s">
        <v>0</v>
      </c>
      <c r="B24" s="1" t="s">
        <v>1</v>
      </c>
      <c r="C24" s="2">
        <v>0</v>
      </c>
      <c r="D24" s="3">
        <v>44979</v>
      </c>
      <c r="E24" s="1" t="s">
        <v>2</v>
      </c>
      <c r="F24" s="1" t="s">
        <v>3</v>
      </c>
      <c r="G24" s="2">
        <v>0</v>
      </c>
      <c r="H24" s="2">
        <v>0.57999999999999996</v>
      </c>
      <c r="I24" s="2"/>
      <c r="J24" s="6"/>
      <c r="K24" s="6">
        <v>0.57999999999999996</v>
      </c>
      <c r="L24" s="6">
        <f t="shared" si="0"/>
        <v>0.34799999999999998</v>
      </c>
      <c r="M24" s="9">
        <f t="shared" si="1"/>
        <v>0.34799999999999998</v>
      </c>
      <c r="O24" s="30">
        <f t="shared" si="2"/>
        <v>34.799999999999997</v>
      </c>
      <c r="P24" s="32">
        <f t="shared" si="3"/>
        <v>0</v>
      </c>
      <c r="Q24" s="19">
        <f t="shared" si="4"/>
        <v>0.57999999999999996</v>
      </c>
      <c r="R24" s="19">
        <f t="shared" si="5"/>
        <v>34.799999999999997</v>
      </c>
    </row>
    <row r="25" spans="1:18" x14ac:dyDescent="0.25">
      <c r="A25" s="1" t="s">
        <v>0</v>
      </c>
      <c r="B25" s="1" t="s">
        <v>1</v>
      </c>
      <c r="C25" s="2">
        <v>0</v>
      </c>
      <c r="D25" s="3">
        <v>44980</v>
      </c>
      <c r="E25" s="1" t="s">
        <v>2</v>
      </c>
      <c r="F25" s="1" t="s">
        <v>3</v>
      </c>
      <c r="G25" s="2">
        <v>0</v>
      </c>
      <c r="H25" s="2">
        <v>1.22</v>
      </c>
      <c r="I25" s="2"/>
      <c r="J25" s="6">
        <v>1</v>
      </c>
      <c r="K25" s="6">
        <v>0.22</v>
      </c>
      <c r="L25" s="6">
        <f t="shared" si="0"/>
        <v>0.13200000000000001</v>
      </c>
      <c r="M25" s="9">
        <f t="shared" si="1"/>
        <v>1.1320000000000001</v>
      </c>
      <c r="O25" s="30">
        <f t="shared" si="2"/>
        <v>73.2</v>
      </c>
      <c r="P25" s="32">
        <f t="shared" si="3"/>
        <v>1</v>
      </c>
      <c r="Q25" s="19">
        <f t="shared" si="4"/>
        <v>0.22</v>
      </c>
      <c r="R25" s="19">
        <f t="shared" si="5"/>
        <v>13.2</v>
      </c>
    </row>
    <row r="26" spans="1:18" x14ac:dyDescent="0.25">
      <c r="A26" s="1" t="s">
        <v>0</v>
      </c>
      <c r="B26" s="1" t="s">
        <v>1</v>
      </c>
      <c r="C26" s="2">
        <v>0</v>
      </c>
      <c r="D26" s="3">
        <v>44981</v>
      </c>
      <c r="E26" s="1" t="s">
        <v>2</v>
      </c>
      <c r="F26" s="1" t="s">
        <v>3</v>
      </c>
      <c r="G26" s="2">
        <v>0</v>
      </c>
      <c r="H26" s="2">
        <v>0.38</v>
      </c>
      <c r="I26" s="2"/>
      <c r="J26" s="6"/>
      <c r="K26" s="6">
        <v>0.38</v>
      </c>
      <c r="L26" s="6">
        <f t="shared" si="0"/>
        <v>0.22799999999999998</v>
      </c>
      <c r="M26" s="9">
        <f t="shared" si="1"/>
        <v>0.22799999999999998</v>
      </c>
      <c r="O26" s="30">
        <f t="shared" si="2"/>
        <v>22.8</v>
      </c>
      <c r="P26" s="32">
        <f t="shared" si="3"/>
        <v>0</v>
      </c>
      <c r="Q26" s="19">
        <f t="shared" si="4"/>
        <v>0.38</v>
      </c>
      <c r="R26" s="19">
        <f t="shared" si="5"/>
        <v>22.8</v>
      </c>
    </row>
    <row r="27" spans="1:18" x14ac:dyDescent="0.25">
      <c r="A27" s="1" t="s">
        <v>0</v>
      </c>
      <c r="B27" s="1" t="s">
        <v>1</v>
      </c>
      <c r="C27" s="2">
        <v>0</v>
      </c>
      <c r="D27" s="3">
        <v>44982</v>
      </c>
      <c r="E27" s="1" t="s">
        <v>2</v>
      </c>
      <c r="F27" s="1" t="s">
        <v>3</v>
      </c>
      <c r="G27" s="2">
        <v>0</v>
      </c>
      <c r="H27" s="2">
        <v>0.18</v>
      </c>
      <c r="I27" s="2"/>
      <c r="J27" s="6"/>
      <c r="K27" s="6">
        <v>0.18</v>
      </c>
      <c r="L27" s="6">
        <f t="shared" si="0"/>
        <v>0.108</v>
      </c>
      <c r="M27" s="9">
        <f t="shared" si="1"/>
        <v>0.108</v>
      </c>
      <c r="O27" s="30">
        <f t="shared" si="2"/>
        <v>10.799999999999999</v>
      </c>
      <c r="P27" s="32">
        <f t="shared" si="3"/>
        <v>0</v>
      </c>
      <c r="Q27" s="19">
        <f t="shared" si="4"/>
        <v>0.18</v>
      </c>
      <c r="R27" s="19">
        <f t="shared" si="5"/>
        <v>10.799999999999999</v>
      </c>
    </row>
    <row r="28" spans="1:18" x14ac:dyDescent="0.25">
      <c r="A28" s="1" t="s">
        <v>0</v>
      </c>
      <c r="B28" s="1" t="s">
        <v>1</v>
      </c>
      <c r="C28" s="2">
        <v>0</v>
      </c>
      <c r="D28" s="3">
        <v>44984</v>
      </c>
      <c r="E28" s="1" t="s">
        <v>2</v>
      </c>
      <c r="F28" s="1" t="s">
        <v>3</v>
      </c>
      <c r="G28" s="2">
        <v>0</v>
      </c>
      <c r="H28" s="2">
        <v>0.47</v>
      </c>
      <c r="I28" s="2"/>
      <c r="J28" s="6"/>
      <c r="K28" s="6">
        <v>0.47</v>
      </c>
      <c r="L28" s="6">
        <f t="shared" si="0"/>
        <v>0.28199999999999997</v>
      </c>
      <c r="M28" s="9">
        <f t="shared" si="1"/>
        <v>0.28199999999999997</v>
      </c>
      <c r="O28" s="30">
        <f t="shared" si="2"/>
        <v>28.2</v>
      </c>
      <c r="P28" s="32">
        <f t="shared" si="3"/>
        <v>0</v>
      </c>
      <c r="Q28" s="19">
        <f t="shared" si="4"/>
        <v>0.47</v>
      </c>
      <c r="R28" s="19">
        <f t="shared" si="5"/>
        <v>28.2</v>
      </c>
    </row>
    <row r="29" spans="1:18" x14ac:dyDescent="0.25">
      <c r="A29" s="1" t="s">
        <v>0</v>
      </c>
      <c r="B29" s="1" t="s">
        <v>1</v>
      </c>
      <c r="C29" s="2">
        <v>0</v>
      </c>
      <c r="D29" s="3">
        <v>44986</v>
      </c>
      <c r="E29" s="1" t="s">
        <v>2</v>
      </c>
      <c r="F29" s="1" t="s">
        <v>3</v>
      </c>
      <c r="G29" s="2">
        <v>0</v>
      </c>
      <c r="H29" s="2">
        <v>1.27</v>
      </c>
      <c r="I29" s="2"/>
      <c r="J29" s="6">
        <v>1</v>
      </c>
      <c r="K29" s="6">
        <v>0.27</v>
      </c>
      <c r="L29" s="6">
        <f t="shared" si="0"/>
        <v>0.16200000000000001</v>
      </c>
      <c r="M29" s="9">
        <f t="shared" si="1"/>
        <v>1.1619999999999999</v>
      </c>
      <c r="O29" s="30">
        <f t="shared" si="2"/>
        <v>76.2</v>
      </c>
      <c r="P29" s="32">
        <f t="shared" si="3"/>
        <v>1</v>
      </c>
      <c r="Q29" s="19">
        <f t="shared" si="4"/>
        <v>0.27</v>
      </c>
      <c r="R29" s="19">
        <f t="shared" si="5"/>
        <v>16.200000000000003</v>
      </c>
    </row>
    <row r="30" spans="1:18" x14ac:dyDescent="0.25">
      <c r="A30" s="1" t="s">
        <v>0</v>
      </c>
      <c r="B30" s="1" t="s">
        <v>1</v>
      </c>
      <c r="C30" s="2">
        <v>0</v>
      </c>
      <c r="D30" s="3">
        <v>44987</v>
      </c>
      <c r="E30" s="1" t="s">
        <v>2</v>
      </c>
      <c r="F30" s="1" t="s">
        <v>3</v>
      </c>
      <c r="G30" s="2">
        <v>0</v>
      </c>
      <c r="H30" s="2">
        <v>1.45</v>
      </c>
      <c r="I30" s="2"/>
      <c r="J30" s="6">
        <v>1</v>
      </c>
      <c r="K30" s="6">
        <v>0.45</v>
      </c>
      <c r="L30" s="6">
        <f t="shared" si="0"/>
        <v>0.27</v>
      </c>
      <c r="M30" s="9">
        <f t="shared" si="1"/>
        <v>1.27</v>
      </c>
      <c r="O30" s="30">
        <f t="shared" si="2"/>
        <v>87</v>
      </c>
      <c r="P30" s="32">
        <f t="shared" si="3"/>
        <v>1</v>
      </c>
      <c r="Q30" s="19">
        <f t="shared" si="4"/>
        <v>0.45</v>
      </c>
      <c r="R30" s="19">
        <f t="shared" si="5"/>
        <v>27</v>
      </c>
    </row>
    <row r="31" spans="1:18" x14ac:dyDescent="0.25">
      <c r="A31" s="1" t="s">
        <v>0</v>
      </c>
      <c r="B31" s="1" t="s">
        <v>1</v>
      </c>
      <c r="C31" s="2">
        <v>0</v>
      </c>
      <c r="D31" s="3">
        <v>44988</v>
      </c>
      <c r="E31" s="1" t="s">
        <v>2</v>
      </c>
      <c r="F31" s="1" t="s">
        <v>3</v>
      </c>
      <c r="G31" s="2">
        <v>0</v>
      </c>
      <c r="H31" s="2">
        <v>1</v>
      </c>
      <c r="I31" s="2"/>
      <c r="J31" s="6">
        <v>1</v>
      </c>
      <c r="K31" s="6">
        <v>0</v>
      </c>
      <c r="L31" s="6">
        <f t="shared" si="0"/>
        <v>0</v>
      </c>
      <c r="M31" s="9">
        <f t="shared" si="1"/>
        <v>1</v>
      </c>
      <c r="O31" s="30">
        <f t="shared" si="2"/>
        <v>60</v>
      </c>
      <c r="P31" s="32">
        <f t="shared" si="3"/>
        <v>1</v>
      </c>
      <c r="Q31" s="19">
        <f t="shared" si="4"/>
        <v>0</v>
      </c>
      <c r="R31" s="19">
        <f t="shared" si="5"/>
        <v>0</v>
      </c>
    </row>
    <row r="32" spans="1:18" x14ac:dyDescent="0.25">
      <c r="A32" s="1" t="s">
        <v>0</v>
      </c>
      <c r="B32" s="1" t="s">
        <v>1</v>
      </c>
      <c r="C32" s="2">
        <v>0</v>
      </c>
      <c r="D32" s="3">
        <v>44991</v>
      </c>
      <c r="E32" s="1" t="s">
        <v>2</v>
      </c>
      <c r="F32" s="1" t="s">
        <v>3</v>
      </c>
      <c r="G32" s="2">
        <v>0</v>
      </c>
      <c r="H32" s="2">
        <v>1.05</v>
      </c>
      <c r="I32" s="2"/>
      <c r="J32" s="6">
        <v>1</v>
      </c>
      <c r="K32" s="6">
        <v>0.05</v>
      </c>
      <c r="L32" s="6">
        <f t="shared" si="0"/>
        <v>0.03</v>
      </c>
      <c r="M32" s="9">
        <f t="shared" si="1"/>
        <v>1.03</v>
      </c>
      <c r="O32" s="30">
        <f t="shared" si="2"/>
        <v>63</v>
      </c>
      <c r="P32" s="32">
        <f t="shared" si="3"/>
        <v>1</v>
      </c>
      <c r="Q32" s="19">
        <f t="shared" si="4"/>
        <v>0.05</v>
      </c>
      <c r="R32" s="19">
        <f t="shared" si="5"/>
        <v>3</v>
      </c>
    </row>
    <row r="33" spans="1:20" x14ac:dyDescent="0.25">
      <c r="A33" s="1" t="s">
        <v>0</v>
      </c>
      <c r="B33" s="1" t="s">
        <v>1</v>
      </c>
      <c r="C33" s="2">
        <v>0</v>
      </c>
      <c r="D33" s="3">
        <v>44992</v>
      </c>
      <c r="E33" s="1" t="s">
        <v>2</v>
      </c>
      <c r="F33" s="1" t="s">
        <v>3</v>
      </c>
      <c r="G33" s="2">
        <v>0</v>
      </c>
      <c r="H33" s="2">
        <v>0.68</v>
      </c>
      <c r="I33" s="2"/>
      <c r="J33" s="6"/>
      <c r="K33" s="6">
        <v>0.68</v>
      </c>
      <c r="L33" s="6">
        <f t="shared" si="0"/>
        <v>0.40800000000000003</v>
      </c>
      <c r="M33" s="9">
        <f t="shared" si="1"/>
        <v>0.40800000000000003</v>
      </c>
      <c r="O33" s="30">
        <f t="shared" si="2"/>
        <v>40.800000000000004</v>
      </c>
      <c r="P33" s="32">
        <f t="shared" si="3"/>
        <v>0</v>
      </c>
      <c r="Q33" s="19">
        <f t="shared" si="4"/>
        <v>0.68</v>
      </c>
      <c r="R33" s="19">
        <f t="shared" si="5"/>
        <v>40.800000000000004</v>
      </c>
    </row>
    <row r="34" spans="1:20" x14ac:dyDescent="0.25">
      <c r="A34" s="1" t="s">
        <v>0</v>
      </c>
      <c r="B34" s="1" t="s">
        <v>1</v>
      </c>
      <c r="C34" s="2">
        <v>0</v>
      </c>
      <c r="D34" s="3">
        <v>44993</v>
      </c>
      <c r="E34" s="1" t="s">
        <v>2</v>
      </c>
      <c r="F34" s="1" t="s">
        <v>3</v>
      </c>
      <c r="G34" s="2">
        <v>0</v>
      </c>
      <c r="H34" s="2">
        <v>0.7</v>
      </c>
      <c r="I34" s="2"/>
      <c r="J34" s="6"/>
      <c r="K34" s="6">
        <v>0.7</v>
      </c>
      <c r="L34" s="6">
        <f t="shared" si="0"/>
        <v>0.42</v>
      </c>
      <c r="M34" s="9">
        <f t="shared" si="1"/>
        <v>0.42</v>
      </c>
      <c r="O34" s="30">
        <f t="shared" si="2"/>
        <v>42</v>
      </c>
      <c r="P34" s="32">
        <f t="shared" si="3"/>
        <v>0</v>
      </c>
      <c r="Q34" s="19">
        <f t="shared" si="4"/>
        <v>0.7</v>
      </c>
      <c r="R34" s="19">
        <f t="shared" si="5"/>
        <v>42</v>
      </c>
    </row>
    <row r="35" spans="1:20" x14ac:dyDescent="0.25">
      <c r="A35" s="1" t="s">
        <v>0</v>
      </c>
      <c r="B35" s="1" t="s">
        <v>1</v>
      </c>
      <c r="C35" s="2">
        <v>0</v>
      </c>
      <c r="D35" s="3">
        <v>44994</v>
      </c>
      <c r="E35" s="1" t="s">
        <v>2</v>
      </c>
      <c r="F35" s="1" t="s">
        <v>3</v>
      </c>
      <c r="G35" s="2">
        <v>0</v>
      </c>
      <c r="H35" s="2">
        <v>0.78</v>
      </c>
      <c r="I35" s="2"/>
      <c r="J35" s="6"/>
      <c r="K35" s="20">
        <v>0.78</v>
      </c>
      <c r="L35" s="20">
        <f>K35*0.6</f>
        <v>0.46799999999999997</v>
      </c>
      <c r="M35" s="9">
        <f t="shared" si="1"/>
        <v>0.46799999999999997</v>
      </c>
      <c r="O35" s="30">
        <f t="shared" si="2"/>
        <v>46.800000000000004</v>
      </c>
      <c r="P35" s="32">
        <f t="shared" si="3"/>
        <v>0</v>
      </c>
      <c r="Q35" s="19">
        <f t="shared" si="4"/>
        <v>0.78</v>
      </c>
      <c r="R35" s="19">
        <f t="shared" si="5"/>
        <v>46.800000000000004</v>
      </c>
    </row>
    <row r="36" spans="1:20" x14ac:dyDescent="0.25">
      <c r="A36" s="1" t="s">
        <v>0</v>
      </c>
      <c r="B36" s="1" t="s">
        <v>1</v>
      </c>
      <c r="C36" s="2">
        <v>0</v>
      </c>
      <c r="D36" s="3">
        <v>44995</v>
      </c>
      <c r="E36" s="1" t="s">
        <v>2</v>
      </c>
      <c r="F36" s="1" t="s">
        <v>3</v>
      </c>
      <c r="G36" s="2">
        <v>0</v>
      </c>
      <c r="H36" s="2">
        <v>1.75</v>
      </c>
      <c r="I36" s="2"/>
      <c r="J36" s="6">
        <v>1</v>
      </c>
      <c r="K36" s="6">
        <v>0.75</v>
      </c>
      <c r="L36" s="6">
        <f t="shared" si="0"/>
        <v>0.44999999999999996</v>
      </c>
      <c r="M36" s="9">
        <f t="shared" si="1"/>
        <v>1.45</v>
      </c>
      <c r="O36" s="30">
        <f t="shared" si="2"/>
        <v>105</v>
      </c>
      <c r="P36" s="32">
        <f t="shared" si="3"/>
        <v>1</v>
      </c>
      <c r="Q36" s="19">
        <f t="shared" si="4"/>
        <v>0.75</v>
      </c>
      <c r="R36" s="19">
        <f t="shared" si="5"/>
        <v>45</v>
      </c>
    </row>
    <row r="37" spans="1:20" x14ac:dyDescent="0.25">
      <c r="A37" s="1" t="s">
        <v>0</v>
      </c>
      <c r="B37" s="1" t="s">
        <v>1</v>
      </c>
      <c r="C37" s="2">
        <v>0</v>
      </c>
      <c r="D37" s="3">
        <v>44996</v>
      </c>
      <c r="E37" s="1" t="s">
        <v>2</v>
      </c>
      <c r="F37" s="1" t="s">
        <v>3</v>
      </c>
      <c r="G37" s="2">
        <v>0</v>
      </c>
      <c r="H37" s="2">
        <v>0.42</v>
      </c>
      <c r="I37" s="2"/>
      <c r="J37" s="6"/>
      <c r="K37" s="6">
        <v>0.42</v>
      </c>
      <c r="L37" s="6">
        <f t="shared" si="0"/>
        <v>0.252</v>
      </c>
      <c r="M37" s="9">
        <f t="shared" si="1"/>
        <v>0.252</v>
      </c>
      <c r="O37" s="30">
        <f t="shared" si="2"/>
        <v>25.2</v>
      </c>
      <c r="P37" s="32">
        <f t="shared" si="3"/>
        <v>0</v>
      </c>
      <c r="Q37" s="19">
        <f t="shared" si="4"/>
        <v>0.42</v>
      </c>
      <c r="R37" s="19">
        <f t="shared" si="5"/>
        <v>25.2</v>
      </c>
    </row>
    <row r="38" spans="1:20" x14ac:dyDescent="0.25">
      <c r="A38" s="1" t="s">
        <v>0</v>
      </c>
      <c r="B38" s="1" t="s">
        <v>1</v>
      </c>
      <c r="C38" s="2">
        <v>0</v>
      </c>
      <c r="D38" s="3">
        <v>44998</v>
      </c>
      <c r="E38" s="1" t="s">
        <v>2</v>
      </c>
      <c r="F38" s="1" t="s">
        <v>3</v>
      </c>
      <c r="G38" s="2">
        <v>0</v>
      </c>
      <c r="H38" s="2">
        <v>0.23</v>
      </c>
      <c r="I38" s="2"/>
      <c r="J38" s="6"/>
      <c r="K38" s="6">
        <v>0.23</v>
      </c>
      <c r="L38" s="6">
        <f t="shared" si="0"/>
        <v>0.13800000000000001</v>
      </c>
      <c r="M38" s="9">
        <f t="shared" si="1"/>
        <v>0.13800000000000001</v>
      </c>
      <c r="O38" s="30">
        <f t="shared" si="2"/>
        <v>13.8</v>
      </c>
      <c r="P38" s="32">
        <f t="shared" si="3"/>
        <v>0</v>
      </c>
      <c r="Q38" s="19">
        <f t="shared" si="4"/>
        <v>0.23</v>
      </c>
      <c r="R38" s="19">
        <f t="shared" si="5"/>
        <v>13.8</v>
      </c>
    </row>
    <row r="39" spans="1:20" x14ac:dyDescent="0.25">
      <c r="A39" s="1" t="s">
        <v>0</v>
      </c>
      <c r="B39" s="1" t="s">
        <v>1</v>
      </c>
      <c r="C39" s="2">
        <v>0</v>
      </c>
      <c r="D39" s="3">
        <v>45000</v>
      </c>
      <c r="E39" s="1" t="s">
        <v>2</v>
      </c>
      <c r="F39" s="1" t="s">
        <v>3</v>
      </c>
      <c r="G39" s="2">
        <v>0</v>
      </c>
      <c r="H39" s="2">
        <v>0.56999999999999995</v>
      </c>
      <c r="I39" s="2"/>
      <c r="J39" s="6"/>
      <c r="K39" s="6">
        <v>0.56999999999999995</v>
      </c>
      <c r="L39" s="6">
        <f t="shared" si="0"/>
        <v>0.34199999999999997</v>
      </c>
      <c r="M39" s="9">
        <f t="shared" si="1"/>
        <v>0.34199999999999997</v>
      </c>
      <c r="O39" s="30">
        <f>H39*60</f>
        <v>34.199999999999996</v>
      </c>
      <c r="P39" s="32">
        <f t="shared" si="3"/>
        <v>0</v>
      </c>
      <c r="Q39" s="19">
        <f t="shared" si="4"/>
        <v>0.56999999999999995</v>
      </c>
      <c r="R39" s="19">
        <f t="shared" si="5"/>
        <v>34.199999999999996</v>
      </c>
    </row>
    <row r="40" spans="1:20" ht="15.75" x14ac:dyDescent="0.25">
      <c r="A40" s="1"/>
      <c r="B40" s="1"/>
      <c r="C40" s="2"/>
      <c r="D40" s="3"/>
      <c r="E40" s="1"/>
      <c r="F40" s="1"/>
      <c r="G40" s="4">
        <f>SUM(G3:G39)</f>
        <v>0</v>
      </c>
      <c r="H40" s="4">
        <f>SUM(H3:H39)</f>
        <v>27.11</v>
      </c>
      <c r="I40" s="4">
        <v>27.11</v>
      </c>
      <c r="J40" s="12">
        <f>SUM(J2:J39)</f>
        <v>10</v>
      </c>
      <c r="K40" s="11">
        <f>SUM(K3:K39)</f>
        <v>17.110000000000003</v>
      </c>
      <c r="L40" s="13">
        <f>SUM(L3:L39)</f>
        <v>10.266</v>
      </c>
      <c r="M40" s="14">
        <f>SUM(M3:M39)</f>
        <v>20.266000000000002</v>
      </c>
      <c r="O40" s="34">
        <f>SUM(O3:O39)</f>
        <v>1626.6</v>
      </c>
      <c r="P40" s="35">
        <f t="shared" ref="P40:R40" si="6">SUM(P3:P39)</f>
        <v>10</v>
      </c>
      <c r="Q40" s="36">
        <f t="shared" si="6"/>
        <v>17.110000000000003</v>
      </c>
      <c r="R40" s="37">
        <f t="shared" si="6"/>
        <v>1026.5999999999999</v>
      </c>
      <c r="S40" s="38"/>
      <c r="T40" s="37">
        <f>Tabela1[[#This Row],[MINUTOS FRAÇÃO]]+Tabela1[[#This Row],[HORA INTEIRA]]*60</f>
        <v>1626.6</v>
      </c>
    </row>
    <row r="41" spans="1:20" ht="15.75" x14ac:dyDescent="0.25">
      <c r="H41" s="15" t="s">
        <v>16</v>
      </c>
      <c r="I41" s="16" t="s">
        <v>16</v>
      </c>
      <c r="J41" s="17" t="s">
        <v>15</v>
      </c>
      <c r="K41" s="16" t="s">
        <v>16</v>
      </c>
      <c r="L41" s="17"/>
      <c r="M41" s="18" t="s">
        <v>21</v>
      </c>
      <c r="O41" s="34" t="s">
        <v>28</v>
      </c>
      <c r="P41" s="35" t="s">
        <v>29</v>
      </c>
      <c r="Q41" s="35" t="s">
        <v>30</v>
      </c>
      <c r="R41" s="34" t="s">
        <v>31</v>
      </c>
      <c r="S41" s="38"/>
      <c r="T41" s="34" t="s">
        <v>27</v>
      </c>
    </row>
    <row r="42" spans="1:20" s="21" customFormat="1" ht="15.75" x14ac:dyDescent="0.25">
      <c r="H42" s="22"/>
      <c r="I42" s="23"/>
      <c r="J42" s="23"/>
      <c r="K42" s="23"/>
      <c r="L42" s="23"/>
      <c r="M42" s="24"/>
      <c r="O42" s="39"/>
      <c r="P42" s="40"/>
      <c r="Q42" s="41"/>
      <c r="R42" s="42"/>
      <c r="S42" s="43"/>
      <c r="T42" s="43"/>
    </row>
    <row r="43" spans="1:20" s="21" customFormat="1" ht="15.75" x14ac:dyDescent="0.25">
      <c r="H43" s="22"/>
      <c r="I43" s="23"/>
      <c r="J43" s="33" t="s">
        <v>20</v>
      </c>
      <c r="K43" s="33"/>
      <c r="L43" s="33"/>
      <c r="M43" s="24"/>
      <c r="O43" s="44" t="s">
        <v>26</v>
      </c>
      <c r="P43" s="44"/>
      <c r="Q43" s="44"/>
      <c r="R43" s="44" t="s">
        <v>26</v>
      </c>
      <c r="S43" s="43"/>
      <c r="T43" s="43"/>
    </row>
    <row r="44" spans="1:20" ht="15.75" x14ac:dyDescent="0.25">
      <c r="O44" s="45">
        <f>O40/60</f>
        <v>27.11</v>
      </c>
      <c r="P44" s="35">
        <f>P40</f>
        <v>10</v>
      </c>
      <c r="Q44" s="46"/>
      <c r="R44" s="46">
        <f>R40/60</f>
        <v>17.11</v>
      </c>
      <c r="S44" s="38"/>
      <c r="T44" s="45">
        <f>T40/60</f>
        <v>27.11</v>
      </c>
    </row>
    <row r="45" spans="1:20" ht="15.75" x14ac:dyDescent="0.25">
      <c r="J45" s="17">
        <f>J40*60</f>
        <v>600</v>
      </c>
      <c r="K45" s="25"/>
      <c r="L45" s="26">
        <f>L40*100</f>
        <v>1026.5999999999999</v>
      </c>
      <c r="O45" s="46" t="s">
        <v>32</v>
      </c>
      <c r="P45" s="46" t="s">
        <v>29</v>
      </c>
      <c r="Q45" s="46"/>
      <c r="R45" s="46" t="s">
        <v>30</v>
      </c>
      <c r="S45" s="38"/>
      <c r="T45" s="46" t="s">
        <v>33</v>
      </c>
    </row>
    <row r="46" spans="1:20" x14ac:dyDescent="0.25">
      <c r="J46" s="15" t="s">
        <v>19</v>
      </c>
      <c r="K46" s="27">
        <f>J45+L45</f>
        <v>1626.6</v>
      </c>
      <c r="L46" s="16" t="s">
        <v>19</v>
      </c>
    </row>
    <row r="47" spans="1:20" x14ac:dyDescent="0.25">
      <c r="J47" s="25"/>
      <c r="K47" s="28" t="s">
        <v>19</v>
      </c>
      <c r="L47" s="25"/>
    </row>
    <row r="48" spans="1:20" x14ac:dyDescent="0.25">
      <c r="J48" s="25"/>
      <c r="K48" s="29">
        <f>K46/60</f>
        <v>27.11</v>
      </c>
      <c r="L48" s="25"/>
    </row>
    <row r="49" spans="10:14" x14ac:dyDescent="0.25">
      <c r="J49" s="25"/>
      <c r="K49" s="15" t="s">
        <v>16</v>
      </c>
      <c r="L49" s="25"/>
    </row>
    <row r="51" spans="10:14" x14ac:dyDescent="0.25">
      <c r="N51" s="19"/>
    </row>
  </sheetData>
  <mergeCells count="1">
    <mergeCell ref="J43:L43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Cristianne Ribeiro</dc:creator>
  <cp:lastModifiedBy>Manoel</cp:lastModifiedBy>
  <dcterms:created xsi:type="dcterms:W3CDTF">2023-04-04T17:35:42Z</dcterms:created>
  <dcterms:modified xsi:type="dcterms:W3CDTF">2023-04-04T19:46:23Z</dcterms:modified>
</cp:coreProperties>
</file>