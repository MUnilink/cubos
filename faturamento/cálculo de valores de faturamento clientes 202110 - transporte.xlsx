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ário\Documents\cubos\faturamento\"/>
    </mc:Choice>
  </mc:AlternateContent>
  <bookViews>
    <workbookView xWindow="0" yWindow="0" windowWidth="20490" windowHeight="7635" activeTab="1"/>
  </bookViews>
  <sheets>
    <sheet name="1. $ Faturamento bruto" sheetId="1" r:id="rId1"/>
    <sheet name="Analitico - Itens" sheetId="2" r:id="rId2"/>
  </sheets>
  <definedNames>
    <definedName name="_xlnm.Print_Titles" localSheetId="0">'1. $ Faturamento bruto'!$A:$C,'1. $ Faturamento bruto'!$2:$2</definedName>
  </definedNames>
  <calcPr calcId="152511"/>
</workbook>
</file>

<file path=xl/calcChain.xml><?xml version="1.0" encoding="utf-8"?>
<calcChain xmlns="http://schemas.openxmlformats.org/spreadsheetml/2006/main">
  <c r="J204" i="2" l="1"/>
  <c r="K204" i="2"/>
  <c r="L204" i="2"/>
  <c r="M204" i="2"/>
  <c r="N204" i="2"/>
  <c r="O204" i="2"/>
  <c r="P204" i="2"/>
  <c r="Q204" i="2"/>
  <c r="R204" i="2"/>
  <c r="S204" i="2"/>
  <c r="T204" i="2"/>
  <c r="U204" i="2"/>
  <c r="V204" i="2"/>
  <c r="W204" i="2"/>
  <c r="X204" i="2"/>
  <c r="Y204" i="2"/>
  <c r="Z204" i="2"/>
  <c r="I204" i="2"/>
  <c r="H204" i="2"/>
  <c r="S103" i="2"/>
  <c r="R103" i="2"/>
  <c r="Q103" i="2"/>
  <c r="P103" i="2"/>
  <c r="J103" i="2"/>
  <c r="I103" i="2"/>
  <c r="T103" i="2"/>
  <c r="M136" i="1"/>
  <c r="L136" i="1"/>
  <c r="K136" i="1"/>
  <c r="J136" i="1"/>
  <c r="I136" i="1"/>
  <c r="H136" i="1"/>
  <c r="G136" i="1"/>
  <c r="F136" i="1"/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" i="1"/>
  <c r="K10" i="1" l="1"/>
  <c r="L10" i="1"/>
  <c r="K18" i="1"/>
  <c r="L18" i="1"/>
  <c r="K32" i="1"/>
  <c r="L32" i="1"/>
  <c r="K11" i="1"/>
  <c r="L11" i="1"/>
  <c r="K25" i="1"/>
  <c r="L25" i="1"/>
  <c r="K16" i="1"/>
  <c r="L16" i="1"/>
  <c r="K15" i="1"/>
  <c r="L15" i="1"/>
  <c r="K6" i="1"/>
  <c r="L6" i="1"/>
  <c r="K19" i="1"/>
  <c r="L19" i="1"/>
  <c r="K3" i="1"/>
  <c r="L3" i="1"/>
  <c r="K17" i="1"/>
  <c r="L17" i="1"/>
  <c r="K24" i="1"/>
  <c r="L24" i="1"/>
  <c r="K8" i="1"/>
  <c r="L8" i="1"/>
  <c r="K23" i="1"/>
  <c r="L23" i="1"/>
  <c r="K30" i="1"/>
  <c r="L30" i="1"/>
  <c r="K14" i="1"/>
  <c r="L14" i="1"/>
  <c r="K29" i="1"/>
  <c r="L29" i="1"/>
  <c r="K21" i="1"/>
  <c r="L21" i="1"/>
  <c r="K13" i="1"/>
  <c r="L13" i="1"/>
  <c r="K5" i="1"/>
  <c r="L5" i="1"/>
  <c r="K27" i="1"/>
  <c r="L27" i="1"/>
  <c r="K26" i="1"/>
  <c r="L26" i="1"/>
  <c r="K9" i="1"/>
  <c r="L9" i="1"/>
  <c r="K31" i="1"/>
  <c r="L31" i="1"/>
  <c r="K7" i="1"/>
  <c r="L7" i="1"/>
  <c r="K22" i="1"/>
  <c r="L22" i="1"/>
  <c r="K28" i="1"/>
  <c r="L28" i="1"/>
  <c r="K20" i="1"/>
  <c r="L20" i="1"/>
  <c r="K12" i="1"/>
  <c r="L12" i="1"/>
  <c r="K4" i="1"/>
  <c r="L4" i="1"/>
  <c r="J3" i="1"/>
  <c r="J13" i="1"/>
  <c r="J18" i="1"/>
  <c r="J14" i="1"/>
  <c r="J21" i="1"/>
  <c r="J22" i="1"/>
  <c r="J5" i="1"/>
  <c r="J26" i="1"/>
  <c r="J6" i="1"/>
  <c r="J29" i="1"/>
  <c r="J10" i="1"/>
  <c r="J30" i="1"/>
  <c r="J4" i="1"/>
  <c r="J12" i="1"/>
  <c r="J20" i="1"/>
  <c r="J28" i="1"/>
  <c r="J11" i="1"/>
  <c r="J19" i="1"/>
  <c r="J15" i="1"/>
  <c r="J31" i="1"/>
  <c r="J8" i="1"/>
  <c r="J16" i="1"/>
  <c r="J24" i="1"/>
  <c r="J32" i="1"/>
  <c r="J27" i="1"/>
  <c r="J7" i="1"/>
  <c r="J23" i="1"/>
  <c r="J9" i="1"/>
  <c r="J17" i="1"/>
  <c r="J25" i="1"/>
</calcChain>
</file>

<file path=xl/sharedStrings.xml><?xml version="1.0" encoding="utf-8"?>
<sst xmlns="http://schemas.openxmlformats.org/spreadsheetml/2006/main" count="1840" uniqueCount="243">
  <si>
    <t>Cliente</t>
  </si>
  <si>
    <t>Código</t>
  </si>
  <si>
    <t>Loja</t>
  </si>
  <si>
    <t>$ Faturamento líquido</t>
  </si>
  <si>
    <t>$ Impostos do faturamento</t>
  </si>
  <si>
    <t>$ Faturamento da mercadoria</t>
  </si>
  <si>
    <t>$ ICMS do faturamento</t>
  </si>
  <si>
    <t>$ Faturamento bruto</t>
  </si>
  <si>
    <t>$ Frete do faturamento</t>
  </si>
  <si>
    <t>$ Preço unitário do faturamento</t>
  </si>
  <si>
    <t>ACO VERDE DO BRASIL S. A.</t>
  </si>
  <si>
    <t>000001</t>
  </si>
  <si>
    <t>0002</t>
  </si>
  <si>
    <t>AGRICOLA FAMOSA S. A.</t>
  </si>
  <si>
    <t>000003</t>
  </si>
  <si>
    <t>0013</t>
  </si>
  <si>
    <t>AGRICOLA SALUTARIS LTDA</t>
  </si>
  <si>
    <t>000290</t>
  </si>
  <si>
    <t>AGROPECUARIA VITAMAIS LTDA.</t>
  </si>
  <si>
    <t>000025</t>
  </si>
  <si>
    <t>0001</t>
  </si>
  <si>
    <t>ALIANCA NAVEGACAO E LOGISTICA LTDA.</t>
  </si>
  <si>
    <t>000178</t>
  </si>
  <si>
    <t>0018</t>
  </si>
  <si>
    <t>BCF COMISS ADUAN SERV IMP EXP LTDA</t>
  </si>
  <si>
    <t>000278</t>
  </si>
  <si>
    <t>CENTER CARGO MANAUS TRANSP. INTERNACIONAIS LTDA</t>
  </si>
  <si>
    <t>000203</t>
  </si>
  <si>
    <t>CMA CGM</t>
  </si>
  <si>
    <t>000648</t>
  </si>
  <si>
    <t>0000</t>
  </si>
  <si>
    <t>FINOBRASA AGROINDUSTRIAL S/A</t>
  </si>
  <si>
    <t>000102</t>
  </si>
  <si>
    <t>0005</t>
  </si>
  <si>
    <t>FORTESUL IMPORTACAO DE FRUTAS LTDA</t>
  </si>
  <si>
    <t>001372</t>
  </si>
  <si>
    <t>KUARA COML E EXPORTADORA DE FRUTAS LTDA.</t>
  </si>
  <si>
    <t>001343</t>
  </si>
  <si>
    <t>0003</t>
  </si>
  <si>
    <t>MARFRET COMPANY MARITIME</t>
  </si>
  <si>
    <t>000155</t>
  </si>
  <si>
    <t>MERCOSUL LINE NAVEGACAO E LOGISTICA LTDA</t>
  </si>
  <si>
    <t>000070</t>
  </si>
  <si>
    <t>0004</t>
  </si>
  <si>
    <t>0007</t>
  </si>
  <si>
    <t>0008</t>
  </si>
  <si>
    <t>0011</t>
  </si>
  <si>
    <t>MSC MEDITERRANEAN LOGISTICA LTDA</t>
  </si>
  <si>
    <t>000186</t>
  </si>
  <si>
    <t>0017</t>
  </si>
  <si>
    <t>OCEANA MINERAIS MARINHOS LTDA</t>
  </si>
  <si>
    <t>000094</t>
  </si>
  <si>
    <t>OIA GLOBAL LOGISTICA EIRELI</t>
  </si>
  <si>
    <t>000295</t>
  </si>
  <si>
    <t>POLIMIX CONCRETO LTDA</t>
  </si>
  <si>
    <t>000107</t>
  </si>
  <si>
    <t>0283</t>
  </si>
  <si>
    <t>PONTES INDUSTRIA DE CERA DO PIAUI LTDA</t>
  </si>
  <si>
    <t>000093</t>
  </si>
  <si>
    <t>PONTES INDUSTRIA DE CERA LTDA</t>
  </si>
  <si>
    <t>000091</t>
  </si>
  <si>
    <t>SIDERURGICA NORTE BRASIL S.A</t>
  </si>
  <si>
    <t>000119</t>
  </si>
  <si>
    <t>VESTAS DO BRASIL ENERGIA EOLICA LTDA</t>
  </si>
  <si>
    <t>000085</t>
  </si>
  <si>
    <t>0033</t>
  </si>
  <si>
    <t>0044</t>
  </si>
  <si>
    <t>0045</t>
  </si>
  <si>
    <t>Diferença fat. líquido e fat. sem impostos com ICMS</t>
  </si>
  <si>
    <t>Diferença fat. líquido e fat. Mercadoria</t>
  </si>
  <si>
    <t>Diferença entre impostos sem ICMS e diferença fat.líquido e fat. Mercadoria</t>
  </si>
  <si>
    <t>Faturamento sem impostos com ICMS (LÍQUIDO)</t>
  </si>
  <si>
    <t>Série</t>
  </si>
  <si>
    <t>Documento</t>
  </si>
  <si>
    <t>$ Imposto ICMS do faturamento</t>
  </si>
  <si>
    <t>$ Imposto COFINS do faturamento</t>
  </si>
  <si>
    <t>$ Imposto INSS do faturamento</t>
  </si>
  <si>
    <t>$ Imposto IPI do faturamento</t>
  </si>
  <si>
    <t>$ Imposto IRF do faturamento</t>
  </si>
  <si>
    <t>$ Imposto ISS do faturamento</t>
  </si>
  <si>
    <t>$ Imposto PIS do faturamento</t>
  </si>
  <si>
    <t>1</t>
  </si>
  <si>
    <t>000049467</t>
  </si>
  <si>
    <t>002</t>
  </si>
  <si>
    <t>000000783</t>
  </si>
  <si>
    <t>000000787</t>
  </si>
  <si>
    <t>000000788</t>
  </si>
  <si>
    <t>000000789</t>
  </si>
  <si>
    <t>000000790</t>
  </si>
  <si>
    <t>000000791</t>
  </si>
  <si>
    <t>000000798</t>
  </si>
  <si>
    <t>000000800</t>
  </si>
  <si>
    <t>000000805</t>
  </si>
  <si>
    <t>000000807</t>
  </si>
  <si>
    <t>000000808</t>
  </si>
  <si>
    <t>000000809</t>
  </si>
  <si>
    <t>000000818</t>
  </si>
  <si>
    <t>000000819</t>
  </si>
  <si>
    <t>000000830</t>
  </si>
  <si>
    <t>000000831</t>
  </si>
  <si>
    <t>000000832</t>
  </si>
  <si>
    <t>000000833</t>
  </si>
  <si>
    <t>000000834</t>
  </si>
  <si>
    <t>000000835</t>
  </si>
  <si>
    <t>000000836</t>
  </si>
  <si>
    <t>000000883</t>
  </si>
  <si>
    <t>000000887</t>
  </si>
  <si>
    <t>000000888</t>
  </si>
  <si>
    <t>000000902</t>
  </si>
  <si>
    <t>000000903</t>
  </si>
  <si>
    <t>000000904</t>
  </si>
  <si>
    <t>000049260</t>
  </si>
  <si>
    <t>000049263</t>
  </si>
  <si>
    <t>000000782</t>
  </si>
  <si>
    <t>000000784</t>
  </si>
  <si>
    <t>000000785</t>
  </si>
  <si>
    <t>000000786</t>
  </si>
  <si>
    <t>000049245</t>
  </si>
  <si>
    <t>000049246</t>
  </si>
  <si>
    <t>000049249</t>
  </si>
  <si>
    <t>000049261</t>
  </si>
  <si>
    <t>000049264</t>
  </si>
  <si>
    <t>000049265</t>
  </si>
  <si>
    <t>000049285</t>
  </si>
  <si>
    <t>000049286</t>
  </si>
  <si>
    <t>000049309</t>
  </si>
  <si>
    <t>000049315</t>
  </si>
  <si>
    <t>000049332</t>
  </si>
  <si>
    <t>000049336</t>
  </si>
  <si>
    <t>000049351</t>
  </si>
  <si>
    <t>000049352</t>
  </si>
  <si>
    <t>000049376</t>
  </si>
  <si>
    <t>000049377</t>
  </si>
  <si>
    <t>000049379</t>
  </si>
  <si>
    <t>000049405</t>
  </si>
  <si>
    <t>000049406</t>
  </si>
  <si>
    <t>000049407</t>
  </si>
  <si>
    <t>000049408</t>
  </si>
  <si>
    <t>000049430</t>
  </si>
  <si>
    <t>000049441</t>
  </si>
  <si>
    <t>000049442</t>
  </si>
  <si>
    <t>000049447</t>
  </si>
  <si>
    <t>000049466</t>
  </si>
  <si>
    <t>000049473</t>
  </si>
  <si>
    <t>000049481</t>
  </si>
  <si>
    <t>000049488</t>
  </si>
  <si>
    <t>000049490</t>
  </si>
  <si>
    <t>000049491</t>
  </si>
  <si>
    <t>000049492</t>
  </si>
  <si>
    <t>000049493</t>
  </si>
  <si>
    <t>000049494</t>
  </si>
  <si>
    <t>000049495</t>
  </si>
  <si>
    <t>000049497</t>
  </si>
  <si>
    <t>000049498</t>
  </si>
  <si>
    <t>000049499</t>
  </si>
  <si>
    <t>000049500</t>
  </si>
  <si>
    <t>000049501</t>
  </si>
  <si>
    <t>000049552</t>
  </si>
  <si>
    <t>000049583</t>
  </si>
  <si>
    <t>000049584</t>
  </si>
  <si>
    <t>000049585</t>
  </si>
  <si>
    <t>000049608</t>
  </si>
  <si>
    <t>000049609</t>
  </si>
  <si>
    <t>000049610</t>
  </si>
  <si>
    <t>000049637</t>
  </si>
  <si>
    <t>000049684</t>
  </si>
  <si>
    <t>000049685</t>
  </si>
  <si>
    <t>000049687</t>
  </si>
  <si>
    <t>000049688</t>
  </si>
  <si>
    <t>000049690</t>
  </si>
  <si>
    <t>000049691</t>
  </si>
  <si>
    <t>000049692</t>
  </si>
  <si>
    <t>000049693</t>
  </si>
  <si>
    <t>000049728</t>
  </si>
  <si>
    <t>000049729</t>
  </si>
  <si>
    <t>000049730</t>
  </si>
  <si>
    <t>000049731</t>
  </si>
  <si>
    <t>000049732</t>
  </si>
  <si>
    <t>000049733</t>
  </si>
  <si>
    <t>000049734</t>
  </si>
  <si>
    <t>000049735</t>
  </si>
  <si>
    <t>000049736</t>
  </si>
  <si>
    <t>000049283</t>
  </si>
  <si>
    <t>000049307</t>
  </si>
  <si>
    <t>Total</t>
  </si>
  <si>
    <t>Nome</t>
  </si>
  <si>
    <t>DT Emissao</t>
  </si>
  <si>
    <t>Tipo da nota</t>
  </si>
  <si>
    <t>Produto</t>
  </si>
  <si>
    <t>Descricao</t>
  </si>
  <si>
    <t>Quantidade</t>
  </si>
  <si>
    <t>Valor Unitario</t>
  </si>
  <si>
    <t>Valor Mercadoria</t>
  </si>
  <si>
    <t>Armaz</t>
  </si>
  <si>
    <t>Cfo</t>
  </si>
  <si>
    <t>Tes</t>
  </si>
  <si>
    <t>Pedido</t>
  </si>
  <si>
    <t>It</t>
  </si>
  <si>
    <t>Valor IPI</t>
  </si>
  <si>
    <t>Valor Icms</t>
  </si>
  <si>
    <t>Valor Iss</t>
  </si>
  <si>
    <t>Desp.Acessorias</t>
  </si>
  <si>
    <t>N</t>
  </si>
  <si>
    <t>21010003</t>
  </si>
  <si>
    <t>TRANSPORTE RODOVIARIO DE CARGAS EM GERAL, MUNICIPAL</t>
  </si>
  <si>
    <t>01</t>
  </si>
  <si>
    <t>5933</t>
  </si>
  <si>
    <t>504</t>
  </si>
  <si>
    <t>21010001</t>
  </si>
  <si>
    <t>PRODUTO CALCULO TMS</t>
  </si>
  <si>
    <t>5351</t>
  </si>
  <si>
    <t>506</t>
  </si>
  <si>
    <t>517</t>
  </si>
  <si>
    <t>C</t>
  </si>
  <si>
    <t>SERIE_DA_NOTA_FISCAL</t>
  </si>
  <si>
    <t>NUMERO_DA_NOTA_FISCAL</t>
  </si>
  <si>
    <t>NUMERO_ITEM</t>
  </si>
  <si>
    <t>DATA_DE_EMISSAO</t>
  </si>
  <si>
    <t>DATA_SAIDA_NF</t>
  </si>
  <si>
    <t>TIPO_DE_NOTA_FISCAL</t>
  </si>
  <si>
    <t>BK_CLIENTE</t>
  </si>
  <si>
    <t>VL_FATURAMENTO_TOTAL</t>
  </si>
  <si>
    <t>VL_ICMS_FATURAMENTO</t>
  </si>
  <si>
    <t>VL_IPI_FATURAMENTO</t>
  </si>
  <si>
    <t>VL_FRETE_NF</t>
  </si>
  <si>
    <t>VL_DESPESA</t>
  </si>
  <si>
    <t>VL_FATURAMENTO_MERCADORIA</t>
  </si>
  <si>
    <t>VL_PIS_FATURAMENTO</t>
  </si>
  <si>
    <t>VL_COFINS_FATURAMENTO</t>
  </si>
  <si>
    <t>QTD_FATURADA_ITEM</t>
  </si>
  <si>
    <t>VL_ISS_FATURAMENTO</t>
  </si>
  <si>
    <t>VL_ICMS_SUBST_FATURAMENTO</t>
  </si>
  <si>
    <t>VL_DESCONTO_FATURAMENTO</t>
  </si>
  <si>
    <t>VL_IRF_FATURAMENTO</t>
  </si>
  <si>
    <t>VL_INSS_FATURAMENTO</t>
  </si>
  <si>
    <t>PESO_LIQUIDO</t>
  </si>
  <si>
    <t>PESO_BRUTO</t>
  </si>
  <si>
    <t>QTD</t>
  </si>
  <si>
    <t>VL_UNITARIO</t>
  </si>
  <si>
    <t>VL_SEGURO</t>
  </si>
  <si>
    <t xml:space="preserve"> </t>
  </si>
  <si>
    <t>P |01|SA1010||0000700007</t>
  </si>
  <si>
    <t>P |01|SA1010||0000700003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</si>
</sst>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164" formatCode="&quot;R$&quot;\ #,##0.00"/>
  </numFmts>
  <fonts count="7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rgb="FF000000"/>
      <name val="Verdana"/>
      <family val="2"/>
    </font>
    <font>
      <sz val="8"/>
      <color rgb="FFFFFFFF"/>
      <name val="Verdana"/>
      <family val="2"/>
    </font>
    <font>
      <sz val="8"/>
      <color rgb="FF808080"/>
      <name val="Verdana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medium">
        <color rgb="FF000000"/>
      </bottom>
      <diagonal/>
    </border>
    <border>
      <left/>
      <right/>
      <top style="thin">
        <color rgb="FF808080"/>
      </top>
      <bottom style="medium">
        <color rgb="FF000000"/>
      </bottom>
      <diagonal/>
    </border>
    <border>
      <left/>
      <right style="medium">
        <color rgb="FF000000"/>
      </right>
      <top style="thin">
        <color rgb="FF808080"/>
      </top>
      <bottom style="medium">
        <color rgb="FF000000"/>
      </bottom>
      <diagonal/>
    </border>
    <border>
      <left/>
      <right style="thin">
        <color rgb="FF808080"/>
      </right>
      <top style="thin">
        <color rgb="FF808080"/>
      </top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 style="medium">
        <color rgb="FF000000"/>
      </right>
      <top/>
      <bottom style="thin">
        <color rgb="FF808080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4">
    <xf numFmtId="0" fontId="0" fillId="0" borderId="0" xfId="0"/>
    <xf numFmtId="49" fontId="4" fillId="2" borderId="5" xfId="0" applyNumberFormat="1" applyFont="1" applyFill="1" applyBorder="1" applyAlignment="1">
      <alignment horizontal="left" vertical="top"/>
    </xf>
    <xf numFmtId="49" fontId="4" fillId="2" borderId="6" xfId="0" applyNumberFormat="1" applyFont="1" applyFill="1" applyBorder="1" applyAlignment="1">
      <alignment horizontal="left" vertical="top"/>
    </xf>
    <xf numFmtId="49" fontId="4" fillId="2" borderId="7" xfId="0" applyNumberFormat="1" applyFont="1" applyFill="1" applyBorder="1" applyAlignment="1">
      <alignment horizontal="left" vertical="top"/>
    </xf>
    <xf numFmtId="164" fontId="1" fillId="4" borderId="6" xfId="0" applyNumberFormat="1" applyFont="1" applyFill="1" applyBorder="1" applyAlignment="1">
      <alignment horizontal="right" vertical="center"/>
    </xf>
    <xf numFmtId="164" fontId="1" fillId="2" borderId="6" xfId="0" applyNumberFormat="1" applyFont="1" applyFill="1" applyBorder="1" applyAlignment="1">
      <alignment horizontal="right" vertical="center"/>
    </xf>
    <xf numFmtId="164" fontId="1" fillId="5" borderId="6" xfId="0" applyNumberFormat="1" applyFont="1" applyFill="1" applyBorder="1" applyAlignment="1">
      <alignment horizontal="right" vertical="center"/>
    </xf>
    <xf numFmtId="49" fontId="4" fillId="0" borderId="5" xfId="0" applyNumberFormat="1" applyFont="1" applyFill="1" applyBorder="1" applyAlignment="1">
      <alignment horizontal="left" vertical="top"/>
    </xf>
    <xf numFmtId="49" fontId="4" fillId="0" borderId="6" xfId="0" applyNumberFormat="1" applyFont="1" applyFill="1" applyBorder="1" applyAlignment="1">
      <alignment horizontal="left" vertical="top"/>
    </xf>
    <xf numFmtId="49" fontId="4" fillId="0" borderId="7" xfId="0" applyNumberFormat="1" applyFont="1" applyFill="1" applyBorder="1" applyAlignment="1">
      <alignment horizontal="left" vertical="top"/>
    </xf>
    <xf numFmtId="164" fontId="1" fillId="0" borderId="6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49" fontId="3" fillId="3" borderId="4" xfId="0" applyNumberFormat="1" applyFont="1" applyFill="1" applyBorder="1" applyAlignment="1">
      <alignment horizontal="left" vertical="center" wrapText="1"/>
    </xf>
    <xf numFmtId="49" fontId="4" fillId="5" borderId="5" xfId="0" applyNumberFormat="1" applyFont="1" applyFill="1" applyBorder="1" applyAlignment="1">
      <alignment horizontal="left" vertical="top"/>
    </xf>
    <xf numFmtId="49" fontId="4" fillId="5" borderId="6" xfId="0" applyNumberFormat="1" applyFont="1" applyFill="1" applyBorder="1" applyAlignment="1">
      <alignment horizontal="left" vertical="top"/>
    </xf>
    <xf numFmtId="49" fontId="4" fillId="5" borderId="7" xfId="0" applyNumberFormat="1" applyFont="1" applyFill="1" applyBorder="1" applyAlignment="1">
      <alignment horizontal="left" vertical="top"/>
    </xf>
    <xf numFmtId="44" fontId="0" fillId="0" borderId="0" xfId="1" applyFont="1"/>
    <xf numFmtId="44" fontId="0" fillId="0" borderId="0" xfId="0" applyNumberFormat="1"/>
    <xf numFmtId="0" fontId="0" fillId="0" borderId="0" xfId="0" applyNumberFormat="1" applyFont="1" applyFill="1" applyBorder="1" applyAlignment="1" applyProtection="1"/>
    <xf numFmtId="2" fontId="0" fillId="0" borderId="0" xfId="1" applyNumberFormat="1" applyFont="1"/>
    <xf numFmtId="2" fontId="0" fillId="0" borderId="0" xfId="0" applyNumberFormat="1"/>
    <xf numFmtId="44" fontId="6" fillId="0" borderId="0" xfId="1" applyFont="1"/>
  </cellXfs>
  <cellStyles count="2">
    <cellStyle name="Moeda" xfId="1" builtinId="4"/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ela1" displayName="Tabela1" ref="A34:M136" totalsRowCount="1">
  <autoFilter ref="A34:M135">
    <filterColumn colId="2">
      <filters>
        <filter val="0003"/>
      </filters>
    </filterColumn>
  </autoFilter>
  <tableColumns count="13">
    <tableColumn id="1" name="Cliente" totalsRowLabel="Total"/>
    <tableColumn id="2" name="Código"/>
    <tableColumn id="3" name="Loja"/>
    <tableColumn id="4" name="Série"/>
    <tableColumn id="5" name="Documento"/>
    <tableColumn id="6" name="$ Imposto ICMS do faturamento" totalsRowFunction="sum" dataCellStyle="Moeda"/>
    <tableColumn id="7" name="$ Imposto COFINS do faturamento" totalsRowFunction="sum" dataCellStyle="Moeda"/>
    <tableColumn id="8" name="$ Imposto INSS do faturamento" totalsRowFunction="sum" dataCellStyle="Moeda"/>
    <tableColumn id="9" name="$ Imposto IPI do faturamento" totalsRowFunction="sum" dataCellStyle="Moeda"/>
    <tableColumn id="10" name="$ Imposto IRF do faturamento" totalsRowFunction="sum" dataCellStyle="Moeda"/>
    <tableColumn id="11" name="$ Imposto ISS do faturamento" totalsRowFunction="sum" dataCellStyle="Moeda"/>
    <tableColumn id="12" name="$ Imposto PIS do faturamento" totalsRowFunction="sum" dataCellStyle="Moeda"/>
    <tableColumn id="13" name="$ Impostos do faturamento" totalsRowFunction="sum" dataCellStyle="Moeda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A1:T103" totalsRowCount="1" headerRowCellStyle="Normal" dataCellStyle="Normal">
  <autoFilter ref="A1:T102">
    <filterColumn colId="1">
      <filters>
        <filter val="0003"/>
      </filters>
    </filterColumn>
  </autoFilter>
  <tableColumns count="20">
    <tableColumn id="1" name="Cliente" totalsRowLabel="Total" dataCellStyle="Normal"/>
    <tableColumn id="2" name="Loja" dataCellStyle="Normal"/>
    <tableColumn id="3" name="Nome" dataCellStyle="Normal"/>
    <tableColumn id="4" name="DT Emissao" dataCellStyle="Normal"/>
    <tableColumn id="5" name="Tipo da nota" dataCellStyle="Normal"/>
    <tableColumn id="6" name="Produto" dataCellStyle="Normal"/>
    <tableColumn id="7" name="Descricao" dataCellStyle="Normal"/>
    <tableColumn id="8" name="Quantidade" dataCellStyle="Normal"/>
    <tableColumn id="9" name="Valor Unitario" totalsRowFunction="sum" totalsRowDxfId="20" dataCellStyle="Moeda"/>
    <tableColumn id="10" name="Valor Mercadoria" totalsRowFunction="sum" totalsRowDxfId="19" dataCellStyle="Moeda"/>
    <tableColumn id="11" name="Armaz" dataCellStyle="Normal"/>
    <tableColumn id="12" name="Cfo" dataCellStyle="Normal"/>
    <tableColumn id="13" name="Tes" dataCellStyle="Normal"/>
    <tableColumn id="14" name="Pedido" dataCellStyle="Normal"/>
    <tableColumn id="15" name="It" dataCellStyle="Normal"/>
    <tableColumn id="16" name="Valor IPI" totalsRowFunction="sum" totalsRowDxfId="18" dataCellStyle="Moeda"/>
    <tableColumn id="17" name="Valor Icms" totalsRowFunction="sum" totalsRowDxfId="17" dataCellStyle="Moeda"/>
    <tableColumn id="18" name="Valor Iss" totalsRowFunction="sum" totalsRowDxfId="16" dataCellStyle="Moeda"/>
    <tableColumn id="19" name="Desp.Acessorias" totalsRowFunction="sum" totalsRowDxfId="15" dataCellStyle="Moeda"/>
    <tableColumn id="20" name="Total" totalsRowFunction="sum" dataCellStyle="Moeda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id="4" name="Tabela4" displayName="Tabela4" ref="A106:Z204" totalsRowCount="1" headerRowDxfId="0" dataDxfId="1" headerRowCellStyle="Moeda" dataCellStyle="Moeda">
  <autoFilter ref="A106:Z203">
    <filterColumn colId="0">
      <filters>
        <filter val="P |01|SA1010||0000700003"/>
      </filters>
    </filterColumn>
  </autoFilter>
  <tableColumns count="26">
    <tableColumn id="1" name="BK_CLIENTE" totalsRowLabel="Total"/>
    <tableColumn id="2" name="NUMERO_DA_NOTA_FISCAL"/>
    <tableColumn id="3" name="SERIE_DA_NOTA_FISCAL"/>
    <tableColumn id="4" name="NUMERO_ITEM"/>
    <tableColumn id="5" name="DATA_DE_EMISSAO"/>
    <tableColumn id="6" name="DATA_SAIDA_NF"/>
    <tableColumn id="7" name="TIPO_DE_NOTA_FISCAL"/>
    <tableColumn id="8" name="VL_FATURAMENTO_TOTAL" totalsRowFunction="sum" dataCellStyle="Moeda"/>
    <tableColumn id="9" name="VL_ICMS_FATURAMENTO" totalsRowFunction="sum" dataCellStyle="Moeda"/>
    <tableColumn id="10" name="VL_IPI_FATURAMENTO" totalsRowFunction="sum" dataDxfId="14" dataCellStyle="Moeda"/>
    <tableColumn id="11" name="VL_FRETE_NF" totalsRowFunction="sum" dataCellStyle="Moeda"/>
    <tableColumn id="12" name="VL_DESPESA" totalsRowFunction="sum" dataCellStyle="Moeda"/>
    <tableColumn id="13" name="VL_FATURAMENTO_MERCADORIA" totalsRowFunction="sum" dataCellStyle="Moeda"/>
    <tableColumn id="14" name="VL_PIS_FATURAMENTO" totalsRowFunction="sum" dataCellStyle="Moeda"/>
    <tableColumn id="15" name="VL_COFINS_FATURAMENTO" totalsRowFunction="sum" dataDxfId="13" dataCellStyle="Moeda"/>
    <tableColumn id="16" name="QTD_FATURADA_ITEM" totalsRowFunction="sum" dataDxfId="12" dataCellStyle="Moeda"/>
    <tableColumn id="17" name="VL_ISS_FATURAMENTO" totalsRowFunction="sum" dataDxfId="11" dataCellStyle="Moeda"/>
    <tableColumn id="18" name="VL_ICMS_SUBST_FATURAMENTO" totalsRowFunction="sum" dataDxfId="10" dataCellStyle="Moeda"/>
    <tableColumn id="19" name="VL_DESCONTO_FATURAMENTO" totalsRowFunction="sum" dataDxfId="9" dataCellStyle="Moeda"/>
    <tableColumn id="20" name="VL_IRF_FATURAMENTO" totalsRowFunction="sum" dataDxfId="8" dataCellStyle="Moeda"/>
    <tableColumn id="21" name="VL_INSS_FATURAMENTO" totalsRowFunction="sum" dataDxfId="7" dataCellStyle="Moeda"/>
    <tableColumn id="22" name="PESO_LIQUIDO" totalsRowFunction="sum" dataDxfId="6" dataCellStyle="Moeda"/>
    <tableColumn id="23" name="PESO_BRUTO" totalsRowFunction="sum" dataDxfId="5" dataCellStyle="Moeda"/>
    <tableColumn id="24" name="QTD" totalsRowFunction="sum" dataDxfId="4" dataCellStyle="Moeda"/>
    <tableColumn id="25" name="VL_UNITARIO" totalsRowFunction="sum" dataDxfId="3" dataCellStyle="Moeda"/>
    <tableColumn id="26" name="VL_SEGURO" totalsRowFunction="sum" dataDxfId="2" dataCellStyle="Moeda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36"/>
  <sheetViews>
    <sheetView topLeftCell="A42" workbookViewId="0">
      <selection activeCell="A136" sqref="A136"/>
    </sheetView>
  </sheetViews>
  <sheetFormatPr defaultRowHeight="15" x14ac:dyDescent="0.25"/>
  <cols>
    <col min="1" max="1" width="51.140625" bestFit="1" customWidth="1"/>
    <col min="2" max="2" width="17.5703125" customWidth="1"/>
    <col min="3" max="3" width="5" bestFit="1" customWidth="1"/>
    <col min="4" max="8" width="16.42578125" customWidth="1"/>
    <col min="9" max="9" width="24.7109375" customWidth="1"/>
    <col min="10" max="10" width="22.7109375" customWidth="1"/>
    <col min="11" max="11" width="22.85546875" customWidth="1"/>
    <col min="12" max="12" width="17.5703125" customWidth="1"/>
    <col min="13" max="13" width="14.5703125" bestFit="1" customWidth="1"/>
    <col min="15" max="15" width="14.5703125" bestFit="1" customWidth="1"/>
  </cols>
  <sheetData>
    <row r="2" spans="1:15" ht="53.25" thickBot="1" x14ac:dyDescent="0.3">
      <c r="A2" s="11" t="s">
        <v>0</v>
      </c>
      <c r="B2" s="12" t="s">
        <v>1</v>
      </c>
      <c r="C2" s="13" t="s">
        <v>2</v>
      </c>
      <c r="D2" s="14" t="s">
        <v>3</v>
      </c>
      <c r="E2" s="14" t="s">
        <v>4</v>
      </c>
      <c r="F2" s="14" t="s">
        <v>5</v>
      </c>
      <c r="G2" s="14" t="s">
        <v>6</v>
      </c>
      <c r="H2" s="14" t="s">
        <v>7</v>
      </c>
      <c r="I2" s="14" t="s">
        <v>71</v>
      </c>
      <c r="J2" s="14" t="s">
        <v>68</v>
      </c>
      <c r="K2" s="14" t="s">
        <v>69</v>
      </c>
      <c r="L2" s="14" t="s">
        <v>70</v>
      </c>
      <c r="M2" s="14" t="s">
        <v>8</v>
      </c>
      <c r="N2" s="14" t="s">
        <v>9</v>
      </c>
    </row>
    <row r="3" spans="1:15" x14ac:dyDescent="0.25">
      <c r="A3" s="1" t="s">
        <v>10</v>
      </c>
      <c r="B3" s="2" t="s">
        <v>11</v>
      </c>
      <c r="C3" s="3" t="s">
        <v>12</v>
      </c>
      <c r="D3" s="4">
        <v>110839.19</v>
      </c>
      <c r="E3" s="4">
        <v>29909.03</v>
      </c>
      <c r="F3" s="4">
        <v>123858.42</v>
      </c>
      <c r="G3" s="4">
        <v>16889.8</v>
      </c>
      <c r="H3" s="4">
        <v>140748.22</v>
      </c>
      <c r="I3" s="4">
        <f>H3-E3</f>
        <v>110839.19</v>
      </c>
      <c r="J3" s="4">
        <f>I3-D3</f>
        <v>0</v>
      </c>
      <c r="K3" s="4">
        <f>F3-I3</f>
        <v>13019.229999999996</v>
      </c>
      <c r="L3" s="4">
        <f>E3-G3-(F3-I3)</f>
        <v>0</v>
      </c>
      <c r="M3" s="4">
        <v>0</v>
      </c>
      <c r="N3" s="4">
        <v>0</v>
      </c>
      <c r="O3" s="4">
        <v>123858.35</v>
      </c>
    </row>
    <row r="4" spans="1:15" x14ac:dyDescent="0.25">
      <c r="A4" s="1" t="s">
        <v>13</v>
      </c>
      <c r="B4" s="2" t="s">
        <v>14</v>
      </c>
      <c r="C4" s="3" t="s">
        <v>12</v>
      </c>
      <c r="D4" s="5">
        <v>116649.28</v>
      </c>
      <c r="E4" s="5">
        <v>934.4</v>
      </c>
      <c r="F4" s="5">
        <v>116966.46</v>
      </c>
      <c r="G4" s="5">
        <v>617.22</v>
      </c>
      <c r="H4" s="5">
        <v>117583.67999999999</v>
      </c>
      <c r="I4" s="4">
        <f t="shared" ref="I4:I32" si="0">H4-E4</f>
        <v>116649.28</v>
      </c>
      <c r="J4" s="4">
        <f t="shared" ref="J4:J32" si="1">I4-D4</f>
        <v>0</v>
      </c>
      <c r="K4" s="4">
        <f t="shared" ref="K4:K32" si="2">F4-I4</f>
        <v>317.18000000000757</v>
      </c>
      <c r="L4" s="4">
        <f t="shared" ref="L4:L32" si="3">E4-G4-(F4-I4)</f>
        <v>-7.617018127348274E-12</v>
      </c>
      <c r="M4" s="5">
        <v>0</v>
      </c>
      <c r="N4" s="5">
        <v>0</v>
      </c>
      <c r="O4" s="5">
        <v>116966.29</v>
      </c>
    </row>
    <row r="5" spans="1:15" x14ac:dyDescent="0.25">
      <c r="A5" s="1" t="s">
        <v>13</v>
      </c>
      <c r="B5" s="2" t="s">
        <v>14</v>
      </c>
      <c r="C5" s="3" t="s">
        <v>15</v>
      </c>
      <c r="D5" s="4">
        <v>99917.63</v>
      </c>
      <c r="E5" s="4">
        <v>0</v>
      </c>
      <c r="F5" s="4">
        <v>99917.63</v>
      </c>
      <c r="G5" s="4">
        <v>0</v>
      </c>
      <c r="H5" s="4">
        <v>99917.63</v>
      </c>
      <c r="I5" s="4">
        <f t="shared" si="0"/>
        <v>99917.63</v>
      </c>
      <c r="J5" s="4">
        <f t="shared" si="1"/>
        <v>0</v>
      </c>
      <c r="K5" s="4">
        <f t="shared" si="2"/>
        <v>0</v>
      </c>
      <c r="L5" s="4">
        <f t="shared" si="3"/>
        <v>0</v>
      </c>
      <c r="M5" s="4">
        <v>0</v>
      </c>
      <c r="N5" s="4">
        <v>0</v>
      </c>
      <c r="O5" s="4">
        <v>99917.5</v>
      </c>
    </row>
    <row r="6" spans="1:15" x14ac:dyDescent="0.25">
      <c r="A6" s="1" t="s">
        <v>16</v>
      </c>
      <c r="B6" s="2" t="s">
        <v>17</v>
      </c>
      <c r="C6" s="3" t="s">
        <v>12</v>
      </c>
      <c r="D6" s="5">
        <v>34150</v>
      </c>
      <c r="E6" s="5">
        <v>0</v>
      </c>
      <c r="F6" s="5">
        <v>34150</v>
      </c>
      <c r="G6" s="5">
        <v>0</v>
      </c>
      <c r="H6" s="5">
        <v>34150</v>
      </c>
      <c r="I6" s="4">
        <f t="shared" si="0"/>
        <v>34150</v>
      </c>
      <c r="J6" s="4">
        <f t="shared" si="1"/>
        <v>0</v>
      </c>
      <c r="K6" s="4">
        <f t="shared" si="2"/>
        <v>0</v>
      </c>
      <c r="L6" s="4">
        <f t="shared" si="3"/>
        <v>0</v>
      </c>
      <c r="M6" s="5">
        <v>0</v>
      </c>
      <c r="N6" s="5">
        <v>0</v>
      </c>
      <c r="O6" s="5">
        <v>34150</v>
      </c>
    </row>
    <row r="7" spans="1:15" x14ac:dyDescent="0.25">
      <c r="A7" s="1" t="s">
        <v>18</v>
      </c>
      <c r="B7" s="2" t="s">
        <v>19</v>
      </c>
      <c r="C7" s="3" t="s">
        <v>20</v>
      </c>
      <c r="D7" s="4">
        <v>141750</v>
      </c>
      <c r="E7" s="4">
        <v>0</v>
      </c>
      <c r="F7" s="4">
        <v>141750</v>
      </c>
      <c r="G7" s="4">
        <v>0</v>
      </c>
      <c r="H7" s="4">
        <v>141750</v>
      </c>
      <c r="I7" s="4">
        <f t="shared" si="0"/>
        <v>141750</v>
      </c>
      <c r="J7" s="4">
        <f t="shared" si="1"/>
        <v>0</v>
      </c>
      <c r="K7" s="4">
        <f t="shared" si="2"/>
        <v>0</v>
      </c>
      <c r="L7" s="4">
        <f t="shared" si="3"/>
        <v>0</v>
      </c>
      <c r="M7" s="4">
        <v>0</v>
      </c>
      <c r="N7" s="4">
        <v>0</v>
      </c>
      <c r="O7" s="4">
        <v>141750</v>
      </c>
    </row>
    <row r="8" spans="1:15" x14ac:dyDescent="0.25">
      <c r="A8" s="1" t="s">
        <v>21</v>
      </c>
      <c r="B8" s="2" t="s">
        <v>22</v>
      </c>
      <c r="C8" s="3" t="s">
        <v>23</v>
      </c>
      <c r="D8" s="5">
        <v>1950.8</v>
      </c>
      <c r="E8" s="5">
        <v>324.2</v>
      </c>
      <c r="F8" s="5">
        <v>2275</v>
      </c>
      <c r="G8" s="5">
        <v>0</v>
      </c>
      <c r="H8" s="5">
        <v>2275</v>
      </c>
      <c r="I8" s="4">
        <f t="shared" si="0"/>
        <v>1950.8</v>
      </c>
      <c r="J8" s="4">
        <f t="shared" si="1"/>
        <v>0</v>
      </c>
      <c r="K8" s="4">
        <f t="shared" si="2"/>
        <v>324.20000000000005</v>
      </c>
      <c r="L8" s="4">
        <f t="shared" si="3"/>
        <v>0</v>
      </c>
      <c r="M8" s="5">
        <v>0</v>
      </c>
      <c r="N8" s="5">
        <v>0</v>
      </c>
      <c r="O8" s="5">
        <v>2275</v>
      </c>
    </row>
    <row r="9" spans="1:15" x14ac:dyDescent="0.25">
      <c r="A9" s="1" t="s">
        <v>24</v>
      </c>
      <c r="B9" s="2" t="s">
        <v>25</v>
      </c>
      <c r="C9" s="3" t="s">
        <v>12</v>
      </c>
      <c r="D9" s="4">
        <v>10410</v>
      </c>
      <c r="E9" s="4">
        <v>0</v>
      </c>
      <c r="F9" s="4">
        <v>10410</v>
      </c>
      <c r="G9" s="4">
        <v>0</v>
      </c>
      <c r="H9" s="4">
        <v>10410</v>
      </c>
      <c r="I9" s="4">
        <f t="shared" si="0"/>
        <v>10410</v>
      </c>
      <c r="J9" s="4">
        <f t="shared" si="1"/>
        <v>0</v>
      </c>
      <c r="K9" s="4">
        <f t="shared" si="2"/>
        <v>0</v>
      </c>
      <c r="L9" s="4">
        <f t="shared" si="3"/>
        <v>0</v>
      </c>
      <c r="M9" s="4">
        <v>0</v>
      </c>
      <c r="N9" s="4">
        <v>0</v>
      </c>
      <c r="O9" s="4">
        <v>10410</v>
      </c>
    </row>
    <row r="10" spans="1:15" x14ac:dyDescent="0.25">
      <c r="A10" s="1" t="s">
        <v>26</v>
      </c>
      <c r="B10" s="2" t="s">
        <v>27</v>
      </c>
      <c r="C10" s="3" t="s">
        <v>20</v>
      </c>
      <c r="D10" s="5">
        <v>6982.95</v>
      </c>
      <c r="E10" s="5">
        <v>711.78</v>
      </c>
      <c r="F10" s="5">
        <v>7694.73</v>
      </c>
      <c r="G10" s="5">
        <v>0</v>
      </c>
      <c r="H10" s="5">
        <v>7694.73</v>
      </c>
      <c r="I10" s="4">
        <f t="shared" si="0"/>
        <v>6982.95</v>
      </c>
      <c r="J10" s="4">
        <f t="shared" si="1"/>
        <v>0</v>
      </c>
      <c r="K10" s="4">
        <f t="shared" si="2"/>
        <v>711.77999999999975</v>
      </c>
      <c r="L10" s="4">
        <f t="shared" si="3"/>
        <v>0</v>
      </c>
      <c r="M10" s="5">
        <v>0</v>
      </c>
      <c r="N10" s="5">
        <v>0</v>
      </c>
      <c r="O10" s="5">
        <v>7694.71</v>
      </c>
    </row>
    <row r="11" spans="1:15" x14ac:dyDescent="0.25">
      <c r="A11" s="1" t="s">
        <v>28</v>
      </c>
      <c r="B11" s="2" t="s">
        <v>29</v>
      </c>
      <c r="C11" s="3" t="s">
        <v>30</v>
      </c>
      <c r="D11" s="4">
        <v>401250</v>
      </c>
      <c r="E11" s="4">
        <v>0</v>
      </c>
      <c r="F11" s="4">
        <v>401250</v>
      </c>
      <c r="G11" s="4">
        <v>0</v>
      </c>
      <c r="H11" s="4">
        <v>401250</v>
      </c>
      <c r="I11" s="4">
        <f t="shared" si="0"/>
        <v>401250</v>
      </c>
      <c r="J11" s="4">
        <f t="shared" si="1"/>
        <v>0</v>
      </c>
      <c r="K11" s="4">
        <f t="shared" si="2"/>
        <v>0</v>
      </c>
      <c r="L11" s="4">
        <f t="shared" si="3"/>
        <v>0</v>
      </c>
      <c r="M11" s="4">
        <v>0</v>
      </c>
      <c r="N11" s="4">
        <v>0</v>
      </c>
      <c r="O11" s="4">
        <v>401250</v>
      </c>
    </row>
    <row r="12" spans="1:15" x14ac:dyDescent="0.25">
      <c r="A12" s="1" t="s">
        <v>31</v>
      </c>
      <c r="B12" s="2" t="s">
        <v>32</v>
      </c>
      <c r="C12" s="3" t="s">
        <v>33</v>
      </c>
      <c r="D12" s="5">
        <v>54562.51</v>
      </c>
      <c r="E12" s="5">
        <v>0</v>
      </c>
      <c r="F12" s="5">
        <v>54562.51</v>
      </c>
      <c r="G12" s="5">
        <v>0</v>
      </c>
      <c r="H12" s="5">
        <v>54562.51</v>
      </c>
      <c r="I12" s="4">
        <f t="shared" si="0"/>
        <v>54562.51</v>
      </c>
      <c r="J12" s="4">
        <f t="shared" si="1"/>
        <v>0</v>
      </c>
      <c r="K12" s="4">
        <f t="shared" si="2"/>
        <v>0</v>
      </c>
      <c r="L12" s="4">
        <f t="shared" si="3"/>
        <v>0</v>
      </c>
      <c r="M12" s="5">
        <v>0</v>
      </c>
      <c r="N12" s="5">
        <v>0</v>
      </c>
      <c r="O12" s="5">
        <v>54562.45</v>
      </c>
    </row>
    <row r="13" spans="1:15" x14ac:dyDescent="0.25">
      <c r="A13" s="1" t="s">
        <v>34</v>
      </c>
      <c r="B13" s="2" t="s">
        <v>35</v>
      </c>
      <c r="C13" s="3" t="s">
        <v>20</v>
      </c>
      <c r="D13" s="4">
        <v>7800</v>
      </c>
      <c r="E13" s="4">
        <v>0</v>
      </c>
      <c r="F13" s="4">
        <v>7800</v>
      </c>
      <c r="G13" s="4">
        <v>0</v>
      </c>
      <c r="H13" s="4">
        <v>7800</v>
      </c>
      <c r="I13" s="4">
        <f t="shared" si="0"/>
        <v>7800</v>
      </c>
      <c r="J13" s="4">
        <f t="shared" si="1"/>
        <v>0</v>
      </c>
      <c r="K13" s="4">
        <f t="shared" si="2"/>
        <v>0</v>
      </c>
      <c r="L13" s="4">
        <f t="shared" si="3"/>
        <v>0</v>
      </c>
      <c r="M13" s="4">
        <v>0</v>
      </c>
      <c r="N13" s="4">
        <v>0</v>
      </c>
      <c r="O13" s="4">
        <v>7800</v>
      </c>
    </row>
    <row r="14" spans="1:15" x14ac:dyDescent="0.25">
      <c r="A14" s="1" t="s">
        <v>36</v>
      </c>
      <c r="B14" s="2" t="s">
        <v>37</v>
      </c>
      <c r="C14" s="3" t="s">
        <v>38</v>
      </c>
      <c r="D14" s="5">
        <v>87400</v>
      </c>
      <c r="E14" s="5">
        <v>0</v>
      </c>
      <c r="F14" s="5">
        <v>87400</v>
      </c>
      <c r="G14" s="5">
        <v>0</v>
      </c>
      <c r="H14" s="5">
        <v>87400</v>
      </c>
      <c r="I14" s="4">
        <f t="shared" si="0"/>
        <v>87400</v>
      </c>
      <c r="J14" s="4">
        <f t="shared" si="1"/>
        <v>0</v>
      </c>
      <c r="K14" s="4">
        <f t="shared" si="2"/>
        <v>0</v>
      </c>
      <c r="L14" s="4">
        <f t="shared" si="3"/>
        <v>0</v>
      </c>
      <c r="M14" s="5">
        <v>0</v>
      </c>
      <c r="N14" s="5">
        <v>0</v>
      </c>
      <c r="O14" s="5">
        <v>87400</v>
      </c>
    </row>
    <row r="15" spans="1:15" x14ac:dyDescent="0.25">
      <c r="A15" s="1" t="s">
        <v>39</v>
      </c>
      <c r="B15" s="2" t="s">
        <v>40</v>
      </c>
      <c r="C15" s="3" t="s">
        <v>30</v>
      </c>
      <c r="D15" s="4">
        <v>14700</v>
      </c>
      <c r="E15" s="4">
        <v>0</v>
      </c>
      <c r="F15" s="4">
        <v>14700</v>
      </c>
      <c r="G15" s="4">
        <v>0</v>
      </c>
      <c r="H15" s="4">
        <v>14700</v>
      </c>
      <c r="I15" s="4">
        <f t="shared" si="0"/>
        <v>14700</v>
      </c>
      <c r="J15" s="4">
        <f t="shared" si="1"/>
        <v>0</v>
      </c>
      <c r="K15" s="4">
        <f t="shared" si="2"/>
        <v>0</v>
      </c>
      <c r="L15" s="4">
        <f t="shared" si="3"/>
        <v>0</v>
      </c>
      <c r="M15" s="4">
        <v>0</v>
      </c>
      <c r="N15" s="4">
        <v>0</v>
      </c>
      <c r="O15" s="4">
        <v>14700</v>
      </c>
    </row>
    <row r="16" spans="1:15" x14ac:dyDescent="0.25">
      <c r="A16" s="1" t="s">
        <v>41</v>
      </c>
      <c r="B16" s="2" t="s">
        <v>42</v>
      </c>
      <c r="C16" s="3" t="s">
        <v>20</v>
      </c>
      <c r="D16" s="5">
        <v>1130.25</v>
      </c>
      <c r="E16" s="5">
        <v>423.35</v>
      </c>
      <c r="F16" s="5">
        <v>1273.95</v>
      </c>
      <c r="G16" s="5">
        <v>279.64999999999998</v>
      </c>
      <c r="H16" s="5">
        <v>1553.6</v>
      </c>
      <c r="I16" s="4">
        <f t="shared" si="0"/>
        <v>1130.25</v>
      </c>
      <c r="J16" s="4">
        <f t="shared" si="1"/>
        <v>0</v>
      </c>
      <c r="K16" s="4">
        <f t="shared" si="2"/>
        <v>143.70000000000005</v>
      </c>
      <c r="L16" s="4">
        <f t="shared" si="3"/>
        <v>0</v>
      </c>
      <c r="M16" s="5">
        <v>0</v>
      </c>
      <c r="N16" s="5">
        <v>0</v>
      </c>
      <c r="O16" s="5">
        <v>1273.95</v>
      </c>
    </row>
    <row r="17" spans="1:15" x14ac:dyDescent="0.25">
      <c r="A17" s="15" t="s">
        <v>41</v>
      </c>
      <c r="B17" s="16" t="s">
        <v>42</v>
      </c>
      <c r="C17" s="17" t="s">
        <v>38</v>
      </c>
      <c r="D17" s="6">
        <v>25060.36</v>
      </c>
      <c r="E17" s="6">
        <v>5420.35</v>
      </c>
      <c r="F17" s="6">
        <v>30187.9</v>
      </c>
      <c r="G17" s="6">
        <v>1446.89</v>
      </c>
      <c r="H17" s="6">
        <v>30480.71</v>
      </c>
      <c r="I17" s="6">
        <f t="shared" si="0"/>
        <v>25060.36</v>
      </c>
      <c r="J17" s="6">
        <f t="shared" si="1"/>
        <v>0</v>
      </c>
      <c r="K17" s="6">
        <f t="shared" si="2"/>
        <v>5127.5400000000009</v>
      </c>
      <c r="L17" s="6">
        <f t="shared" si="3"/>
        <v>-1154.0800000000008</v>
      </c>
      <c r="M17" s="6">
        <v>0</v>
      </c>
      <c r="N17" s="6">
        <v>0</v>
      </c>
      <c r="O17" s="6">
        <v>30187.9</v>
      </c>
    </row>
    <row r="18" spans="1:15" x14ac:dyDescent="0.25">
      <c r="A18" s="7" t="s">
        <v>41</v>
      </c>
      <c r="B18" s="8" t="s">
        <v>42</v>
      </c>
      <c r="C18" s="9" t="s">
        <v>43</v>
      </c>
      <c r="D18" s="10">
        <v>1289.81</v>
      </c>
      <c r="E18" s="10">
        <v>483.12</v>
      </c>
      <c r="F18" s="10">
        <v>1453.8</v>
      </c>
      <c r="G18" s="10">
        <v>319.13</v>
      </c>
      <c r="H18" s="10">
        <v>1772.93</v>
      </c>
      <c r="I18" s="4">
        <f t="shared" si="0"/>
        <v>1289.81</v>
      </c>
      <c r="J18" s="4">
        <f t="shared" si="1"/>
        <v>0</v>
      </c>
      <c r="K18" s="4">
        <f t="shared" si="2"/>
        <v>163.99</v>
      </c>
      <c r="L18" s="4">
        <f t="shared" si="3"/>
        <v>0</v>
      </c>
      <c r="M18" s="5">
        <v>0</v>
      </c>
      <c r="N18" s="5">
        <v>0</v>
      </c>
      <c r="O18" s="5">
        <v>1453.8</v>
      </c>
    </row>
    <row r="19" spans="1:15" x14ac:dyDescent="0.25">
      <c r="A19" s="15" t="s">
        <v>41</v>
      </c>
      <c r="B19" s="16" t="s">
        <v>42</v>
      </c>
      <c r="C19" s="17" t="s">
        <v>44</v>
      </c>
      <c r="D19" s="6">
        <v>56169.1</v>
      </c>
      <c r="E19" s="6">
        <v>14724.95</v>
      </c>
      <c r="F19" s="6">
        <v>61654.91</v>
      </c>
      <c r="G19" s="6">
        <v>9410.26</v>
      </c>
      <c r="H19" s="6">
        <v>70894.05</v>
      </c>
      <c r="I19" s="6">
        <f t="shared" si="0"/>
        <v>56169.100000000006</v>
      </c>
      <c r="J19" s="6">
        <f t="shared" si="1"/>
        <v>0</v>
      </c>
      <c r="K19" s="6">
        <f t="shared" si="2"/>
        <v>5485.8099999999977</v>
      </c>
      <c r="L19" s="6">
        <f t="shared" si="3"/>
        <v>-171.11999999999716</v>
      </c>
      <c r="M19" s="6">
        <v>0</v>
      </c>
      <c r="N19" s="6">
        <v>0</v>
      </c>
      <c r="O19" s="6">
        <v>61654.87</v>
      </c>
    </row>
    <row r="20" spans="1:15" x14ac:dyDescent="0.25">
      <c r="A20" s="1" t="s">
        <v>41</v>
      </c>
      <c r="B20" s="2" t="s">
        <v>42</v>
      </c>
      <c r="C20" s="3" t="s">
        <v>45</v>
      </c>
      <c r="D20" s="5">
        <v>1183.43</v>
      </c>
      <c r="E20" s="5">
        <v>443.28</v>
      </c>
      <c r="F20" s="5">
        <v>1333.9</v>
      </c>
      <c r="G20" s="5">
        <v>292.81</v>
      </c>
      <c r="H20" s="5">
        <v>1626.71</v>
      </c>
      <c r="I20" s="4">
        <f t="shared" si="0"/>
        <v>1183.43</v>
      </c>
      <c r="J20" s="4">
        <f t="shared" si="1"/>
        <v>0</v>
      </c>
      <c r="K20" s="4">
        <f t="shared" si="2"/>
        <v>150.47000000000003</v>
      </c>
      <c r="L20" s="4">
        <f t="shared" si="3"/>
        <v>0</v>
      </c>
      <c r="M20" s="5">
        <v>0</v>
      </c>
      <c r="N20" s="5">
        <v>0</v>
      </c>
      <c r="O20" s="5">
        <v>1333.9</v>
      </c>
    </row>
    <row r="21" spans="1:15" x14ac:dyDescent="0.25">
      <c r="A21" s="1" t="s">
        <v>41</v>
      </c>
      <c r="B21" s="2" t="s">
        <v>42</v>
      </c>
      <c r="C21" s="3" t="s">
        <v>46</v>
      </c>
      <c r="D21" s="4">
        <v>1028.7</v>
      </c>
      <c r="E21" s="4">
        <v>385.32</v>
      </c>
      <c r="F21" s="4">
        <v>1159.5</v>
      </c>
      <c r="G21" s="4">
        <v>254.52</v>
      </c>
      <c r="H21" s="4">
        <v>1414.02</v>
      </c>
      <c r="I21" s="4">
        <f t="shared" si="0"/>
        <v>1028.7</v>
      </c>
      <c r="J21" s="4">
        <f t="shared" si="1"/>
        <v>0</v>
      </c>
      <c r="K21" s="4">
        <f t="shared" si="2"/>
        <v>130.79999999999995</v>
      </c>
      <c r="L21" s="4">
        <f t="shared" si="3"/>
        <v>0</v>
      </c>
      <c r="M21" s="4">
        <v>0</v>
      </c>
      <c r="N21" s="4">
        <v>0</v>
      </c>
      <c r="O21" s="4">
        <v>1159.5</v>
      </c>
    </row>
    <row r="22" spans="1:15" x14ac:dyDescent="0.25">
      <c r="A22" s="1" t="s">
        <v>47</v>
      </c>
      <c r="B22" s="2" t="s">
        <v>48</v>
      </c>
      <c r="C22" s="3" t="s">
        <v>49</v>
      </c>
      <c r="D22" s="5">
        <v>82945.48</v>
      </c>
      <c r="E22" s="5">
        <v>8454.52</v>
      </c>
      <c r="F22" s="5">
        <v>91400</v>
      </c>
      <c r="G22" s="5">
        <v>0</v>
      </c>
      <c r="H22" s="5">
        <v>91400</v>
      </c>
      <c r="I22" s="4">
        <f t="shared" si="0"/>
        <v>82945.48</v>
      </c>
      <c r="J22" s="4">
        <f t="shared" si="1"/>
        <v>0</v>
      </c>
      <c r="K22" s="4">
        <f t="shared" si="2"/>
        <v>8454.5200000000041</v>
      </c>
      <c r="L22" s="4">
        <f t="shared" si="3"/>
        <v>0</v>
      </c>
      <c r="M22" s="5">
        <v>0</v>
      </c>
      <c r="N22" s="5">
        <v>0</v>
      </c>
      <c r="O22" s="5">
        <v>91400</v>
      </c>
    </row>
    <row r="23" spans="1:15" x14ac:dyDescent="0.25">
      <c r="A23" s="1" t="s">
        <v>50</v>
      </c>
      <c r="B23" s="2" t="s">
        <v>51</v>
      </c>
      <c r="C23" s="3" t="s">
        <v>38</v>
      </c>
      <c r="D23" s="4">
        <v>83443.78</v>
      </c>
      <c r="E23" s="4">
        <v>0</v>
      </c>
      <c r="F23" s="4">
        <v>83443.78</v>
      </c>
      <c r="G23" s="4">
        <v>0</v>
      </c>
      <c r="H23" s="4">
        <v>83443.78</v>
      </c>
      <c r="I23" s="4">
        <f t="shared" si="0"/>
        <v>83443.78</v>
      </c>
      <c r="J23" s="4">
        <f t="shared" si="1"/>
        <v>0</v>
      </c>
      <c r="K23" s="4">
        <f t="shared" si="2"/>
        <v>0</v>
      </c>
      <c r="L23" s="4">
        <f t="shared" si="3"/>
        <v>0</v>
      </c>
      <c r="M23" s="4">
        <v>0</v>
      </c>
      <c r="N23" s="4">
        <v>0</v>
      </c>
      <c r="O23" s="4">
        <v>83443.72</v>
      </c>
    </row>
    <row r="24" spans="1:15" x14ac:dyDescent="0.25">
      <c r="A24" s="1" t="s">
        <v>52</v>
      </c>
      <c r="B24" s="2" t="s">
        <v>53</v>
      </c>
      <c r="C24" s="3" t="s">
        <v>12</v>
      </c>
      <c r="D24" s="5">
        <v>6739.8</v>
      </c>
      <c r="E24" s="5">
        <v>0</v>
      </c>
      <c r="F24" s="5">
        <v>6739.8</v>
      </c>
      <c r="G24" s="5">
        <v>0</v>
      </c>
      <c r="H24" s="5">
        <v>6739.8</v>
      </c>
      <c r="I24" s="4">
        <f t="shared" si="0"/>
        <v>6739.8</v>
      </c>
      <c r="J24" s="4">
        <f t="shared" si="1"/>
        <v>0</v>
      </c>
      <c r="K24" s="4">
        <f t="shared" si="2"/>
        <v>0</v>
      </c>
      <c r="L24" s="4">
        <f t="shared" si="3"/>
        <v>0</v>
      </c>
      <c r="M24" s="5">
        <v>0</v>
      </c>
      <c r="N24" s="5">
        <v>0</v>
      </c>
      <c r="O24" s="5">
        <v>6739.8</v>
      </c>
    </row>
    <row r="25" spans="1:15" x14ac:dyDescent="0.25">
      <c r="A25" s="1" t="s">
        <v>54</v>
      </c>
      <c r="B25" s="2" t="s">
        <v>55</v>
      </c>
      <c r="C25" s="3" t="s">
        <v>56</v>
      </c>
      <c r="D25" s="4">
        <v>48801.31</v>
      </c>
      <c r="E25" s="4">
        <v>11390.81</v>
      </c>
      <c r="F25" s="4">
        <v>55369.07</v>
      </c>
      <c r="G25" s="4">
        <v>4823.05</v>
      </c>
      <c r="H25" s="4">
        <v>60192.12</v>
      </c>
      <c r="I25" s="4">
        <f t="shared" si="0"/>
        <v>48801.310000000005</v>
      </c>
      <c r="J25" s="4">
        <f t="shared" si="1"/>
        <v>0</v>
      </c>
      <c r="K25" s="4">
        <f t="shared" si="2"/>
        <v>6567.7599999999948</v>
      </c>
      <c r="L25" s="4">
        <f t="shared" si="3"/>
        <v>0</v>
      </c>
      <c r="M25" s="4">
        <v>0</v>
      </c>
      <c r="N25" s="4">
        <v>0</v>
      </c>
      <c r="O25" s="4">
        <v>37369.06</v>
      </c>
    </row>
    <row r="26" spans="1:15" x14ac:dyDescent="0.25">
      <c r="A26" s="1" t="s">
        <v>57</v>
      </c>
      <c r="B26" s="2" t="s">
        <v>58</v>
      </c>
      <c r="C26" s="3" t="s">
        <v>20</v>
      </c>
      <c r="D26" s="5">
        <v>8800.48</v>
      </c>
      <c r="E26" s="5">
        <v>0</v>
      </c>
      <c r="F26" s="5">
        <v>8800.48</v>
      </c>
      <c r="G26" s="5">
        <v>0</v>
      </c>
      <c r="H26" s="5">
        <v>8800.48</v>
      </c>
      <c r="I26" s="4">
        <f t="shared" si="0"/>
        <v>8800.48</v>
      </c>
      <c r="J26" s="4">
        <f t="shared" si="1"/>
        <v>0</v>
      </c>
      <c r="K26" s="4">
        <f t="shared" si="2"/>
        <v>0</v>
      </c>
      <c r="L26" s="4">
        <f t="shared" si="3"/>
        <v>0</v>
      </c>
      <c r="M26" s="5">
        <v>0</v>
      </c>
      <c r="N26" s="5">
        <v>0</v>
      </c>
      <c r="O26" s="5">
        <v>8800.44</v>
      </c>
    </row>
    <row r="27" spans="1:15" x14ac:dyDescent="0.25">
      <c r="A27" s="1" t="s">
        <v>59</v>
      </c>
      <c r="B27" s="2" t="s">
        <v>60</v>
      </c>
      <c r="C27" s="3" t="s">
        <v>20</v>
      </c>
      <c r="D27" s="4">
        <v>4407.26</v>
      </c>
      <c r="E27" s="4">
        <v>0</v>
      </c>
      <c r="F27" s="4">
        <v>4407.26</v>
      </c>
      <c r="G27" s="4">
        <v>0</v>
      </c>
      <c r="H27" s="4">
        <v>4407.26</v>
      </c>
      <c r="I27" s="4">
        <f t="shared" si="0"/>
        <v>4407.26</v>
      </c>
      <c r="J27" s="4">
        <f t="shared" si="1"/>
        <v>0</v>
      </c>
      <c r="K27" s="4">
        <f t="shared" si="2"/>
        <v>0</v>
      </c>
      <c r="L27" s="4">
        <f t="shared" si="3"/>
        <v>0</v>
      </c>
      <c r="M27" s="4">
        <v>0</v>
      </c>
      <c r="N27" s="4">
        <v>0</v>
      </c>
      <c r="O27" s="4">
        <v>4407.26</v>
      </c>
    </row>
    <row r="28" spans="1:15" x14ac:dyDescent="0.25">
      <c r="A28" s="1" t="s">
        <v>61</v>
      </c>
      <c r="B28" s="2" t="s">
        <v>62</v>
      </c>
      <c r="C28" s="3" t="s">
        <v>20</v>
      </c>
      <c r="D28" s="5">
        <v>10518.94</v>
      </c>
      <c r="E28" s="5">
        <v>2838.47</v>
      </c>
      <c r="F28" s="5">
        <v>11754.52</v>
      </c>
      <c r="G28" s="5">
        <v>1602.89</v>
      </c>
      <c r="H28" s="5">
        <v>13357.41</v>
      </c>
      <c r="I28" s="4">
        <f t="shared" si="0"/>
        <v>10518.94</v>
      </c>
      <c r="J28" s="4">
        <f t="shared" si="1"/>
        <v>0</v>
      </c>
      <c r="K28" s="4">
        <f t="shared" si="2"/>
        <v>1235.58</v>
      </c>
      <c r="L28" s="4">
        <f t="shared" si="3"/>
        <v>0</v>
      </c>
      <c r="M28" s="5">
        <v>0</v>
      </c>
      <c r="N28" s="5">
        <v>0</v>
      </c>
      <c r="O28" s="5">
        <v>11754.51</v>
      </c>
    </row>
    <row r="29" spans="1:15" x14ac:dyDescent="0.25">
      <c r="A29" s="1" t="s">
        <v>63</v>
      </c>
      <c r="B29" s="2" t="s">
        <v>64</v>
      </c>
      <c r="C29" s="3" t="s">
        <v>12</v>
      </c>
      <c r="D29" s="4">
        <v>53454.11</v>
      </c>
      <c r="E29" s="4">
        <v>20022.150000000001</v>
      </c>
      <c r="F29" s="4">
        <v>60250.52</v>
      </c>
      <c r="G29" s="4">
        <v>13225.74</v>
      </c>
      <c r="H29" s="4">
        <v>73476.259999999995</v>
      </c>
      <c r="I29" s="4">
        <f t="shared" si="0"/>
        <v>53454.109999999993</v>
      </c>
      <c r="J29" s="4">
        <f t="shared" si="1"/>
        <v>0</v>
      </c>
      <c r="K29" s="4">
        <f t="shared" si="2"/>
        <v>6796.4100000000035</v>
      </c>
      <c r="L29" s="4">
        <f t="shared" si="3"/>
        <v>0</v>
      </c>
      <c r="M29" s="4">
        <v>0</v>
      </c>
      <c r="N29" s="4">
        <v>0</v>
      </c>
      <c r="O29" s="4">
        <v>60250.080000000002</v>
      </c>
    </row>
    <row r="30" spans="1:15" x14ac:dyDescent="0.25">
      <c r="A30" s="1" t="s">
        <v>63</v>
      </c>
      <c r="B30" s="2" t="s">
        <v>64</v>
      </c>
      <c r="C30" s="3" t="s">
        <v>65</v>
      </c>
      <c r="D30" s="5">
        <v>37275.360000000001</v>
      </c>
      <c r="E30" s="5">
        <v>10058.379999999999</v>
      </c>
      <c r="F30" s="5">
        <v>41653.72</v>
      </c>
      <c r="G30" s="5">
        <v>5680.02</v>
      </c>
      <c r="H30" s="5">
        <v>47333.74</v>
      </c>
      <c r="I30" s="4">
        <f t="shared" si="0"/>
        <v>37275.360000000001</v>
      </c>
      <c r="J30" s="4">
        <f t="shared" si="1"/>
        <v>0</v>
      </c>
      <c r="K30" s="4">
        <f t="shared" si="2"/>
        <v>4378.3600000000006</v>
      </c>
      <c r="L30" s="4">
        <f t="shared" si="3"/>
        <v>0</v>
      </c>
      <c r="M30" s="5">
        <v>0</v>
      </c>
      <c r="N30" s="5">
        <v>0</v>
      </c>
      <c r="O30" s="5">
        <v>41653.629999999997</v>
      </c>
    </row>
    <row r="31" spans="1:15" x14ac:dyDescent="0.25">
      <c r="A31" s="1" t="s">
        <v>63</v>
      </c>
      <c r="B31" s="2" t="s">
        <v>64</v>
      </c>
      <c r="C31" s="3" t="s">
        <v>66</v>
      </c>
      <c r="D31" s="4">
        <v>4742.8999999999996</v>
      </c>
      <c r="E31" s="4">
        <v>1279.82</v>
      </c>
      <c r="F31" s="4">
        <v>5300</v>
      </c>
      <c r="G31" s="4">
        <v>722.72</v>
      </c>
      <c r="H31" s="4">
        <v>6022.72</v>
      </c>
      <c r="I31" s="4">
        <f t="shared" si="0"/>
        <v>4742.9000000000005</v>
      </c>
      <c r="J31" s="4">
        <f t="shared" si="1"/>
        <v>0</v>
      </c>
      <c r="K31" s="4">
        <f t="shared" si="2"/>
        <v>557.09999999999945</v>
      </c>
      <c r="L31" s="4">
        <f t="shared" si="3"/>
        <v>0</v>
      </c>
      <c r="M31" s="4">
        <v>0</v>
      </c>
      <c r="N31" s="4">
        <v>0</v>
      </c>
      <c r="O31" s="4">
        <v>5299.98</v>
      </c>
    </row>
    <row r="32" spans="1:15" x14ac:dyDescent="0.25">
      <c r="A32" s="1" t="s">
        <v>63</v>
      </c>
      <c r="B32" s="2" t="s">
        <v>64</v>
      </c>
      <c r="C32" s="3" t="s">
        <v>67</v>
      </c>
      <c r="D32" s="5">
        <v>11843.17</v>
      </c>
      <c r="E32" s="5">
        <v>3195.75</v>
      </c>
      <c r="F32" s="5">
        <v>13234.26</v>
      </c>
      <c r="G32" s="5">
        <v>1804.66</v>
      </c>
      <c r="H32" s="5">
        <v>15038.92</v>
      </c>
      <c r="I32" s="4">
        <f t="shared" si="0"/>
        <v>11843.17</v>
      </c>
      <c r="J32" s="4">
        <f t="shared" si="1"/>
        <v>0</v>
      </c>
      <c r="K32" s="4">
        <f t="shared" si="2"/>
        <v>1391.0900000000001</v>
      </c>
      <c r="L32" s="4">
        <f t="shared" si="3"/>
        <v>0</v>
      </c>
      <c r="M32" s="5">
        <v>0</v>
      </c>
      <c r="N32" s="5">
        <v>0</v>
      </c>
      <c r="O32" s="5">
        <v>13234.23</v>
      </c>
    </row>
    <row r="34" spans="1:13" x14ac:dyDescent="0.25">
      <c r="A34" t="s">
        <v>0</v>
      </c>
      <c r="B34" t="s">
        <v>1</v>
      </c>
      <c r="C34" t="s">
        <v>2</v>
      </c>
      <c r="D34" t="s">
        <v>72</v>
      </c>
      <c r="E34" t="s">
        <v>73</v>
      </c>
      <c r="F34" t="s">
        <v>74</v>
      </c>
      <c r="G34" t="s">
        <v>75</v>
      </c>
      <c r="H34" t="s">
        <v>76</v>
      </c>
      <c r="I34" t="s">
        <v>77</v>
      </c>
      <c r="J34" t="s">
        <v>78</v>
      </c>
      <c r="K34" t="s">
        <v>79</v>
      </c>
      <c r="L34" t="s">
        <v>80</v>
      </c>
      <c r="M34" t="s">
        <v>4</v>
      </c>
    </row>
    <row r="35" spans="1:13" hidden="1" x14ac:dyDescent="0.25">
      <c r="A35" t="s">
        <v>41</v>
      </c>
      <c r="B35" t="s">
        <v>42</v>
      </c>
      <c r="C35" t="s">
        <v>20</v>
      </c>
      <c r="D35" t="s">
        <v>81</v>
      </c>
      <c r="E35" t="s">
        <v>82</v>
      </c>
      <c r="F35" s="18">
        <v>279.64999999999998</v>
      </c>
      <c r="G35" s="18">
        <v>118.07</v>
      </c>
      <c r="H35" s="18">
        <v>0</v>
      </c>
      <c r="I35" s="18">
        <v>0</v>
      </c>
      <c r="J35" s="18">
        <v>0</v>
      </c>
      <c r="K35" s="18">
        <v>0</v>
      </c>
      <c r="L35" s="18">
        <v>25.63</v>
      </c>
      <c r="M35" s="18">
        <v>423.35</v>
      </c>
    </row>
    <row r="36" spans="1:13" x14ac:dyDescent="0.25">
      <c r="A36" t="s">
        <v>41</v>
      </c>
      <c r="B36" t="s">
        <v>42</v>
      </c>
      <c r="C36" t="s">
        <v>38</v>
      </c>
      <c r="D36" t="s">
        <v>83</v>
      </c>
      <c r="E36" t="s">
        <v>84</v>
      </c>
      <c r="F36" s="18">
        <v>39.840000000000003</v>
      </c>
      <c r="G36" s="18">
        <v>75.7</v>
      </c>
      <c r="H36" s="18">
        <v>0</v>
      </c>
      <c r="I36" s="18">
        <v>0</v>
      </c>
      <c r="J36" s="18">
        <v>0</v>
      </c>
      <c r="K36" s="18">
        <v>39.840000000000003</v>
      </c>
      <c r="L36" s="18">
        <v>16.43</v>
      </c>
      <c r="M36" s="18">
        <v>171.81</v>
      </c>
    </row>
    <row r="37" spans="1:13" x14ac:dyDescent="0.25">
      <c r="A37" t="s">
        <v>41</v>
      </c>
      <c r="B37" t="s">
        <v>42</v>
      </c>
      <c r="C37" t="s">
        <v>38</v>
      </c>
      <c r="D37" t="s">
        <v>83</v>
      </c>
      <c r="E37" t="s">
        <v>85</v>
      </c>
      <c r="F37" s="18">
        <v>39.840000000000003</v>
      </c>
      <c r="G37" s="18">
        <v>75.7</v>
      </c>
      <c r="H37" s="18">
        <v>0</v>
      </c>
      <c r="I37" s="18">
        <v>0</v>
      </c>
      <c r="J37" s="18">
        <v>0</v>
      </c>
      <c r="K37" s="18">
        <v>39.840000000000003</v>
      </c>
      <c r="L37" s="18">
        <v>16.43</v>
      </c>
      <c r="M37" s="18">
        <v>171.81</v>
      </c>
    </row>
    <row r="38" spans="1:13" x14ac:dyDescent="0.25">
      <c r="A38" t="s">
        <v>41</v>
      </c>
      <c r="B38" t="s">
        <v>42</v>
      </c>
      <c r="C38" t="s">
        <v>38</v>
      </c>
      <c r="D38" t="s">
        <v>83</v>
      </c>
      <c r="E38" t="s">
        <v>86</v>
      </c>
      <c r="F38" s="18">
        <v>43.76</v>
      </c>
      <c r="G38" s="18">
        <v>83.15</v>
      </c>
      <c r="H38" s="18">
        <v>0</v>
      </c>
      <c r="I38" s="18">
        <v>0</v>
      </c>
      <c r="J38" s="18">
        <v>0</v>
      </c>
      <c r="K38" s="18">
        <v>43.76</v>
      </c>
      <c r="L38" s="18">
        <v>18.05</v>
      </c>
      <c r="M38" s="18">
        <v>188.72</v>
      </c>
    </row>
    <row r="39" spans="1:13" x14ac:dyDescent="0.25">
      <c r="A39" t="s">
        <v>41</v>
      </c>
      <c r="B39" t="s">
        <v>42</v>
      </c>
      <c r="C39" t="s">
        <v>38</v>
      </c>
      <c r="D39" t="s">
        <v>83</v>
      </c>
      <c r="E39" t="s">
        <v>87</v>
      </c>
      <c r="F39" s="18">
        <v>39.840000000000003</v>
      </c>
      <c r="G39" s="18">
        <v>75.7</v>
      </c>
      <c r="H39" s="18">
        <v>0</v>
      </c>
      <c r="I39" s="18">
        <v>0</v>
      </c>
      <c r="J39" s="18">
        <v>0</v>
      </c>
      <c r="K39" s="18">
        <v>39.840000000000003</v>
      </c>
      <c r="L39" s="18">
        <v>16.43</v>
      </c>
      <c r="M39" s="18">
        <v>171.81</v>
      </c>
    </row>
    <row r="40" spans="1:13" x14ac:dyDescent="0.25">
      <c r="A40" t="s">
        <v>41</v>
      </c>
      <c r="B40" t="s">
        <v>42</v>
      </c>
      <c r="C40" t="s">
        <v>38</v>
      </c>
      <c r="D40" t="s">
        <v>83</v>
      </c>
      <c r="E40" t="s">
        <v>88</v>
      </c>
      <c r="F40" s="18">
        <v>39.840000000000003</v>
      </c>
      <c r="G40" s="18">
        <v>75.7</v>
      </c>
      <c r="H40" s="18">
        <v>0</v>
      </c>
      <c r="I40" s="18">
        <v>0</v>
      </c>
      <c r="J40" s="18">
        <v>0</v>
      </c>
      <c r="K40" s="18">
        <v>39.840000000000003</v>
      </c>
      <c r="L40" s="18">
        <v>16.43</v>
      </c>
      <c r="M40" s="18">
        <v>171.81</v>
      </c>
    </row>
    <row r="41" spans="1:13" x14ac:dyDescent="0.25">
      <c r="A41" t="s">
        <v>41</v>
      </c>
      <c r="B41" t="s">
        <v>42</v>
      </c>
      <c r="C41" t="s">
        <v>38</v>
      </c>
      <c r="D41" t="s">
        <v>83</v>
      </c>
      <c r="E41" t="s">
        <v>89</v>
      </c>
      <c r="F41" s="18">
        <v>39.840000000000003</v>
      </c>
      <c r="G41" s="18">
        <v>75.7</v>
      </c>
      <c r="H41" s="18">
        <v>0</v>
      </c>
      <c r="I41" s="18">
        <v>0</v>
      </c>
      <c r="J41" s="18">
        <v>0</v>
      </c>
      <c r="K41" s="18">
        <v>39.840000000000003</v>
      </c>
      <c r="L41" s="18">
        <v>16.43</v>
      </c>
      <c r="M41" s="18">
        <v>171.81</v>
      </c>
    </row>
    <row r="42" spans="1:13" x14ac:dyDescent="0.25">
      <c r="A42" t="s">
        <v>41</v>
      </c>
      <c r="B42" t="s">
        <v>42</v>
      </c>
      <c r="C42" t="s">
        <v>38</v>
      </c>
      <c r="D42" t="s">
        <v>83</v>
      </c>
      <c r="E42" t="s">
        <v>90</v>
      </c>
      <c r="F42" s="18">
        <v>43.76</v>
      </c>
      <c r="G42" s="18">
        <v>83.15</v>
      </c>
      <c r="H42" s="18">
        <v>0</v>
      </c>
      <c r="I42" s="18">
        <v>0</v>
      </c>
      <c r="J42" s="18">
        <v>0</v>
      </c>
      <c r="K42" s="18">
        <v>43.76</v>
      </c>
      <c r="L42" s="18">
        <v>18.05</v>
      </c>
      <c r="M42" s="18">
        <v>188.72</v>
      </c>
    </row>
    <row r="43" spans="1:13" x14ac:dyDescent="0.25">
      <c r="A43" t="s">
        <v>41</v>
      </c>
      <c r="B43" t="s">
        <v>42</v>
      </c>
      <c r="C43" t="s">
        <v>38</v>
      </c>
      <c r="D43" t="s">
        <v>83</v>
      </c>
      <c r="E43" t="s">
        <v>91</v>
      </c>
      <c r="F43" s="18">
        <v>43.76</v>
      </c>
      <c r="G43" s="18">
        <v>83.15</v>
      </c>
      <c r="H43" s="18">
        <v>0</v>
      </c>
      <c r="I43" s="18">
        <v>0</v>
      </c>
      <c r="J43" s="18">
        <v>0</v>
      </c>
      <c r="K43" s="18">
        <v>43.76</v>
      </c>
      <c r="L43" s="18">
        <v>18.05</v>
      </c>
      <c r="M43" s="18">
        <v>188.72</v>
      </c>
    </row>
    <row r="44" spans="1:13" x14ac:dyDescent="0.25">
      <c r="A44" t="s">
        <v>41</v>
      </c>
      <c r="B44" t="s">
        <v>42</v>
      </c>
      <c r="C44" t="s">
        <v>38</v>
      </c>
      <c r="D44" t="s">
        <v>83</v>
      </c>
      <c r="E44" t="s">
        <v>92</v>
      </c>
      <c r="F44" s="18">
        <v>43.76</v>
      </c>
      <c r="G44" s="18">
        <v>83.15</v>
      </c>
      <c r="H44" s="18">
        <v>0</v>
      </c>
      <c r="I44" s="18">
        <v>0</v>
      </c>
      <c r="J44" s="18">
        <v>0</v>
      </c>
      <c r="K44" s="18">
        <v>43.76</v>
      </c>
      <c r="L44" s="18">
        <v>18.05</v>
      </c>
      <c r="M44" s="18">
        <v>188.72</v>
      </c>
    </row>
    <row r="45" spans="1:13" x14ac:dyDescent="0.25">
      <c r="A45" t="s">
        <v>41</v>
      </c>
      <c r="B45" t="s">
        <v>42</v>
      </c>
      <c r="C45" t="s">
        <v>38</v>
      </c>
      <c r="D45" t="s">
        <v>83</v>
      </c>
      <c r="E45" t="s">
        <v>93</v>
      </c>
      <c r="F45" s="18">
        <v>43.76</v>
      </c>
      <c r="G45" s="18">
        <v>83.15</v>
      </c>
      <c r="H45" s="18">
        <v>0</v>
      </c>
      <c r="I45" s="18">
        <v>0</v>
      </c>
      <c r="J45" s="18">
        <v>0</v>
      </c>
      <c r="K45" s="18">
        <v>43.76</v>
      </c>
      <c r="L45" s="18">
        <v>18.05</v>
      </c>
      <c r="M45" s="18">
        <v>188.72</v>
      </c>
    </row>
    <row r="46" spans="1:13" x14ac:dyDescent="0.25">
      <c r="A46" t="s">
        <v>41</v>
      </c>
      <c r="B46" t="s">
        <v>42</v>
      </c>
      <c r="C46" t="s">
        <v>38</v>
      </c>
      <c r="D46" t="s">
        <v>83</v>
      </c>
      <c r="E46" t="s">
        <v>94</v>
      </c>
      <c r="F46" s="18">
        <v>43.76</v>
      </c>
      <c r="G46" s="18">
        <v>83.15</v>
      </c>
      <c r="H46" s="18">
        <v>0</v>
      </c>
      <c r="I46" s="18">
        <v>0</v>
      </c>
      <c r="J46" s="18">
        <v>0</v>
      </c>
      <c r="K46" s="18">
        <v>43.76</v>
      </c>
      <c r="L46" s="18">
        <v>18.05</v>
      </c>
      <c r="M46" s="18">
        <v>188.72</v>
      </c>
    </row>
    <row r="47" spans="1:13" x14ac:dyDescent="0.25">
      <c r="A47" t="s">
        <v>41</v>
      </c>
      <c r="B47" t="s">
        <v>42</v>
      </c>
      <c r="C47" t="s">
        <v>38</v>
      </c>
      <c r="D47" t="s">
        <v>83</v>
      </c>
      <c r="E47" t="s">
        <v>95</v>
      </c>
      <c r="F47" s="18">
        <v>43.76</v>
      </c>
      <c r="G47" s="18">
        <v>83.15</v>
      </c>
      <c r="H47" s="18">
        <v>0</v>
      </c>
      <c r="I47" s="18">
        <v>0</v>
      </c>
      <c r="J47" s="18">
        <v>0</v>
      </c>
      <c r="K47" s="18">
        <v>43.76</v>
      </c>
      <c r="L47" s="18">
        <v>18.05</v>
      </c>
      <c r="M47" s="18">
        <v>188.72</v>
      </c>
    </row>
    <row r="48" spans="1:13" x14ac:dyDescent="0.25">
      <c r="A48" t="s">
        <v>41</v>
      </c>
      <c r="B48" t="s">
        <v>42</v>
      </c>
      <c r="C48" t="s">
        <v>38</v>
      </c>
      <c r="D48" t="s">
        <v>83</v>
      </c>
      <c r="E48" t="s">
        <v>96</v>
      </c>
      <c r="F48" s="18">
        <v>43.76</v>
      </c>
      <c r="G48" s="18">
        <v>83.15</v>
      </c>
      <c r="H48" s="18">
        <v>0</v>
      </c>
      <c r="I48" s="18">
        <v>0</v>
      </c>
      <c r="J48" s="18">
        <v>0</v>
      </c>
      <c r="K48" s="18">
        <v>43.76</v>
      </c>
      <c r="L48" s="18">
        <v>18.05</v>
      </c>
      <c r="M48" s="18">
        <v>188.72</v>
      </c>
    </row>
    <row r="49" spans="1:13" x14ac:dyDescent="0.25">
      <c r="A49" t="s">
        <v>41</v>
      </c>
      <c r="B49" t="s">
        <v>42</v>
      </c>
      <c r="C49" t="s">
        <v>38</v>
      </c>
      <c r="D49" t="s">
        <v>83</v>
      </c>
      <c r="E49" t="s">
        <v>97</v>
      </c>
      <c r="F49" s="18">
        <v>43.76</v>
      </c>
      <c r="G49" s="18">
        <v>83.15</v>
      </c>
      <c r="H49" s="18">
        <v>0</v>
      </c>
      <c r="I49" s="18">
        <v>0</v>
      </c>
      <c r="J49" s="18">
        <v>0</v>
      </c>
      <c r="K49" s="18">
        <v>43.76</v>
      </c>
      <c r="L49" s="18">
        <v>18.05</v>
      </c>
      <c r="M49" s="18">
        <v>188.72</v>
      </c>
    </row>
    <row r="50" spans="1:13" x14ac:dyDescent="0.25">
      <c r="A50" t="s">
        <v>41</v>
      </c>
      <c r="B50" t="s">
        <v>42</v>
      </c>
      <c r="C50" t="s">
        <v>38</v>
      </c>
      <c r="D50" t="s">
        <v>83</v>
      </c>
      <c r="E50" t="s">
        <v>98</v>
      </c>
      <c r="F50" s="18">
        <v>43.76</v>
      </c>
      <c r="G50" s="18">
        <v>83.15</v>
      </c>
      <c r="H50" s="18">
        <v>0</v>
      </c>
      <c r="I50" s="18">
        <v>0</v>
      </c>
      <c r="J50" s="18">
        <v>0</v>
      </c>
      <c r="K50" s="18">
        <v>43.76</v>
      </c>
      <c r="L50" s="18">
        <v>18.05</v>
      </c>
      <c r="M50" s="18">
        <v>188.72</v>
      </c>
    </row>
    <row r="51" spans="1:13" x14ac:dyDescent="0.25">
      <c r="A51" t="s">
        <v>41</v>
      </c>
      <c r="B51" t="s">
        <v>42</v>
      </c>
      <c r="C51" t="s">
        <v>38</v>
      </c>
      <c r="D51" t="s">
        <v>83</v>
      </c>
      <c r="E51" t="s">
        <v>99</v>
      </c>
      <c r="F51" s="18">
        <v>43.76</v>
      </c>
      <c r="G51" s="18">
        <v>83.15</v>
      </c>
      <c r="H51" s="18">
        <v>0</v>
      </c>
      <c r="I51" s="18">
        <v>0</v>
      </c>
      <c r="J51" s="18">
        <v>0</v>
      </c>
      <c r="K51" s="18">
        <v>43.76</v>
      </c>
      <c r="L51" s="18">
        <v>18.05</v>
      </c>
      <c r="M51" s="18">
        <v>188.72</v>
      </c>
    </row>
    <row r="52" spans="1:13" x14ac:dyDescent="0.25">
      <c r="A52" t="s">
        <v>41</v>
      </c>
      <c r="B52" t="s">
        <v>42</v>
      </c>
      <c r="C52" t="s">
        <v>38</v>
      </c>
      <c r="D52" t="s">
        <v>83</v>
      </c>
      <c r="E52" t="s">
        <v>100</v>
      </c>
      <c r="F52" s="18">
        <v>43.76</v>
      </c>
      <c r="G52" s="18">
        <v>83.15</v>
      </c>
      <c r="H52" s="18">
        <v>0</v>
      </c>
      <c r="I52" s="18">
        <v>0</v>
      </c>
      <c r="J52" s="18">
        <v>0</v>
      </c>
      <c r="K52" s="18">
        <v>43.76</v>
      </c>
      <c r="L52" s="18">
        <v>18.05</v>
      </c>
      <c r="M52" s="18">
        <v>188.72</v>
      </c>
    </row>
    <row r="53" spans="1:13" x14ac:dyDescent="0.25">
      <c r="A53" t="s">
        <v>41</v>
      </c>
      <c r="B53" t="s">
        <v>42</v>
      </c>
      <c r="C53" t="s">
        <v>38</v>
      </c>
      <c r="D53" t="s">
        <v>83</v>
      </c>
      <c r="E53" t="s">
        <v>101</v>
      </c>
      <c r="F53" s="18">
        <v>43.76</v>
      </c>
      <c r="G53" s="18">
        <v>83.15</v>
      </c>
      <c r="H53" s="18">
        <v>0</v>
      </c>
      <c r="I53" s="18">
        <v>0</v>
      </c>
      <c r="J53" s="18">
        <v>0</v>
      </c>
      <c r="K53" s="18">
        <v>43.76</v>
      </c>
      <c r="L53" s="18">
        <v>18.05</v>
      </c>
      <c r="M53" s="18">
        <v>188.72</v>
      </c>
    </row>
    <row r="54" spans="1:13" x14ac:dyDescent="0.25">
      <c r="A54" t="s">
        <v>41</v>
      </c>
      <c r="B54" t="s">
        <v>42</v>
      </c>
      <c r="C54" t="s">
        <v>38</v>
      </c>
      <c r="D54" t="s">
        <v>83</v>
      </c>
      <c r="E54" t="s">
        <v>102</v>
      </c>
      <c r="F54" s="18">
        <v>43.76</v>
      </c>
      <c r="G54" s="18">
        <v>83.15</v>
      </c>
      <c r="H54" s="18">
        <v>0</v>
      </c>
      <c r="I54" s="18">
        <v>0</v>
      </c>
      <c r="J54" s="18">
        <v>0</v>
      </c>
      <c r="K54" s="18">
        <v>43.76</v>
      </c>
      <c r="L54" s="18">
        <v>18.05</v>
      </c>
      <c r="M54" s="18">
        <v>188.72</v>
      </c>
    </row>
    <row r="55" spans="1:13" x14ac:dyDescent="0.25">
      <c r="A55" t="s">
        <v>41</v>
      </c>
      <c r="B55" t="s">
        <v>42</v>
      </c>
      <c r="C55" t="s">
        <v>38</v>
      </c>
      <c r="D55" t="s">
        <v>83</v>
      </c>
      <c r="E55" t="s">
        <v>103</v>
      </c>
      <c r="F55" s="18">
        <v>43.76</v>
      </c>
      <c r="G55" s="18">
        <v>83.15</v>
      </c>
      <c r="H55" s="18">
        <v>0</v>
      </c>
      <c r="I55" s="18">
        <v>0</v>
      </c>
      <c r="J55" s="18">
        <v>0</v>
      </c>
      <c r="K55" s="18">
        <v>43.76</v>
      </c>
      <c r="L55" s="18">
        <v>18.05</v>
      </c>
      <c r="M55" s="18">
        <v>188.72</v>
      </c>
    </row>
    <row r="56" spans="1:13" x14ac:dyDescent="0.25">
      <c r="A56" t="s">
        <v>41</v>
      </c>
      <c r="B56" t="s">
        <v>42</v>
      </c>
      <c r="C56" t="s">
        <v>38</v>
      </c>
      <c r="D56" t="s">
        <v>83</v>
      </c>
      <c r="E56" t="s">
        <v>104</v>
      </c>
      <c r="F56" s="18">
        <v>39.840000000000003</v>
      </c>
      <c r="G56" s="18">
        <v>75.7</v>
      </c>
      <c r="H56" s="18">
        <v>0</v>
      </c>
      <c r="I56" s="18">
        <v>0</v>
      </c>
      <c r="J56" s="18">
        <v>0</v>
      </c>
      <c r="K56" s="18">
        <v>39.840000000000003</v>
      </c>
      <c r="L56" s="18">
        <v>16.43</v>
      </c>
      <c r="M56" s="18">
        <v>171.81</v>
      </c>
    </row>
    <row r="57" spans="1:13" x14ac:dyDescent="0.25">
      <c r="A57" t="s">
        <v>41</v>
      </c>
      <c r="B57" t="s">
        <v>42</v>
      </c>
      <c r="C57" t="s">
        <v>38</v>
      </c>
      <c r="D57" t="s">
        <v>83</v>
      </c>
      <c r="E57" t="s">
        <v>105</v>
      </c>
      <c r="F57" s="18">
        <v>39.840000000000003</v>
      </c>
      <c r="G57" s="18">
        <v>75.7</v>
      </c>
      <c r="H57" s="18">
        <v>0</v>
      </c>
      <c r="I57" s="18">
        <v>0</v>
      </c>
      <c r="J57" s="18">
        <v>0</v>
      </c>
      <c r="K57" s="18">
        <v>39.840000000000003</v>
      </c>
      <c r="L57" s="18">
        <v>16.43</v>
      </c>
      <c r="M57" s="18">
        <v>171.81</v>
      </c>
    </row>
    <row r="58" spans="1:13" x14ac:dyDescent="0.25">
      <c r="A58" t="s">
        <v>41</v>
      </c>
      <c r="B58" t="s">
        <v>42</v>
      </c>
      <c r="C58" t="s">
        <v>38</v>
      </c>
      <c r="D58" t="s">
        <v>83</v>
      </c>
      <c r="E58" t="s">
        <v>106</v>
      </c>
      <c r="F58" s="18">
        <v>43.76</v>
      </c>
      <c r="G58" s="18">
        <v>83.15</v>
      </c>
      <c r="H58" s="18">
        <v>0</v>
      </c>
      <c r="I58" s="18">
        <v>0</v>
      </c>
      <c r="J58" s="18">
        <v>0</v>
      </c>
      <c r="K58" s="18">
        <v>43.76</v>
      </c>
      <c r="L58" s="18">
        <v>18.05</v>
      </c>
      <c r="M58" s="18">
        <v>188.72</v>
      </c>
    </row>
    <row r="59" spans="1:13" x14ac:dyDescent="0.25">
      <c r="A59" t="s">
        <v>41</v>
      </c>
      <c r="B59" t="s">
        <v>42</v>
      </c>
      <c r="C59" t="s">
        <v>38</v>
      </c>
      <c r="D59" t="s">
        <v>83</v>
      </c>
      <c r="E59" t="s">
        <v>107</v>
      </c>
      <c r="F59" s="18">
        <v>43.76</v>
      </c>
      <c r="G59" s="18">
        <v>83.15</v>
      </c>
      <c r="H59" s="18">
        <v>0</v>
      </c>
      <c r="I59" s="18">
        <v>0</v>
      </c>
      <c r="J59" s="18">
        <v>0</v>
      </c>
      <c r="K59" s="18">
        <v>43.76</v>
      </c>
      <c r="L59" s="18">
        <v>18.05</v>
      </c>
      <c r="M59" s="18">
        <v>188.72</v>
      </c>
    </row>
    <row r="60" spans="1:13" x14ac:dyDescent="0.25">
      <c r="A60" t="s">
        <v>41</v>
      </c>
      <c r="B60" t="s">
        <v>42</v>
      </c>
      <c r="C60" t="s">
        <v>38</v>
      </c>
      <c r="D60" t="s">
        <v>83</v>
      </c>
      <c r="E60" t="s">
        <v>108</v>
      </c>
      <c r="F60" s="18">
        <v>43.76</v>
      </c>
      <c r="G60" s="18">
        <v>83.15</v>
      </c>
      <c r="H60" s="18">
        <v>0</v>
      </c>
      <c r="I60" s="18">
        <v>0</v>
      </c>
      <c r="J60" s="18">
        <v>0</v>
      </c>
      <c r="K60" s="18">
        <v>43.76</v>
      </c>
      <c r="L60" s="18">
        <v>18.05</v>
      </c>
      <c r="M60" s="18">
        <v>188.72</v>
      </c>
    </row>
    <row r="61" spans="1:13" x14ac:dyDescent="0.25">
      <c r="A61" t="s">
        <v>41</v>
      </c>
      <c r="B61" t="s">
        <v>42</v>
      </c>
      <c r="C61" t="s">
        <v>38</v>
      </c>
      <c r="D61" t="s">
        <v>83</v>
      </c>
      <c r="E61" t="s">
        <v>109</v>
      </c>
      <c r="F61" s="18">
        <v>43.76</v>
      </c>
      <c r="G61" s="18">
        <v>83.15</v>
      </c>
      <c r="H61" s="18">
        <v>0</v>
      </c>
      <c r="I61" s="18">
        <v>0</v>
      </c>
      <c r="J61" s="18">
        <v>0</v>
      </c>
      <c r="K61" s="18">
        <v>43.76</v>
      </c>
      <c r="L61" s="18">
        <v>18.05</v>
      </c>
      <c r="M61" s="18">
        <v>188.72</v>
      </c>
    </row>
    <row r="62" spans="1:13" x14ac:dyDescent="0.25">
      <c r="A62" t="s">
        <v>41</v>
      </c>
      <c r="B62" t="s">
        <v>42</v>
      </c>
      <c r="C62" t="s">
        <v>38</v>
      </c>
      <c r="D62" t="s">
        <v>83</v>
      </c>
      <c r="E62" t="s">
        <v>110</v>
      </c>
      <c r="F62" s="18">
        <v>43.76</v>
      </c>
      <c r="G62" s="18">
        <v>83.15</v>
      </c>
      <c r="H62" s="18">
        <v>0</v>
      </c>
      <c r="I62" s="18">
        <v>0</v>
      </c>
      <c r="J62" s="18">
        <v>0</v>
      </c>
      <c r="K62" s="18">
        <v>43.76</v>
      </c>
      <c r="L62" s="18">
        <v>18.05</v>
      </c>
      <c r="M62" s="18">
        <v>188.72</v>
      </c>
    </row>
    <row r="63" spans="1:13" x14ac:dyDescent="0.25">
      <c r="A63" t="s">
        <v>41</v>
      </c>
      <c r="B63" t="s">
        <v>42</v>
      </c>
      <c r="C63" t="s">
        <v>38</v>
      </c>
      <c r="D63" t="s">
        <v>81</v>
      </c>
      <c r="E63" t="s">
        <v>111</v>
      </c>
      <c r="F63" s="18">
        <v>292.81</v>
      </c>
      <c r="G63" s="18">
        <v>123.63</v>
      </c>
      <c r="H63" s="18">
        <v>0</v>
      </c>
      <c r="I63" s="18">
        <v>0</v>
      </c>
      <c r="J63" s="18">
        <v>0</v>
      </c>
      <c r="K63" s="18">
        <v>0</v>
      </c>
      <c r="L63" s="18">
        <v>26.84</v>
      </c>
      <c r="M63" s="18">
        <v>443.28</v>
      </c>
    </row>
    <row r="64" spans="1:13" hidden="1" x14ac:dyDescent="0.25">
      <c r="A64" t="s">
        <v>41</v>
      </c>
      <c r="B64" t="s">
        <v>42</v>
      </c>
      <c r="C64" t="s">
        <v>43</v>
      </c>
      <c r="D64" t="s">
        <v>81</v>
      </c>
      <c r="E64" t="s">
        <v>112</v>
      </c>
      <c r="F64" s="18">
        <v>319.13</v>
      </c>
      <c r="G64" s="18">
        <v>134.74</v>
      </c>
      <c r="H64" s="18">
        <v>0</v>
      </c>
      <c r="I64" s="18">
        <v>0</v>
      </c>
      <c r="J64" s="18">
        <v>0</v>
      </c>
      <c r="K64" s="18">
        <v>0</v>
      </c>
      <c r="L64" s="18">
        <v>29.25</v>
      </c>
      <c r="M64" s="18">
        <v>483.12</v>
      </c>
    </row>
    <row r="65" spans="1:13" hidden="1" x14ac:dyDescent="0.25">
      <c r="A65" t="s">
        <v>41</v>
      </c>
      <c r="B65" t="s">
        <v>42</v>
      </c>
      <c r="C65" t="s">
        <v>44</v>
      </c>
      <c r="D65" t="s">
        <v>83</v>
      </c>
      <c r="E65" t="s">
        <v>113</v>
      </c>
      <c r="F65" s="18">
        <v>39.840000000000003</v>
      </c>
      <c r="G65" s="18">
        <v>75.7</v>
      </c>
      <c r="H65" s="18">
        <v>0</v>
      </c>
      <c r="I65" s="18">
        <v>0</v>
      </c>
      <c r="J65" s="18">
        <v>0</v>
      </c>
      <c r="K65" s="18">
        <v>39.840000000000003</v>
      </c>
      <c r="L65" s="18">
        <v>16.43</v>
      </c>
      <c r="M65" s="18">
        <v>171.81</v>
      </c>
    </row>
    <row r="66" spans="1:13" hidden="1" x14ac:dyDescent="0.25">
      <c r="A66" t="s">
        <v>41</v>
      </c>
      <c r="B66" t="s">
        <v>42</v>
      </c>
      <c r="C66" t="s">
        <v>44</v>
      </c>
      <c r="D66" t="s">
        <v>83</v>
      </c>
      <c r="E66" t="s">
        <v>114</v>
      </c>
      <c r="F66" s="18">
        <v>43.76</v>
      </c>
      <c r="G66" s="18">
        <v>83.15</v>
      </c>
      <c r="H66" s="18">
        <v>0</v>
      </c>
      <c r="I66" s="18">
        <v>0</v>
      </c>
      <c r="J66" s="18">
        <v>0</v>
      </c>
      <c r="K66" s="18">
        <v>43.76</v>
      </c>
      <c r="L66" s="18">
        <v>18.05</v>
      </c>
      <c r="M66" s="18">
        <v>188.72</v>
      </c>
    </row>
    <row r="67" spans="1:13" hidden="1" x14ac:dyDescent="0.25">
      <c r="A67" t="s">
        <v>41</v>
      </c>
      <c r="B67" t="s">
        <v>42</v>
      </c>
      <c r="C67" t="s">
        <v>44</v>
      </c>
      <c r="D67" t="s">
        <v>83</v>
      </c>
      <c r="E67" t="s">
        <v>115</v>
      </c>
      <c r="F67" s="18">
        <v>43.76</v>
      </c>
      <c r="G67" s="18">
        <v>83.15</v>
      </c>
      <c r="H67" s="18">
        <v>0</v>
      </c>
      <c r="I67" s="18">
        <v>0</v>
      </c>
      <c r="J67" s="18">
        <v>0</v>
      </c>
      <c r="K67" s="18">
        <v>43.76</v>
      </c>
      <c r="L67" s="18">
        <v>18.05</v>
      </c>
      <c r="M67" s="18">
        <v>188.72</v>
      </c>
    </row>
    <row r="68" spans="1:13" hidden="1" x14ac:dyDescent="0.25">
      <c r="A68" t="s">
        <v>41</v>
      </c>
      <c r="B68" t="s">
        <v>42</v>
      </c>
      <c r="C68" t="s">
        <v>44</v>
      </c>
      <c r="D68" t="s">
        <v>83</v>
      </c>
      <c r="E68" t="s">
        <v>116</v>
      </c>
      <c r="F68" s="18">
        <v>43.76</v>
      </c>
      <c r="G68" s="18">
        <v>83.15</v>
      </c>
      <c r="H68" s="18">
        <v>0</v>
      </c>
      <c r="I68" s="18">
        <v>0</v>
      </c>
      <c r="J68" s="18">
        <v>0</v>
      </c>
      <c r="K68" s="18">
        <v>43.76</v>
      </c>
      <c r="L68" s="18">
        <v>18.05</v>
      </c>
      <c r="M68" s="18">
        <v>188.72</v>
      </c>
    </row>
    <row r="69" spans="1:13" hidden="1" x14ac:dyDescent="0.25">
      <c r="A69" t="s">
        <v>41</v>
      </c>
      <c r="B69" t="s">
        <v>42</v>
      </c>
      <c r="C69" t="s">
        <v>44</v>
      </c>
      <c r="D69" t="s">
        <v>81</v>
      </c>
      <c r="E69" t="s">
        <v>117</v>
      </c>
      <c r="F69" s="18">
        <v>266.49</v>
      </c>
      <c r="G69" s="18">
        <v>112.52</v>
      </c>
      <c r="H69" s="18">
        <v>0</v>
      </c>
      <c r="I69" s="18">
        <v>0</v>
      </c>
      <c r="J69" s="18">
        <v>0</v>
      </c>
      <c r="K69" s="18">
        <v>0</v>
      </c>
      <c r="L69" s="18">
        <v>24.43</v>
      </c>
      <c r="M69" s="18">
        <v>403.44</v>
      </c>
    </row>
    <row r="70" spans="1:13" hidden="1" x14ac:dyDescent="0.25">
      <c r="A70" t="s">
        <v>41</v>
      </c>
      <c r="B70" t="s">
        <v>42</v>
      </c>
      <c r="C70" t="s">
        <v>44</v>
      </c>
      <c r="D70" t="s">
        <v>81</v>
      </c>
      <c r="E70" t="s">
        <v>118</v>
      </c>
      <c r="F70" s="18">
        <v>266.49</v>
      </c>
      <c r="G70" s="18">
        <v>112.52</v>
      </c>
      <c r="H70" s="18">
        <v>0</v>
      </c>
      <c r="I70" s="18">
        <v>0</v>
      </c>
      <c r="J70" s="18">
        <v>0</v>
      </c>
      <c r="K70" s="18">
        <v>0</v>
      </c>
      <c r="L70" s="18">
        <v>24.43</v>
      </c>
      <c r="M70" s="18">
        <v>403.44</v>
      </c>
    </row>
    <row r="71" spans="1:13" hidden="1" x14ac:dyDescent="0.25">
      <c r="A71" t="s">
        <v>41</v>
      </c>
      <c r="B71" t="s">
        <v>42</v>
      </c>
      <c r="C71" t="s">
        <v>44</v>
      </c>
      <c r="D71" t="s">
        <v>81</v>
      </c>
      <c r="E71" t="s">
        <v>119</v>
      </c>
      <c r="F71" s="18">
        <v>266.49</v>
      </c>
      <c r="G71" s="18">
        <v>112.52</v>
      </c>
      <c r="H71" s="18">
        <v>0</v>
      </c>
      <c r="I71" s="18">
        <v>0</v>
      </c>
      <c r="J71" s="18">
        <v>0</v>
      </c>
      <c r="K71" s="18">
        <v>0</v>
      </c>
      <c r="L71" s="18">
        <v>24.43</v>
      </c>
      <c r="M71" s="18">
        <v>403.44</v>
      </c>
    </row>
    <row r="72" spans="1:13" hidden="1" x14ac:dyDescent="0.25">
      <c r="A72" t="s">
        <v>41</v>
      </c>
      <c r="B72" t="s">
        <v>42</v>
      </c>
      <c r="C72" t="s">
        <v>44</v>
      </c>
      <c r="D72" t="s">
        <v>81</v>
      </c>
      <c r="E72" t="s">
        <v>120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</row>
    <row r="73" spans="1:13" hidden="1" x14ac:dyDescent="0.25">
      <c r="A73" t="s">
        <v>41</v>
      </c>
      <c r="B73" t="s">
        <v>42</v>
      </c>
      <c r="C73" t="s">
        <v>44</v>
      </c>
      <c r="D73" t="s">
        <v>81</v>
      </c>
      <c r="E73" t="s">
        <v>121</v>
      </c>
      <c r="F73" s="18">
        <v>0</v>
      </c>
      <c r="G73" s="18">
        <v>0</v>
      </c>
      <c r="H73" s="18">
        <v>0</v>
      </c>
      <c r="I73" s="18">
        <v>0</v>
      </c>
      <c r="J73" s="18">
        <v>0</v>
      </c>
      <c r="K73" s="18">
        <v>0</v>
      </c>
      <c r="L73" s="18">
        <v>0</v>
      </c>
      <c r="M73" s="18">
        <v>0</v>
      </c>
    </row>
    <row r="74" spans="1:13" hidden="1" x14ac:dyDescent="0.25">
      <c r="A74" t="s">
        <v>41</v>
      </c>
      <c r="B74" t="s">
        <v>42</v>
      </c>
      <c r="C74" t="s">
        <v>44</v>
      </c>
      <c r="D74" t="s">
        <v>81</v>
      </c>
      <c r="E74" t="s">
        <v>122</v>
      </c>
      <c r="F74" s="18">
        <v>0</v>
      </c>
      <c r="G74" s="18">
        <v>0</v>
      </c>
      <c r="H74" s="18">
        <v>0</v>
      </c>
      <c r="I74" s="18">
        <v>0</v>
      </c>
      <c r="J74" s="18">
        <v>0</v>
      </c>
      <c r="K74" s="18">
        <v>0</v>
      </c>
      <c r="L74" s="18">
        <v>0</v>
      </c>
      <c r="M74" s="18">
        <v>0</v>
      </c>
    </row>
    <row r="75" spans="1:13" hidden="1" x14ac:dyDescent="0.25">
      <c r="A75" t="s">
        <v>41</v>
      </c>
      <c r="B75" t="s">
        <v>42</v>
      </c>
      <c r="C75" t="s">
        <v>44</v>
      </c>
      <c r="D75" t="s">
        <v>81</v>
      </c>
      <c r="E75" t="s">
        <v>123</v>
      </c>
      <c r="F75" s="18">
        <v>229.39</v>
      </c>
      <c r="G75" s="18">
        <v>96.85</v>
      </c>
      <c r="H75" s="18">
        <v>0</v>
      </c>
      <c r="I75" s="18">
        <v>0</v>
      </c>
      <c r="J75" s="18">
        <v>0</v>
      </c>
      <c r="K75" s="18">
        <v>0</v>
      </c>
      <c r="L75" s="18">
        <v>21.03</v>
      </c>
      <c r="M75" s="18">
        <v>347.27</v>
      </c>
    </row>
    <row r="76" spans="1:13" hidden="1" x14ac:dyDescent="0.25">
      <c r="A76" t="s">
        <v>41</v>
      </c>
      <c r="B76" t="s">
        <v>42</v>
      </c>
      <c r="C76" t="s">
        <v>44</v>
      </c>
      <c r="D76" t="s">
        <v>81</v>
      </c>
      <c r="E76" t="s">
        <v>124</v>
      </c>
      <c r="F76" s="18">
        <v>10.98</v>
      </c>
      <c r="G76" s="18">
        <v>4.63</v>
      </c>
      <c r="H76" s="18">
        <v>0</v>
      </c>
      <c r="I76" s="18">
        <v>0</v>
      </c>
      <c r="J76" s="18">
        <v>0</v>
      </c>
      <c r="K76" s="18">
        <v>0</v>
      </c>
      <c r="L76" s="18">
        <v>1.01</v>
      </c>
      <c r="M76" s="18">
        <v>16.62</v>
      </c>
    </row>
    <row r="77" spans="1:13" hidden="1" x14ac:dyDescent="0.25">
      <c r="A77" t="s">
        <v>41</v>
      </c>
      <c r="B77" t="s">
        <v>42</v>
      </c>
      <c r="C77" t="s">
        <v>44</v>
      </c>
      <c r="D77" t="s">
        <v>81</v>
      </c>
      <c r="E77" t="s">
        <v>125</v>
      </c>
      <c r="F77" s="18">
        <v>256.83</v>
      </c>
      <c r="G77" s="18">
        <v>108.44</v>
      </c>
      <c r="H77" s="18">
        <v>0</v>
      </c>
      <c r="I77" s="18">
        <v>0</v>
      </c>
      <c r="J77" s="18">
        <v>0</v>
      </c>
      <c r="K77" s="18">
        <v>0</v>
      </c>
      <c r="L77" s="18">
        <v>23.54</v>
      </c>
      <c r="M77" s="18">
        <v>388.81</v>
      </c>
    </row>
    <row r="78" spans="1:13" hidden="1" x14ac:dyDescent="0.25">
      <c r="A78" t="s">
        <v>41</v>
      </c>
      <c r="B78" t="s">
        <v>42</v>
      </c>
      <c r="C78" t="s">
        <v>44</v>
      </c>
      <c r="D78" t="s">
        <v>81</v>
      </c>
      <c r="E78" t="s">
        <v>126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</row>
    <row r="79" spans="1:13" hidden="1" x14ac:dyDescent="0.25">
      <c r="A79" t="s">
        <v>41</v>
      </c>
      <c r="B79" t="s">
        <v>42</v>
      </c>
      <c r="C79" t="s">
        <v>44</v>
      </c>
      <c r="D79" t="s">
        <v>81</v>
      </c>
      <c r="E79" t="s">
        <v>127</v>
      </c>
      <c r="F79" s="18">
        <v>279.64999999999998</v>
      </c>
      <c r="G79" s="18">
        <v>118.07</v>
      </c>
      <c r="H79" s="18">
        <v>0</v>
      </c>
      <c r="I79" s="18">
        <v>0</v>
      </c>
      <c r="J79" s="18">
        <v>0</v>
      </c>
      <c r="K79" s="18">
        <v>0</v>
      </c>
      <c r="L79" s="18">
        <v>25.63</v>
      </c>
      <c r="M79" s="18">
        <v>423.35</v>
      </c>
    </row>
    <row r="80" spans="1:13" hidden="1" x14ac:dyDescent="0.25">
      <c r="A80" t="s">
        <v>41</v>
      </c>
      <c r="B80" t="s">
        <v>42</v>
      </c>
      <c r="C80" t="s">
        <v>44</v>
      </c>
      <c r="D80" t="s">
        <v>81</v>
      </c>
      <c r="E80" t="s">
        <v>128</v>
      </c>
      <c r="F80" s="18">
        <v>279.64999999999998</v>
      </c>
      <c r="G80" s="18">
        <v>118.07</v>
      </c>
      <c r="H80" s="18">
        <v>0</v>
      </c>
      <c r="I80" s="18">
        <v>0</v>
      </c>
      <c r="J80" s="18">
        <v>0</v>
      </c>
      <c r="K80" s="18">
        <v>0</v>
      </c>
      <c r="L80" s="18">
        <v>25.63</v>
      </c>
      <c r="M80" s="18">
        <v>423.35</v>
      </c>
    </row>
    <row r="81" spans="1:13" hidden="1" x14ac:dyDescent="0.25">
      <c r="A81" t="s">
        <v>41</v>
      </c>
      <c r="B81" t="s">
        <v>42</v>
      </c>
      <c r="C81" t="s">
        <v>44</v>
      </c>
      <c r="D81" t="s">
        <v>81</v>
      </c>
      <c r="E81" t="s">
        <v>129</v>
      </c>
      <c r="F81" s="18">
        <v>0</v>
      </c>
      <c r="G81" s="18">
        <v>0</v>
      </c>
      <c r="H81" s="18">
        <v>0</v>
      </c>
      <c r="I81" s="18">
        <v>0</v>
      </c>
      <c r="J81" s="18">
        <v>0</v>
      </c>
      <c r="K81" s="18">
        <v>0</v>
      </c>
      <c r="L81" s="18">
        <v>0</v>
      </c>
      <c r="M81" s="18">
        <v>0</v>
      </c>
    </row>
    <row r="82" spans="1:13" hidden="1" x14ac:dyDescent="0.25">
      <c r="A82" t="s">
        <v>41</v>
      </c>
      <c r="B82" t="s">
        <v>42</v>
      </c>
      <c r="C82" t="s">
        <v>44</v>
      </c>
      <c r="D82" t="s">
        <v>81</v>
      </c>
      <c r="E82" t="s">
        <v>130</v>
      </c>
      <c r="F82" s="18">
        <v>0</v>
      </c>
      <c r="G82" s="18">
        <v>0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0</v>
      </c>
    </row>
    <row r="83" spans="1:13" hidden="1" x14ac:dyDescent="0.25">
      <c r="A83" t="s">
        <v>41</v>
      </c>
      <c r="B83" t="s">
        <v>42</v>
      </c>
      <c r="C83" t="s">
        <v>44</v>
      </c>
      <c r="D83" t="s">
        <v>81</v>
      </c>
      <c r="E83" t="s">
        <v>131</v>
      </c>
      <c r="F83" s="18">
        <v>266.49</v>
      </c>
      <c r="G83" s="18">
        <v>112.52</v>
      </c>
      <c r="H83" s="18">
        <v>0</v>
      </c>
      <c r="I83" s="18">
        <v>0</v>
      </c>
      <c r="J83" s="18">
        <v>0</v>
      </c>
      <c r="K83" s="18">
        <v>0</v>
      </c>
      <c r="L83" s="18">
        <v>24.43</v>
      </c>
      <c r="M83" s="18">
        <v>403.44</v>
      </c>
    </row>
    <row r="84" spans="1:13" hidden="1" x14ac:dyDescent="0.25">
      <c r="A84" t="s">
        <v>41</v>
      </c>
      <c r="B84" t="s">
        <v>42</v>
      </c>
      <c r="C84" t="s">
        <v>44</v>
      </c>
      <c r="D84" t="s">
        <v>81</v>
      </c>
      <c r="E84" t="s">
        <v>132</v>
      </c>
      <c r="F84" s="18">
        <v>266.49</v>
      </c>
      <c r="G84" s="18">
        <v>112.52</v>
      </c>
      <c r="H84" s="18">
        <v>0</v>
      </c>
      <c r="I84" s="18">
        <v>0</v>
      </c>
      <c r="J84" s="18">
        <v>0</v>
      </c>
      <c r="K84" s="18">
        <v>0</v>
      </c>
      <c r="L84" s="18">
        <v>24.43</v>
      </c>
      <c r="M84" s="18">
        <v>403.44</v>
      </c>
    </row>
    <row r="85" spans="1:13" hidden="1" x14ac:dyDescent="0.25">
      <c r="A85" t="s">
        <v>41</v>
      </c>
      <c r="B85" t="s">
        <v>42</v>
      </c>
      <c r="C85" t="s">
        <v>44</v>
      </c>
      <c r="D85" t="s">
        <v>81</v>
      </c>
      <c r="E85" t="s">
        <v>133</v>
      </c>
      <c r="F85" s="18">
        <v>266.49</v>
      </c>
      <c r="G85" s="18">
        <v>112.52</v>
      </c>
      <c r="H85" s="18">
        <v>0</v>
      </c>
      <c r="I85" s="18">
        <v>0</v>
      </c>
      <c r="J85" s="18">
        <v>0</v>
      </c>
      <c r="K85" s="18">
        <v>0</v>
      </c>
      <c r="L85" s="18">
        <v>24.43</v>
      </c>
      <c r="M85" s="18">
        <v>403.44</v>
      </c>
    </row>
    <row r="86" spans="1:13" hidden="1" x14ac:dyDescent="0.25">
      <c r="A86" t="s">
        <v>41</v>
      </c>
      <c r="B86" t="s">
        <v>42</v>
      </c>
      <c r="C86" t="s">
        <v>44</v>
      </c>
      <c r="D86" t="s">
        <v>81</v>
      </c>
      <c r="E86" t="s">
        <v>134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</row>
    <row r="87" spans="1:13" hidden="1" x14ac:dyDescent="0.25">
      <c r="A87" t="s">
        <v>41</v>
      </c>
      <c r="B87" t="s">
        <v>42</v>
      </c>
      <c r="C87" t="s">
        <v>44</v>
      </c>
      <c r="D87" t="s">
        <v>81</v>
      </c>
      <c r="E87" t="s">
        <v>135</v>
      </c>
      <c r="F87" s="18">
        <v>266.49</v>
      </c>
      <c r="G87" s="18">
        <v>112.52</v>
      </c>
      <c r="H87" s="18">
        <v>0</v>
      </c>
      <c r="I87" s="18">
        <v>0</v>
      </c>
      <c r="J87" s="18">
        <v>0</v>
      </c>
      <c r="K87" s="18">
        <v>0</v>
      </c>
      <c r="L87" s="18">
        <v>24.43</v>
      </c>
      <c r="M87" s="18">
        <v>403.44</v>
      </c>
    </row>
    <row r="88" spans="1:13" hidden="1" x14ac:dyDescent="0.25">
      <c r="A88" t="s">
        <v>41</v>
      </c>
      <c r="B88" t="s">
        <v>42</v>
      </c>
      <c r="C88" t="s">
        <v>44</v>
      </c>
      <c r="D88" t="s">
        <v>81</v>
      </c>
      <c r="E88" t="s">
        <v>136</v>
      </c>
      <c r="F88" s="18">
        <v>0</v>
      </c>
      <c r="G88" s="18">
        <v>0</v>
      </c>
      <c r="H88" s="18">
        <v>0</v>
      </c>
      <c r="I88" s="18">
        <v>0</v>
      </c>
      <c r="J88" s="18">
        <v>0</v>
      </c>
      <c r="K88" s="18">
        <v>0</v>
      </c>
      <c r="L88" s="18">
        <v>0</v>
      </c>
      <c r="M88" s="18">
        <v>0</v>
      </c>
    </row>
    <row r="89" spans="1:13" hidden="1" x14ac:dyDescent="0.25">
      <c r="A89" t="s">
        <v>41</v>
      </c>
      <c r="B89" t="s">
        <v>42</v>
      </c>
      <c r="C89" t="s">
        <v>44</v>
      </c>
      <c r="D89" t="s">
        <v>81</v>
      </c>
      <c r="E89" t="s">
        <v>137</v>
      </c>
      <c r="F89" s="18">
        <v>0</v>
      </c>
      <c r="G89" s="18">
        <v>0</v>
      </c>
      <c r="H89" s="18">
        <v>0</v>
      </c>
      <c r="I89" s="18">
        <v>0</v>
      </c>
      <c r="J89" s="18">
        <v>0</v>
      </c>
      <c r="K89" s="18">
        <v>0</v>
      </c>
      <c r="L89" s="18">
        <v>0</v>
      </c>
      <c r="M89" s="18">
        <v>0</v>
      </c>
    </row>
    <row r="90" spans="1:13" hidden="1" x14ac:dyDescent="0.25">
      <c r="A90" t="s">
        <v>41</v>
      </c>
      <c r="B90" t="s">
        <v>42</v>
      </c>
      <c r="C90" t="s">
        <v>44</v>
      </c>
      <c r="D90" t="s">
        <v>81</v>
      </c>
      <c r="E90" t="s">
        <v>138</v>
      </c>
      <c r="F90" s="18">
        <v>233.78</v>
      </c>
      <c r="G90" s="18">
        <v>98.71</v>
      </c>
      <c r="H90" s="18">
        <v>0</v>
      </c>
      <c r="I90" s="18">
        <v>0</v>
      </c>
      <c r="J90" s="18">
        <v>0</v>
      </c>
      <c r="K90" s="18">
        <v>0</v>
      </c>
      <c r="L90" s="18">
        <v>21.43</v>
      </c>
      <c r="M90" s="18">
        <v>353.92</v>
      </c>
    </row>
    <row r="91" spans="1:13" hidden="1" x14ac:dyDescent="0.25">
      <c r="A91" t="s">
        <v>41</v>
      </c>
      <c r="B91" t="s">
        <v>42</v>
      </c>
      <c r="C91" t="s">
        <v>44</v>
      </c>
      <c r="D91" t="s">
        <v>81</v>
      </c>
      <c r="E91" t="s">
        <v>139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</row>
    <row r="92" spans="1:13" hidden="1" x14ac:dyDescent="0.25">
      <c r="A92" t="s">
        <v>41</v>
      </c>
      <c r="B92" t="s">
        <v>42</v>
      </c>
      <c r="C92" t="s">
        <v>44</v>
      </c>
      <c r="D92" t="s">
        <v>81</v>
      </c>
      <c r="E92" t="s">
        <v>140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</row>
    <row r="93" spans="1:13" hidden="1" x14ac:dyDescent="0.25">
      <c r="A93" t="s">
        <v>41</v>
      </c>
      <c r="B93" t="s">
        <v>42</v>
      </c>
      <c r="C93" t="s">
        <v>44</v>
      </c>
      <c r="D93" t="s">
        <v>81</v>
      </c>
      <c r="E93" t="s">
        <v>141</v>
      </c>
      <c r="F93" s="18">
        <v>0</v>
      </c>
      <c r="G93" s="18">
        <v>0</v>
      </c>
      <c r="H93" s="18">
        <v>0</v>
      </c>
      <c r="I93" s="18">
        <v>0</v>
      </c>
      <c r="J93" s="18">
        <v>0</v>
      </c>
      <c r="K93" s="18">
        <v>0</v>
      </c>
      <c r="L93" s="18">
        <v>0</v>
      </c>
      <c r="M93" s="18">
        <v>0</v>
      </c>
    </row>
    <row r="94" spans="1:13" hidden="1" x14ac:dyDescent="0.25">
      <c r="A94" t="s">
        <v>41</v>
      </c>
      <c r="B94" t="s">
        <v>42</v>
      </c>
      <c r="C94" t="s">
        <v>44</v>
      </c>
      <c r="D94" t="s">
        <v>81</v>
      </c>
      <c r="E94" t="s">
        <v>142</v>
      </c>
      <c r="F94" s="18">
        <v>279.64999999999998</v>
      </c>
      <c r="G94" s="18">
        <v>118.07</v>
      </c>
      <c r="H94" s="18">
        <v>0</v>
      </c>
      <c r="I94" s="18">
        <v>0</v>
      </c>
      <c r="J94" s="18">
        <v>0</v>
      </c>
      <c r="K94" s="18">
        <v>0</v>
      </c>
      <c r="L94" s="18">
        <v>25.63</v>
      </c>
      <c r="M94" s="18">
        <v>423.35</v>
      </c>
    </row>
    <row r="95" spans="1:13" hidden="1" x14ac:dyDescent="0.25">
      <c r="A95" t="s">
        <v>41</v>
      </c>
      <c r="B95" t="s">
        <v>42</v>
      </c>
      <c r="C95" t="s">
        <v>44</v>
      </c>
      <c r="D95" t="s">
        <v>81</v>
      </c>
      <c r="E95" t="s">
        <v>143</v>
      </c>
      <c r="F95" s="18">
        <v>20.74</v>
      </c>
      <c r="G95" s="18">
        <v>8.76</v>
      </c>
      <c r="H95" s="18">
        <v>0</v>
      </c>
      <c r="I95" s="18">
        <v>0</v>
      </c>
      <c r="J95" s="18">
        <v>0</v>
      </c>
      <c r="K95" s="18">
        <v>0</v>
      </c>
      <c r="L95" s="18">
        <v>1.9</v>
      </c>
      <c r="M95" s="18">
        <v>31.4</v>
      </c>
    </row>
    <row r="96" spans="1:13" hidden="1" x14ac:dyDescent="0.25">
      <c r="A96" t="s">
        <v>41</v>
      </c>
      <c r="B96" t="s">
        <v>42</v>
      </c>
      <c r="C96" t="s">
        <v>44</v>
      </c>
      <c r="D96" t="s">
        <v>81</v>
      </c>
      <c r="E96" t="s">
        <v>144</v>
      </c>
      <c r="F96" s="18">
        <v>254.52</v>
      </c>
      <c r="G96" s="18">
        <v>107.47</v>
      </c>
      <c r="H96" s="18">
        <v>0</v>
      </c>
      <c r="I96" s="18">
        <v>0</v>
      </c>
      <c r="J96" s="18">
        <v>0</v>
      </c>
      <c r="K96" s="18">
        <v>0</v>
      </c>
      <c r="L96" s="18">
        <v>23.33</v>
      </c>
      <c r="M96" s="18">
        <v>385.32</v>
      </c>
    </row>
    <row r="97" spans="1:13" hidden="1" x14ac:dyDescent="0.25">
      <c r="A97" t="s">
        <v>41</v>
      </c>
      <c r="B97" t="s">
        <v>42</v>
      </c>
      <c r="C97" t="s">
        <v>44</v>
      </c>
      <c r="D97" t="s">
        <v>81</v>
      </c>
      <c r="E97" t="s">
        <v>145</v>
      </c>
      <c r="F97" s="18">
        <v>266.49</v>
      </c>
      <c r="G97" s="18">
        <v>112.52</v>
      </c>
      <c r="H97" s="18">
        <v>0</v>
      </c>
      <c r="I97" s="18">
        <v>0</v>
      </c>
      <c r="J97" s="18">
        <v>0</v>
      </c>
      <c r="K97" s="18">
        <v>0</v>
      </c>
      <c r="L97" s="18">
        <v>24.43</v>
      </c>
      <c r="M97" s="18">
        <v>403.44</v>
      </c>
    </row>
    <row r="98" spans="1:13" hidden="1" x14ac:dyDescent="0.25">
      <c r="A98" t="s">
        <v>41</v>
      </c>
      <c r="B98" t="s">
        <v>42</v>
      </c>
      <c r="C98" t="s">
        <v>44</v>
      </c>
      <c r="D98" t="s">
        <v>81</v>
      </c>
      <c r="E98" t="s">
        <v>146</v>
      </c>
      <c r="F98" s="18">
        <v>41.58</v>
      </c>
      <c r="G98" s="18">
        <v>17.559999999999999</v>
      </c>
      <c r="H98" s="18">
        <v>0</v>
      </c>
      <c r="I98" s="18">
        <v>0</v>
      </c>
      <c r="J98" s="18">
        <v>0</v>
      </c>
      <c r="K98" s="18">
        <v>0</v>
      </c>
      <c r="L98" s="18">
        <v>3.81</v>
      </c>
      <c r="M98" s="18">
        <v>62.95</v>
      </c>
    </row>
    <row r="99" spans="1:13" hidden="1" x14ac:dyDescent="0.25">
      <c r="A99" t="s">
        <v>41</v>
      </c>
      <c r="B99" t="s">
        <v>42</v>
      </c>
      <c r="C99" t="s">
        <v>44</v>
      </c>
      <c r="D99" t="s">
        <v>81</v>
      </c>
      <c r="E99" t="s">
        <v>147</v>
      </c>
      <c r="F99" s="18">
        <v>95.99</v>
      </c>
      <c r="G99" s="18">
        <v>40.53</v>
      </c>
      <c r="H99" s="18">
        <v>0</v>
      </c>
      <c r="I99" s="18">
        <v>0</v>
      </c>
      <c r="J99" s="18">
        <v>0</v>
      </c>
      <c r="K99" s="18">
        <v>0</v>
      </c>
      <c r="L99" s="18">
        <v>8.8000000000000007</v>
      </c>
      <c r="M99" s="18">
        <v>145.32</v>
      </c>
    </row>
    <row r="100" spans="1:13" hidden="1" x14ac:dyDescent="0.25">
      <c r="A100" t="s">
        <v>41</v>
      </c>
      <c r="B100" t="s">
        <v>42</v>
      </c>
      <c r="C100" t="s">
        <v>44</v>
      </c>
      <c r="D100" t="s">
        <v>81</v>
      </c>
      <c r="E100" t="s">
        <v>148</v>
      </c>
      <c r="F100" s="18">
        <v>41.58</v>
      </c>
      <c r="G100" s="18">
        <v>17.559999999999999</v>
      </c>
      <c r="H100" s="18">
        <v>0</v>
      </c>
      <c r="I100" s="18">
        <v>0</v>
      </c>
      <c r="J100" s="18">
        <v>0</v>
      </c>
      <c r="K100" s="18">
        <v>0</v>
      </c>
      <c r="L100" s="18">
        <v>3.81</v>
      </c>
      <c r="M100" s="18">
        <v>62.95</v>
      </c>
    </row>
    <row r="101" spans="1:13" hidden="1" x14ac:dyDescent="0.25">
      <c r="A101" t="s">
        <v>41</v>
      </c>
      <c r="B101" t="s">
        <v>42</v>
      </c>
      <c r="C101" t="s">
        <v>44</v>
      </c>
      <c r="D101" t="s">
        <v>81</v>
      </c>
      <c r="E101" t="s">
        <v>149</v>
      </c>
      <c r="F101" s="18">
        <v>45.95</v>
      </c>
      <c r="G101" s="18">
        <v>19.399999999999999</v>
      </c>
      <c r="H101" s="18">
        <v>0</v>
      </c>
      <c r="I101" s="18">
        <v>0</v>
      </c>
      <c r="J101" s="18">
        <v>0</v>
      </c>
      <c r="K101" s="18">
        <v>0</v>
      </c>
      <c r="L101" s="18">
        <v>4.21</v>
      </c>
      <c r="M101" s="18">
        <v>69.56</v>
      </c>
    </row>
    <row r="102" spans="1:13" hidden="1" x14ac:dyDescent="0.25">
      <c r="A102" t="s">
        <v>41</v>
      </c>
      <c r="B102" t="s">
        <v>42</v>
      </c>
      <c r="C102" t="s">
        <v>44</v>
      </c>
      <c r="D102" t="s">
        <v>81</v>
      </c>
      <c r="E102" t="s">
        <v>150</v>
      </c>
      <c r="F102" s="18">
        <v>28.43</v>
      </c>
      <c r="G102" s="18">
        <v>12</v>
      </c>
      <c r="H102" s="18">
        <v>0</v>
      </c>
      <c r="I102" s="18">
        <v>0</v>
      </c>
      <c r="J102" s="18">
        <v>0</v>
      </c>
      <c r="K102" s="18">
        <v>0</v>
      </c>
      <c r="L102" s="18">
        <v>2.61</v>
      </c>
      <c r="M102" s="18">
        <v>43.04</v>
      </c>
    </row>
    <row r="103" spans="1:13" hidden="1" x14ac:dyDescent="0.25">
      <c r="A103" t="s">
        <v>41</v>
      </c>
      <c r="B103" t="s">
        <v>42</v>
      </c>
      <c r="C103" t="s">
        <v>44</v>
      </c>
      <c r="D103" t="s">
        <v>81</v>
      </c>
      <c r="E103" t="s">
        <v>151</v>
      </c>
      <c r="F103" s="18">
        <v>0.98</v>
      </c>
      <c r="G103" s="18">
        <v>0.41</v>
      </c>
      <c r="H103" s="18">
        <v>0</v>
      </c>
      <c r="I103" s="18">
        <v>0</v>
      </c>
      <c r="J103" s="18">
        <v>0</v>
      </c>
      <c r="K103" s="18">
        <v>0</v>
      </c>
      <c r="L103" s="18">
        <v>0.09</v>
      </c>
      <c r="M103" s="18">
        <v>1.48</v>
      </c>
    </row>
    <row r="104" spans="1:13" hidden="1" x14ac:dyDescent="0.25">
      <c r="A104" t="s">
        <v>41</v>
      </c>
      <c r="B104" t="s">
        <v>42</v>
      </c>
      <c r="C104" t="s">
        <v>44</v>
      </c>
      <c r="D104" t="s">
        <v>81</v>
      </c>
      <c r="E104" t="s">
        <v>152</v>
      </c>
      <c r="F104" s="18">
        <v>162.53</v>
      </c>
      <c r="G104" s="18">
        <v>68.62</v>
      </c>
      <c r="H104" s="18">
        <v>0</v>
      </c>
      <c r="I104" s="18">
        <v>0</v>
      </c>
      <c r="J104" s="18">
        <v>0</v>
      </c>
      <c r="K104" s="18">
        <v>0</v>
      </c>
      <c r="L104" s="18">
        <v>14.9</v>
      </c>
      <c r="M104" s="18">
        <v>246.05</v>
      </c>
    </row>
    <row r="105" spans="1:13" hidden="1" x14ac:dyDescent="0.25">
      <c r="A105" t="s">
        <v>41</v>
      </c>
      <c r="B105" t="s">
        <v>42</v>
      </c>
      <c r="C105" t="s">
        <v>44</v>
      </c>
      <c r="D105" t="s">
        <v>81</v>
      </c>
      <c r="E105" t="s">
        <v>153</v>
      </c>
      <c r="F105" s="18">
        <v>0.47</v>
      </c>
      <c r="G105" s="18">
        <v>0.2</v>
      </c>
      <c r="H105" s="18">
        <v>0</v>
      </c>
      <c r="I105" s="18">
        <v>0</v>
      </c>
      <c r="J105" s="18">
        <v>0</v>
      </c>
      <c r="K105" s="18">
        <v>0</v>
      </c>
      <c r="L105" s="18">
        <v>0.04</v>
      </c>
      <c r="M105" s="18">
        <v>0.71</v>
      </c>
    </row>
    <row r="106" spans="1:13" hidden="1" x14ac:dyDescent="0.25">
      <c r="A106" t="s">
        <v>41</v>
      </c>
      <c r="B106" t="s">
        <v>42</v>
      </c>
      <c r="C106" t="s">
        <v>44</v>
      </c>
      <c r="D106" t="s">
        <v>81</v>
      </c>
      <c r="E106" t="s">
        <v>154</v>
      </c>
      <c r="F106" s="18">
        <v>3.34</v>
      </c>
      <c r="G106" s="18">
        <v>1.41</v>
      </c>
      <c r="H106" s="18">
        <v>0</v>
      </c>
      <c r="I106" s="18">
        <v>0</v>
      </c>
      <c r="J106" s="18">
        <v>0</v>
      </c>
      <c r="K106" s="18">
        <v>0</v>
      </c>
      <c r="L106" s="18">
        <v>0.31</v>
      </c>
      <c r="M106" s="18">
        <v>5.0599999999999996</v>
      </c>
    </row>
    <row r="107" spans="1:13" hidden="1" x14ac:dyDescent="0.25">
      <c r="A107" t="s">
        <v>41</v>
      </c>
      <c r="B107" t="s">
        <v>42</v>
      </c>
      <c r="C107" t="s">
        <v>44</v>
      </c>
      <c r="D107" t="s">
        <v>81</v>
      </c>
      <c r="E107" t="s">
        <v>155</v>
      </c>
      <c r="F107" s="18">
        <v>99.78</v>
      </c>
      <c r="G107" s="18">
        <v>42.13</v>
      </c>
      <c r="H107" s="18">
        <v>0</v>
      </c>
      <c r="I107" s="18">
        <v>0</v>
      </c>
      <c r="J107" s="18">
        <v>0</v>
      </c>
      <c r="K107" s="18">
        <v>0</v>
      </c>
      <c r="L107" s="18">
        <v>9.15</v>
      </c>
      <c r="M107" s="18">
        <v>151.06</v>
      </c>
    </row>
    <row r="108" spans="1:13" hidden="1" x14ac:dyDescent="0.25">
      <c r="A108" t="s">
        <v>41</v>
      </c>
      <c r="B108" t="s">
        <v>42</v>
      </c>
      <c r="C108" t="s">
        <v>44</v>
      </c>
      <c r="D108" t="s">
        <v>81</v>
      </c>
      <c r="E108" t="s">
        <v>156</v>
      </c>
      <c r="F108" s="18">
        <v>0.38</v>
      </c>
      <c r="G108" s="18">
        <v>0.16</v>
      </c>
      <c r="H108" s="18">
        <v>0</v>
      </c>
      <c r="I108" s="18">
        <v>0</v>
      </c>
      <c r="J108" s="18">
        <v>0</v>
      </c>
      <c r="K108" s="18">
        <v>0</v>
      </c>
      <c r="L108" s="18">
        <v>0.03</v>
      </c>
      <c r="M108" s="18">
        <v>0.56999999999999995</v>
      </c>
    </row>
    <row r="109" spans="1:13" hidden="1" x14ac:dyDescent="0.25">
      <c r="A109" t="s">
        <v>41</v>
      </c>
      <c r="B109" t="s">
        <v>42</v>
      </c>
      <c r="C109" t="s">
        <v>44</v>
      </c>
      <c r="D109" t="s">
        <v>81</v>
      </c>
      <c r="E109" t="s">
        <v>157</v>
      </c>
      <c r="F109" s="18">
        <v>279.64999999999998</v>
      </c>
      <c r="G109" s="18">
        <v>118.07</v>
      </c>
      <c r="H109" s="18">
        <v>0</v>
      </c>
      <c r="I109" s="18">
        <v>0</v>
      </c>
      <c r="J109" s="18">
        <v>0</v>
      </c>
      <c r="K109" s="18">
        <v>0</v>
      </c>
      <c r="L109" s="18">
        <v>25.63</v>
      </c>
      <c r="M109" s="18">
        <v>423.35</v>
      </c>
    </row>
    <row r="110" spans="1:13" hidden="1" x14ac:dyDescent="0.25">
      <c r="A110" t="s">
        <v>41</v>
      </c>
      <c r="B110" t="s">
        <v>42</v>
      </c>
      <c r="C110" t="s">
        <v>44</v>
      </c>
      <c r="D110" t="s">
        <v>81</v>
      </c>
      <c r="E110" t="s">
        <v>158</v>
      </c>
      <c r="F110" s="18">
        <v>279.64999999999998</v>
      </c>
      <c r="G110" s="18">
        <v>118.07</v>
      </c>
      <c r="H110" s="18">
        <v>0</v>
      </c>
      <c r="I110" s="18">
        <v>0</v>
      </c>
      <c r="J110" s="18">
        <v>0</v>
      </c>
      <c r="K110" s="18">
        <v>0</v>
      </c>
      <c r="L110" s="18">
        <v>25.63</v>
      </c>
      <c r="M110" s="18">
        <v>423.35</v>
      </c>
    </row>
    <row r="111" spans="1:13" hidden="1" x14ac:dyDescent="0.25">
      <c r="A111" t="s">
        <v>41</v>
      </c>
      <c r="B111" t="s">
        <v>42</v>
      </c>
      <c r="C111" t="s">
        <v>44</v>
      </c>
      <c r="D111" t="s">
        <v>81</v>
      </c>
      <c r="E111" t="s">
        <v>159</v>
      </c>
      <c r="F111" s="18">
        <v>279.64999999999998</v>
      </c>
      <c r="G111" s="18">
        <v>118.07</v>
      </c>
      <c r="H111" s="18">
        <v>0</v>
      </c>
      <c r="I111" s="18">
        <v>0</v>
      </c>
      <c r="J111" s="18">
        <v>0</v>
      </c>
      <c r="K111" s="18">
        <v>0</v>
      </c>
      <c r="L111" s="18">
        <v>25.63</v>
      </c>
      <c r="M111" s="18">
        <v>423.35</v>
      </c>
    </row>
    <row r="112" spans="1:13" hidden="1" x14ac:dyDescent="0.25">
      <c r="A112" t="s">
        <v>41</v>
      </c>
      <c r="B112" t="s">
        <v>42</v>
      </c>
      <c r="C112" t="s">
        <v>44</v>
      </c>
      <c r="D112" t="s">
        <v>81</v>
      </c>
      <c r="E112" t="s">
        <v>160</v>
      </c>
      <c r="F112" s="18">
        <v>279.64999999999998</v>
      </c>
      <c r="G112" s="18">
        <v>118.07</v>
      </c>
      <c r="H112" s="18">
        <v>0</v>
      </c>
      <c r="I112" s="18">
        <v>0</v>
      </c>
      <c r="J112" s="18">
        <v>0</v>
      </c>
      <c r="K112" s="18">
        <v>0</v>
      </c>
      <c r="L112" s="18">
        <v>25.63</v>
      </c>
      <c r="M112" s="18">
        <v>423.35</v>
      </c>
    </row>
    <row r="113" spans="1:13" hidden="1" x14ac:dyDescent="0.25">
      <c r="A113" t="s">
        <v>41</v>
      </c>
      <c r="B113" t="s">
        <v>42</v>
      </c>
      <c r="C113" t="s">
        <v>44</v>
      </c>
      <c r="D113" t="s">
        <v>81</v>
      </c>
      <c r="E113" t="s">
        <v>161</v>
      </c>
      <c r="F113" s="18">
        <v>279.64999999999998</v>
      </c>
      <c r="G113" s="18">
        <v>118.07</v>
      </c>
      <c r="H113" s="18">
        <v>0</v>
      </c>
      <c r="I113" s="18">
        <v>0</v>
      </c>
      <c r="J113" s="18">
        <v>0</v>
      </c>
      <c r="K113" s="18">
        <v>0</v>
      </c>
      <c r="L113" s="18">
        <v>25.63</v>
      </c>
      <c r="M113" s="18">
        <v>423.35</v>
      </c>
    </row>
    <row r="114" spans="1:13" hidden="1" x14ac:dyDescent="0.25">
      <c r="A114" t="s">
        <v>41</v>
      </c>
      <c r="B114" t="s">
        <v>42</v>
      </c>
      <c r="C114" t="s">
        <v>44</v>
      </c>
      <c r="D114" t="s">
        <v>81</v>
      </c>
      <c r="E114" t="s">
        <v>162</v>
      </c>
      <c r="F114" s="18">
        <v>279.64999999999998</v>
      </c>
      <c r="G114" s="18">
        <v>118.07</v>
      </c>
      <c r="H114" s="18">
        <v>0</v>
      </c>
      <c r="I114" s="18">
        <v>0</v>
      </c>
      <c r="J114" s="18">
        <v>0</v>
      </c>
      <c r="K114" s="18">
        <v>0</v>
      </c>
      <c r="L114" s="18">
        <v>25.63</v>
      </c>
      <c r="M114" s="18">
        <v>423.35</v>
      </c>
    </row>
    <row r="115" spans="1:13" hidden="1" x14ac:dyDescent="0.25">
      <c r="A115" t="s">
        <v>41</v>
      </c>
      <c r="B115" t="s">
        <v>42</v>
      </c>
      <c r="C115" t="s">
        <v>44</v>
      </c>
      <c r="D115" t="s">
        <v>81</v>
      </c>
      <c r="E115" t="s">
        <v>163</v>
      </c>
      <c r="F115" s="18">
        <v>266.49</v>
      </c>
      <c r="G115" s="18">
        <v>112.52</v>
      </c>
      <c r="H115" s="18">
        <v>0</v>
      </c>
      <c r="I115" s="18">
        <v>0</v>
      </c>
      <c r="J115" s="18">
        <v>0</v>
      </c>
      <c r="K115" s="18">
        <v>0</v>
      </c>
      <c r="L115" s="18">
        <v>24.43</v>
      </c>
      <c r="M115" s="18">
        <v>403.44</v>
      </c>
    </row>
    <row r="116" spans="1:13" hidden="1" x14ac:dyDescent="0.25">
      <c r="A116" t="s">
        <v>41</v>
      </c>
      <c r="B116" t="s">
        <v>42</v>
      </c>
      <c r="C116" t="s">
        <v>44</v>
      </c>
      <c r="D116" t="s">
        <v>81</v>
      </c>
      <c r="E116" t="s">
        <v>164</v>
      </c>
      <c r="F116" s="18">
        <v>140.85</v>
      </c>
      <c r="G116" s="18">
        <v>59.47</v>
      </c>
      <c r="H116" s="18">
        <v>0</v>
      </c>
      <c r="I116" s="18">
        <v>0</v>
      </c>
      <c r="J116" s="18">
        <v>0</v>
      </c>
      <c r="K116" s="18">
        <v>0</v>
      </c>
      <c r="L116" s="18">
        <v>12.91</v>
      </c>
      <c r="M116" s="18">
        <v>213.23</v>
      </c>
    </row>
    <row r="117" spans="1:13" hidden="1" x14ac:dyDescent="0.25">
      <c r="A117" t="s">
        <v>41</v>
      </c>
      <c r="B117" t="s">
        <v>42</v>
      </c>
      <c r="C117" t="s">
        <v>44</v>
      </c>
      <c r="D117" t="s">
        <v>81</v>
      </c>
      <c r="E117" t="s">
        <v>165</v>
      </c>
      <c r="F117" s="18">
        <v>514.12</v>
      </c>
      <c r="G117" s="18">
        <v>217.07</v>
      </c>
      <c r="H117" s="18">
        <v>0</v>
      </c>
      <c r="I117" s="18">
        <v>0</v>
      </c>
      <c r="J117" s="18">
        <v>0</v>
      </c>
      <c r="K117" s="18">
        <v>0</v>
      </c>
      <c r="L117" s="18">
        <v>47.13</v>
      </c>
      <c r="M117" s="18">
        <v>778.32</v>
      </c>
    </row>
    <row r="118" spans="1:13" hidden="1" x14ac:dyDescent="0.25">
      <c r="A118" t="s">
        <v>41</v>
      </c>
      <c r="B118" t="s">
        <v>42</v>
      </c>
      <c r="C118" t="s">
        <v>44</v>
      </c>
      <c r="D118" t="s">
        <v>81</v>
      </c>
      <c r="E118" t="s">
        <v>166</v>
      </c>
      <c r="F118" s="18">
        <v>513.11</v>
      </c>
      <c r="G118" s="18">
        <v>216.65</v>
      </c>
      <c r="H118" s="18">
        <v>0</v>
      </c>
      <c r="I118" s="18">
        <v>0</v>
      </c>
      <c r="J118" s="18">
        <v>0</v>
      </c>
      <c r="K118" s="18">
        <v>0</v>
      </c>
      <c r="L118" s="18">
        <v>47.04</v>
      </c>
      <c r="M118" s="18">
        <v>776.8</v>
      </c>
    </row>
    <row r="119" spans="1:13" hidden="1" x14ac:dyDescent="0.25">
      <c r="A119" t="s">
        <v>41</v>
      </c>
      <c r="B119" t="s">
        <v>42</v>
      </c>
      <c r="C119" t="s">
        <v>44</v>
      </c>
      <c r="D119" t="s">
        <v>81</v>
      </c>
      <c r="E119" t="s">
        <v>167</v>
      </c>
      <c r="F119" s="18">
        <v>521.16</v>
      </c>
      <c r="G119" s="18">
        <v>220.05</v>
      </c>
      <c r="H119" s="18">
        <v>0</v>
      </c>
      <c r="I119" s="18">
        <v>0</v>
      </c>
      <c r="J119" s="18">
        <v>0</v>
      </c>
      <c r="K119" s="18">
        <v>0</v>
      </c>
      <c r="L119" s="18">
        <v>47.77</v>
      </c>
      <c r="M119" s="18">
        <v>788.98</v>
      </c>
    </row>
    <row r="120" spans="1:13" hidden="1" x14ac:dyDescent="0.25">
      <c r="A120" t="s">
        <v>41</v>
      </c>
      <c r="B120" t="s">
        <v>42</v>
      </c>
      <c r="C120" t="s">
        <v>44</v>
      </c>
      <c r="D120" t="s">
        <v>81</v>
      </c>
      <c r="E120" t="s">
        <v>168</v>
      </c>
      <c r="F120" s="18">
        <v>227.18</v>
      </c>
      <c r="G120" s="18">
        <v>95.92</v>
      </c>
      <c r="H120" s="18">
        <v>0</v>
      </c>
      <c r="I120" s="18">
        <v>0</v>
      </c>
      <c r="J120" s="18">
        <v>0</v>
      </c>
      <c r="K120" s="18">
        <v>0</v>
      </c>
      <c r="L120" s="18">
        <v>20.82</v>
      </c>
      <c r="M120" s="18">
        <v>343.92</v>
      </c>
    </row>
    <row r="121" spans="1:13" hidden="1" x14ac:dyDescent="0.25">
      <c r="A121" t="s">
        <v>41</v>
      </c>
      <c r="B121" t="s">
        <v>42</v>
      </c>
      <c r="C121" t="s">
        <v>44</v>
      </c>
      <c r="D121" t="s">
        <v>81</v>
      </c>
      <c r="E121" t="s">
        <v>169</v>
      </c>
      <c r="F121" s="18">
        <v>263.60000000000002</v>
      </c>
      <c r="G121" s="18">
        <v>111.3</v>
      </c>
      <c r="H121" s="18">
        <v>0</v>
      </c>
      <c r="I121" s="18">
        <v>0</v>
      </c>
      <c r="J121" s="18">
        <v>0</v>
      </c>
      <c r="K121" s="18">
        <v>0</v>
      </c>
      <c r="L121" s="18">
        <v>24.16</v>
      </c>
      <c r="M121" s="18">
        <v>399.06</v>
      </c>
    </row>
    <row r="122" spans="1:13" hidden="1" x14ac:dyDescent="0.25">
      <c r="A122" t="s">
        <v>41</v>
      </c>
      <c r="B122" t="s">
        <v>42</v>
      </c>
      <c r="C122" t="s">
        <v>44</v>
      </c>
      <c r="D122" t="s">
        <v>81</v>
      </c>
      <c r="E122" t="s">
        <v>170</v>
      </c>
      <c r="F122" s="18">
        <v>12.07</v>
      </c>
      <c r="G122" s="18">
        <v>5.0999999999999996</v>
      </c>
      <c r="H122" s="18">
        <v>0</v>
      </c>
      <c r="I122" s="18">
        <v>0</v>
      </c>
      <c r="J122" s="18">
        <v>0</v>
      </c>
      <c r="K122" s="18">
        <v>0</v>
      </c>
      <c r="L122" s="18">
        <v>1.1100000000000001</v>
      </c>
      <c r="M122" s="18">
        <v>18.28</v>
      </c>
    </row>
    <row r="123" spans="1:13" hidden="1" x14ac:dyDescent="0.25">
      <c r="A123" t="s">
        <v>41</v>
      </c>
      <c r="B123" t="s">
        <v>42</v>
      </c>
      <c r="C123" t="s">
        <v>44</v>
      </c>
      <c r="D123" t="s">
        <v>81</v>
      </c>
      <c r="E123" t="s">
        <v>171</v>
      </c>
      <c r="F123" s="18">
        <v>12.07</v>
      </c>
      <c r="G123" s="18">
        <v>5.0999999999999996</v>
      </c>
      <c r="H123" s="18">
        <v>0</v>
      </c>
      <c r="I123" s="18">
        <v>0</v>
      </c>
      <c r="J123" s="18">
        <v>0</v>
      </c>
      <c r="K123" s="18">
        <v>0</v>
      </c>
      <c r="L123" s="18">
        <v>1.1100000000000001</v>
      </c>
      <c r="M123" s="18">
        <v>18.28</v>
      </c>
    </row>
    <row r="124" spans="1:13" hidden="1" x14ac:dyDescent="0.25">
      <c r="A124" t="s">
        <v>41</v>
      </c>
      <c r="B124" t="s">
        <v>42</v>
      </c>
      <c r="C124" t="s">
        <v>44</v>
      </c>
      <c r="D124" t="s">
        <v>81</v>
      </c>
      <c r="E124" t="s">
        <v>172</v>
      </c>
      <c r="F124" s="18">
        <v>325.98</v>
      </c>
      <c r="G124" s="18">
        <v>137.63</v>
      </c>
      <c r="H124" s="18">
        <v>0</v>
      </c>
      <c r="I124" s="18">
        <v>0</v>
      </c>
      <c r="J124" s="18">
        <v>0</v>
      </c>
      <c r="K124" s="18">
        <v>0</v>
      </c>
      <c r="L124" s="18">
        <v>29.88</v>
      </c>
      <c r="M124" s="18">
        <v>493.49</v>
      </c>
    </row>
    <row r="125" spans="1:13" hidden="1" x14ac:dyDescent="0.25">
      <c r="A125" t="s">
        <v>41</v>
      </c>
      <c r="B125" t="s">
        <v>42</v>
      </c>
      <c r="C125" t="s">
        <v>44</v>
      </c>
      <c r="D125" t="s">
        <v>81</v>
      </c>
      <c r="E125" t="s">
        <v>173</v>
      </c>
      <c r="F125" s="18">
        <v>2.4500000000000002</v>
      </c>
      <c r="G125" s="18">
        <v>1.03</v>
      </c>
      <c r="H125" s="18">
        <v>0</v>
      </c>
      <c r="I125" s="18">
        <v>0</v>
      </c>
      <c r="J125" s="18">
        <v>0</v>
      </c>
      <c r="K125" s="18">
        <v>0</v>
      </c>
      <c r="L125" s="18">
        <v>0.22</v>
      </c>
      <c r="M125" s="18">
        <v>3.7</v>
      </c>
    </row>
    <row r="126" spans="1:13" hidden="1" x14ac:dyDescent="0.25">
      <c r="A126" t="s">
        <v>41</v>
      </c>
      <c r="B126" t="s">
        <v>42</v>
      </c>
      <c r="C126" t="s">
        <v>44</v>
      </c>
      <c r="D126" t="s">
        <v>81</v>
      </c>
      <c r="E126" t="s">
        <v>174</v>
      </c>
      <c r="F126" s="18">
        <v>119.44</v>
      </c>
      <c r="G126" s="18">
        <v>50.43</v>
      </c>
      <c r="H126" s="18">
        <v>0</v>
      </c>
      <c r="I126" s="18">
        <v>0</v>
      </c>
      <c r="J126" s="18">
        <v>0</v>
      </c>
      <c r="K126" s="18">
        <v>0</v>
      </c>
      <c r="L126" s="18">
        <v>10.95</v>
      </c>
      <c r="M126" s="18">
        <v>180.82</v>
      </c>
    </row>
    <row r="127" spans="1:13" hidden="1" x14ac:dyDescent="0.25">
      <c r="A127" t="s">
        <v>41</v>
      </c>
      <c r="B127" t="s">
        <v>42</v>
      </c>
      <c r="C127" t="s">
        <v>44</v>
      </c>
      <c r="D127" t="s">
        <v>81</v>
      </c>
      <c r="E127" t="s">
        <v>175</v>
      </c>
      <c r="F127" s="18">
        <v>0.14000000000000001</v>
      </c>
      <c r="G127" s="18">
        <v>0.06</v>
      </c>
      <c r="H127" s="18">
        <v>0</v>
      </c>
      <c r="I127" s="18">
        <v>0</v>
      </c>
      <c r="J127" s="18">
        <v>0</v>
      </c>
      <c r="K127" s="18">
        <v>0</v>
      </c>
      <c r="L127" s="18">
        <v>0.01</v>
      </c>
      <c r="M127" s="18">
        <v>0.21</v>
      </c>
    </row>
    <row r="128" spans="1:13" hidden="1" x14ac:dyDescent="0.25">
      <c r="A128" t="s">
        <v>41</v>
      </c>
      <c r="B128" t="s">
        <v>42</v>
      </c>
      <c r="C128" t="s">
        <v>44</v>
      </c>
      <c r="D128" t="s">
        <v>81</v>
      </c>
      <c r="E128" t="s">
        <v>176</v>
      </c>
      <c r="F128" s="18">
        <v>1.08</v>
      </c>
      <c r="G128" s="18">
        <v>0.46</v>
      </c>
      <c r="H128" s="18">
        <v>0</v>
      </c>
      <c r="I128" s="18">
        <v>0</v>
      </c>
      <c r="J128" s="18">
        <v>0</v>
      </c>
      <c r="K128" s="18">
        <v>0</v>
      </c>
      <c r="L128" s="18">
        <v>0.1</v>
      </c>
      <c r="M128" s="18">
        <v>1.64</v>
      </c>
    </row>
    <row r="129" spans="1:13" hidden="1" x14ac:dyDescent="0.25">
      <c r="A129" t="s">
        <v>41</v>
      </c>
      <c r="B129" t="s">
        <v>42</v>
      </c>
      <c r="C129" t="s">
        <v>44</v>
      </c>
      <c r="D129" t="s">
        <v>81</v>
      </c>
      <c r="E129" t="s">
        <v>177</v>
      </c>
      <c r="F129" s="18">
        <v>8.32</v>
      </c>
      <c r="G129" s="18">
        <v>3.51</v>
      </c>
      <c r="H129" s="18">
        <v>0</v>
      </c>
      <c r="I129" s="18">
        <v>0</v>
      </c>
      <c r="J129" s="18">
        <v>0</v>
      </c>
      <c r="K129" s="18">
        <v>0</v>
      </c>
      <c r="L129" s="18">
        <v>0.76</v>
      </c>
      <c r="M129" s="18">
        <v>12.59</v>
      </c>
    </row>
    <row r="130" spans="1:13" hidden="1" x14ac:dyDescent="0.25">
      <c r="A130" t="s">
        <v>41</v>
      </c>
      <c r="B130" t="s">
        <v>42</v>
      </c>
      <c r="C130" t="s">
        <v>44</v>
      </c>
      <c r="D130" t="s">
        <v>81</v>
      </c>
      <c r="E130" t="s">
        <v>178</v>
      </c>
      <c r="F130" s="18">
        <v>68.760000000000005</v>
      </c>
      <c r="G130" s="18">
        <v>29.03</v>
      </c>
      <c r="H130" s="18">
        <v>0</v>
      </c>
      <c r="I130" s="18">
        <v>0</v>
      </c>
      <c r="J130" s="18">
        <v>0</v>
      </c>
      <c r="K130" s="18">
        <v>0</v>
      </c>
      <c r="L130" s="18">
        <v>6.3</v>
      </c>
      <c r="M130" s="18">
        <v>104.09</v>
      </c>
    </row>
    <row r="131" spans="1:13" hidden="1" x14ac:dyDescent="0.25">
      <c r="A131" t="s">
        <v>41</v>
      </c>
      <c r="B131" t="s">
        <v>42</v>
      </c>
      <c r="C131" t="s">
        <v>44</v>
      </c>
      <c r="D131" t="s">
        <v>81</v>
      </c>
      <c r="E131" t="s">
        <v>179</v>
      </c>
      <c r="F131" s="18">
        <v>60.97</v>
      </c>
      <c r="G131" s="18">
        <v>25.74</v>
      </c>
      <c r="H131" s="18">
        <v>0</v>
      </c>
      <c r="I131" s="18">
        <v>0</v>
      </c>
      <c r="J131" s="18">
        <v>0</v>
      </c>
      <c r="K131" s="18">
        <v>0</v>
      </c>
      <c r="L131" s="18">
        <v>5.59</v>
      </c>
      <c r="M131" s="18">
        <v>92.3</v>
      </c>
    </row>
    <row r="132" spans="1:13" hidden="1" x14ac:dyDescent="0.25">
      <c r="A132" t="s">
        <v>41</v>
      </c>
      <c r="B132" t="s">
        <v>42</v>
      </c>
      <c r="C132" t="s">
        <v>44</v>
      </c>
      <c r="D132" t="s">
        <v>81</v>
      </c>
      <c r="E132" t="s">
        <v>180</v>
      </c>
      <c r="F132" s="18">
        <v>2.04</v>
      </c>
      <c r="G132" s="18">
        <v>0.86</v>
      </c>
      <c r="H132" s="18">
        <v>0</v>
      </c>
      <c r="I132" s="18">
        <v>0</v>
      </c>
      <c r="J132" s="18">
        <v>0</v>
      </c>
      <c r="K132" s="18">
        <v>0</v>
      </c>
      <c r="L132" s="18">
        <v>0.19</v>
      </c>
      <c r="M132" s="18">
        <v>3.09</v>
      </c>
    </row>
    <row r="133" spans="1:13" hidden="1" x14ac:dyDescent="0.25">
      <c r="A133" t="s">
        <v>41</v>
      </c>
      <c r="B133" t="s">
        <v>42</v>
      </c>
      <c r="C133" t="s">
        <v>44</v>
      </c>
      <c r="D133" t="s">
        <v>81</v>
      </c>
      <c r="E133" t="s">
        <v>181</v>
      </c>
      <c r="F133" s="18">
        <v>3.29</v>
      </c>
      <c r="G133" s="18">
        <v>1.39</v>
      </c>
      <c r="H133" s="18">
        <v>0</v>
      </c>
      <c r="I133" s="18">
        <v>0</v>
      </c>
      <c r="J133" s="18">
        <v>0</v>
      </c>
      <c r="K133" s="18">
        <v>0</v>
      </c>
      <c r="L133" s="18">
        <v>0.3</v>
      </c>
      <c r="M133" s="18">
        <v>4.9800000000000004</v>
      </c>
    </row>
    <row r="134" spans="1:13" hidden="1" x14ac:dyDescent="0.25">
      <c r="A134" t="s">
        <v>41</v>
      </c>
      <c r="B134" t="s">
        <v>42</v>
      </c>
      <c r="C134" t="s">
        <v>45</v>
      </c>
      <c r="D134" t="s">
        <v>81</v>
      </c>
      <c r="E134" t="s">
        <v>182</v>
      </c>
      <c r="F134" s="18">
        <v>292.81</v>
      </c>
      <c r="G134" s="18">
        <v>123.63</v>
      </c>
      <c r="H134" s="18">
        <v>0</v>
      </c>
      <c r="I134" s="18">
        <v>0</v>
      </c>
      <c r="J134" s="18">
        <v>0</v>
      </c>
      <c r="K134" s="18">
        <v>0</v>
      </c>
      <c r="L134" s="18">
        <v>26.84</v>
      </c>
      <c r="M134" s="18">
        <v>443.28</v>
      </c>
    </row>
    <row r="135" spans="1:13" hidden="1" x14ac:dyDescent="0.25">
      <c r="A135" t="s">
        <v>41</v>
      </c>
      <c r="B135" t="s">
        <v>42</v>
      </c>
      <c r="C135" t="s">
        <v>46</v>
      </c>
      <c r="D135" t="s">
        <v>81</v>
      </c>
      <c r="E135" t="s">
        <v>183</v>
      </c>
      <c r="F135" s="18">
        <v>254.52</v>
      </c>
      <c r="G135" s="18">
        <v>107.47</v>
      </c>
      <c r="H135" s="18">
        <v>0</v>
      </c>
      <c r="I135" s="18">
        <v>0</v>
      </c>
      <c r="J135" s="18">
        <v>0</v>
      </c>
      <c r="K135" s="18">
        <v>0</v>
      </c>
      <c r="L135" s="18">
        <v>23.33</v>
      </c>
      <c r="M135" s="18">
        <v>385.32</v>
      </c>
    </row>
    <row r="136" spans="1:13" x14ac:dyDescent="0.25">
      <c r="A136" t="s">
        <v>184</v>
      </c>
      <c r="F136" s="18">
        <f>SUBTOTAL(109,Tabela1[$ Imposto ICMS do faturamento])</f>
        <v>1446.8899999999999</v>
      </c>
      <c r="G136" s="18">
        <f>SUBTOTAL(109,Tabela1[$ Imposto COFINS do faturamento])</f>
        <v>2316.5300000000011</v>
      </c>
      <c r="H136" s="18">
        <f>SUBTOTAL(109,Tabela1[$ Imposto INSS do faturamento])</f>
        <v>0</v>
      </c>
      <c r="I136" s="18">
        <f>SUBTOTAL(109,Tabela1[$ Imposto IPI do faturamento])</f>
        <v>0</v>
      </c>
      <c r="J136" s="18">
        <f>SUBTOTAL(109,Tabela1[$ Imposto IRF do faturamento])</f>
        <v>0</v>
      </c>
      <c r="K136" s="18">
        <f>SUBTOTAL(109,Tabela1[$ Imposto ISS do faturamento])</f>
        <v>1154.08</v>
      </c>
      <c r="L136" s="18">
        <f>SUBTOTAL(109,Tabela1[$ Imposto PIS do faturamento])</f>
        <v>502.85000000000019</v>
      </c>
      <c r="M136" s="18">
        <f>SUBTOTAL(109,Tabela1[$ Impostos do faturamento])</f>
        <v>5420.3499999999995</v>
      </c>
    </row>
  </sheetData>
  <pageMargins left="0.7" right="0.7" top="0.75" bottom="0.75" header="0.45" footer="0.45"/>
  <pageSetup paperSize="9" orientation="portrait" r:id="rId1"/>
  <headerFooter>
    <oddHeader>&amp;L&amp;20$ Faturamento bruto&amp;R&amp;D</oddHeader>
    <oddFooter>&amp;RPage &amp;P/&amp;N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04"/>
  <sheetViews>
    <sheetView tabSelected="1" topLeftCell="A77" workbookViewId="0">
      <selection activeCell="C117" sqref="C117"/>
    </sheetView>
  </sheetViews>
  <sheetFormatPr defaultRowHeight="15" x14ac:dyDescent="0.25"/>
  <cols>
    <col min="1" max="1" width="25.28515625" bestFit="1" customWidth="1"/>
    <col min="2" max="2" width="28" customWidth="1"/>
    <col min="3" max="3" width="24.42578125" customWidth="1"/>
    <col min="4" max="4" width="26.42578125" customWidth="1"/>
    <col min="5" max="6" width="20.42578125" customWidth="1"/>
    <col min="7" max="7" width="23.5703125" customWidth="1"/>
    <col min="8" max="8" width="26.7109375" customWidth="1"/>
    <col min="9" max="9" width="25.7109375" customWidth="1"/>
    <col min="10" max="10" width="28" customWidth="1"/>
    <col min="11" max="11" width="14.85546875" customWidth="1"/>
    <col min="12" max="12" width="22.28515625" customWidth="1"/>
    <col min="13" max="13" width="33.28515625" customWidth="1"/>
    <col min="14" max="14" width="23.85546875" customWidth="1"/>
    <col min="15" max="15" width="28.5703125" customWidth="1"/>
    <col min="16" max="16" width="23.85546875" customWidth="1"/>
    <col min="17" max="17" width="25.28515625" bestFit="1" customWidth="1"/>
    <col min="18" max="18" width="33.140625" customWidth="1"/>
    <col min="19" max="19" width="31.7109375" customWidth="1"/>
    <col min="20" max="20" width="26.28515625" customWidth="1"/>
    <col min="21" max="21" width="26" customWidth="1"/>
    <col min="22" max="22" width="26.7109375" customWidth="1"/>
    <col min="23" max="23" width="25.7109375" customWidth="1"/>
    <col min="24" max="24" width="23.42578125" customWidth="1"/>
    <col min="25" max="25" width="16" customWidth="1"/>
    <col min="26" max="26" width="14.5703125" customWidth="1"/>
    <col min="27" max="27" width="33.28515625" customWidth="1"/>
    <col min="28" max="28" width="23.85546875" customWidth="1"/>
    <col min="29" max="29" width="27.7109375" customWidth="1"/>
    <col min="30" max="30" width="23" customWidth="1"/>
    <col min="31" max="31" width="23.7109375" customWidth="1"/>
    <col min="32" max="32" width="32.28515625" customWidth="1"/>
    <col min="33" max="33" width="30.85546875" customWidth="1"/>
    <col min="34" max="34" width="23.85546875" customWidth="1"/>
    <col min="35" max="35" width="25.140625" customWidth="1"/>
    <col min="36" max="36" width="16.28515625" customWidth="1"/>
    <col min="37" max="37" width="14.85546875" customWidth="1"/>
    <col min="38" max="38" width="9.28515625" bestFit="1" customWidth="1"/>
    <col min="39" max="39" width="15.140625" customWidth="1"/>
    <col min="40" max="40" width="16.42578125" customWidth="1"/>
    <col min="41" max="41" width="13.7109375" customWidth="1"/>
    <col min="42" max="42" width="16.140625" customWidth="1"/>
  </cols>
  <sheetData>
    <row r="1" spans="1:20" x14ac:dyDescent="0.25">
      <c r="A1" t="s">
        <v>0</v>
      </c>
      <c r="B1" t="s">
        <v>2</v>
      </c>
      <c r="C1" t="s">
        <v>185</v>
      </c>
      <c r="D1" t="s">
        <v>186</v>
      </c>
      <c r="E1" t="s">
        <v>187</v>
      </c>
      <c r="F1" t="s">
        <v>188</v>
      </c>
      <c r="G1" t="s">
        <v>189</v>
      </c>
      <c r="H1" t="s">
        <v>190</v>
      </c>
      <c r="I1" t="s">
        <v>191</v>
      </c>
      <c r="J1" t="s">
        <v>192</v>
      </c>
      <c r="K1" t="s">
        <v>193</v>
      </c>
      <c r="L1" t="s">
        <v>194</v>
      </c>
      <c r="M1" t="s">
        <v>195</v>
      </c>
      <c r="N1" t="s">
        <v>196</v>
      </c>
      <c r="O1" t="s">
        <v>197</v>
      </c>
      <c r="P1" t="s">
        <v>198</v>
      </c>
      <c r="Q1" t="s">
        <v>199</v>
      </c>
      <c r="R1" t="s">
        <v>200</v>
      </c>
      <c r="S1" t="s">
        <v>201</v>
      </c>
      <c r="T1" t="s">
        <v>184</v>
      </c>
    </row>
    <row r="2" spans="1:20" hidden="1" x14ac:dyDescent="0.25">
      <c r="A2" t="s">
        <v>42</v>
      </c>
      <c r="B2" t="s">
        <v>44</v>
      </c>
      <c r="C2" t="s">
        <v>41</v>
      </c>
      <c r="D2">
        <v>44471</v>
      </c>
      <c r="E2" t="s">
        <v>202</v>
      </c>
      <c r="F2" t="s">
        <v>203</v>
      </c>
      <c r="G2" t="s">
        <v>204</v>
      </c>
      <c r="H2">
        <v>1</v>
      </c>
      <c r="I2" s="18">
        <v>996</v>
      </c>
      <c r="J2" s="18">
        <v>996</v>
      </c>
      <c r="K2" t="s">
        <v>205</v>
      </c>
      <c r="L2" t="s">
        <v>206</v>
      </c>
      <c r="M2" t="s">
        <v>207</v>
      </c>
      <c r="P2" s="18">
        <v>0</v>
      </c>
      <c r="Q2" s="18">
        <v>0</v>
      </c>
      <c r="R2" s="18">
        <v>39.840000000000003</v>
      </c>
      <c r="S2" s="18">
        <v>0</v>
      </c>
      <c r="T2" s="18">
        <v>996</v>
      </c>
    </row>
    <row r="3" spans="1:20" x14ac:dyDescent="0.25">
      <c r="A3" t="s">
        <v>42</v>
      </c>
      <c r="B3" t="s">
        <v>38</v>
      </c>
      <c r="C3" t="s">
        <v>41</v>
      </c>
      <c r="D3">
        <v>44471</v>
      </c>
      <c r="E3" t="s">
        <v>202</v>
      </c>
      <c r="F3" t="s">
        <v>203</v>
      </c>
      <c r="G3" t="s">
        <v>204</v>
      </c>
      <c r="H3">
        <v>1</v>
      </c>
      <c r="I3" s="18">
        <v>996</v>
      </c>
      <c r="J3" s="18">
        <v>996</v>
      </c>
      <c r="K3" t="s">
        <v>205</v>
      </c>
      <c r="L3" t="s">
        <v>206</v>
      </c>
      <c r="M3" t="s">
        <v>207</v>
      </c>
      <c r="P3" s="18">
        <v>0</v>
      </c>
      <c r="Q3" s="18">
        <v>0</v>
      </c>
      <c r="R3" s="18">
        <v>39.840000000000003</v>
      </c>
      <c r="S3" s="18">
        <v>0</v>
      </c>
      <c r="T3" s="18">
        <v>996</v>
      </c>
    </row>
    <row r="4" spans="1:20" hidden="1" x14ac:dyDescent="0.25">
      <c r="A4" t="s">
        <v>42</v>
      </c>
      <c r="B4" t="s">
        <v>44</v>
      </c>
      <c r="C4" t="s">
        <v>41</v>
      </c>
      <c r="D4">
        <v>44471</v>
      </c>
      <c r="E4" t="s">
        <v>202</v>
      </c>
      <c r="F4" t="s">
        <v>203</v>
      </c>
      <c r="G4" t="s">
        <v>204</v>
      </c>
      <c r="H4">
        <v>1</v>
      </c>
      <c r="I4" s="18">
        <v>1094.0999999999999</v>
      </c>
      <c r="J4" s="18">
        <v>1094.0999999999999</v>
      </c>
      <c r="K4" t="s">
        <v>205</v>
      </c>
      <c r="L4" t="s">
        <v>206</v>
      </c>
      <c r="M4" t="s">
        <v>207</v>
      </c>
      <c r="P4" s="18">
        <v>0</v>
      </c>
      <c r="Q4" s="18">
        <v>0</v>
      </c>
      <c r="R4" s="18">
        <v>43.76</v>
      </c>
      <c r="S4" s="18">
        <v>0</v>
      </c>
      <c r="T4" s="18">
        <v>1094.0999999999999</v>
      </c>
    </row>
    <row r="5" spans="1:20" hidden="1" x14ac:dyDescent="0.25">
      <c r="A5" t="s">
        <v>42</v>
      </c>
      <c r="B5" t="s">
        <v>44</v>
      </c>
      <c r="C5" t="s">
        <v>41</v>
      </c>
      <c r="D5">
        <v>44471</v>
      </c>
      <c r="E5" t="s">
        <v>202</v>
      </c>
      <c r="F5" t="s">
        <v>203</v>
      </c>
      <c r="G5" t="s">
        <v>204</v>
      </c>
      <c r="H5">
        <v>1</v>
      </c>
      <c r="I5" s="18">
        <v>1094.0999999999999</v>
      </c>
      <c r="J5" s="18">
        <v>1094.0999999999999</v>
      </c>
      <c r="K5" t="s">
        <v>205</v>
      </c>
      <c r="L5" t="s">
        <v>206</v>
      </c>
      <c r="M5" t="s">
        <v>207</v>
      </c>
      <c r="P5" s="18">
        <v>0</v>
      </c>
      <c r="Q5" s="18">
        <v>0</v>
      </c>
      <c r="R5" s="18">
        <v>43.76</v>
      </c>
      <c r="S5" s="18">
        <v>0</v>
      </c>
      <c r="T5" s="18">
        <v>1094.0999999999999</v>
      </c>
    </row>
    <row r="6" spans="1:20" hidden="1" x14ac:dyDescent="0.25">
      <c r="A6" t="s">
        <v>42</v>
      </c>
      <c r="B6" t="s">
        <v>44</v>
      </c>
      <c r="C6" t="s">
        <v>41</v>
      </c>
      <c r="D6">
        <v>44471</v>
      </c>
      <c r="E6" t="s">
        <v>202</v>
      </c>
      <c r="F6" t="s">
        <v>203</v>
      </c>
      <c r="G6" t="s">
        <v>204</v>
      </c>
      <c r="H6">
        <v>1</v>
      </c>
      <c r="I6" s="18">
        <v>1094.0999999999999</v>
      </c>
      <c r="J6" s="18">
        <v>1094.0999999999999</v>
      </c>
      <c r="K6" t="s">
        <v>205</v>
      </c>
      <c r="L6" t="s">
        <v>206</v>
      </c>
      <c r="M6" t="s">
        <v>207</v>
      </c>
      <c r="P6" s="18">
        <v>0</v>
      </c>
      <c r="Q6" s="18">
        <v>0</v>
      </c>
      <c r="R6" s="18">
        <v>43.76</v>
      </c>
      <c r="S6" s="18">
        <v>0</v>
      </c>
      <c r="T6" s="18">
        <v>1094.0999999999999</v>
      </c>
    </row>
    <row r="7" spans="1:20" x14ac:dyDescent="0.25">
      <c r="A7" t="s">
        <v>42</v>
      </c>
      <c r="B7" t="s">
        <v>38</v>
      </c>
      <c r="C7" t="s">
        <v>41</v>
      </c>
      <c r="D7">
        <v>44473</v>
      </c>
      <c r="E7" t="s">
        <v>202</v>
      </c>
      <c r="F7" t="s">
        <v>203</v>
      </c>
      <c r="G7" t="s">
        <v>204</v>
      </c>
      <c r="H7">
        <v>1</v>
      </c>
      <c r="I7" s="18">
        <v>996</v>
      </c>
      <c r="J7" s="18">
        <v>996</v>
      </c>
      <c r="K7" t="s">
        <v>205</v>
      </c>
      <c r="L7" t="s">
        <v>206</v>
      </c>
      <c r="M7" t="s">
        <v>207</v>
      </c>
      <c r="P7" s="18">
        <v>0</v>
      </c>
      <c r="Q7" s="18">
        <v>0</v>
      </c>
      <c r="R7" s="18">
        <v>39.840000000000003</v>
      </c>
      <c r="S7" s="18">
        <v>0</v>
      </c>
      <c r="T7" s="18">
        <v>996</v>
      </c>
    </row>
    <row r="8" spans="1:20" x14ac:dyDescent="0.25">
      <c r="A8" t="s">
        <v>42</v>
      </c>
      <c r="B8" t="s">
        <v>38</v>
      </c>
      <c r="C8" t="s">
        <v>41</v>
      </c>
      <c r="D8">
        <v>44473</v>
      </c>
      <c r="E8" t="s">
        <v>202</v>
      </c>
      <c r="F8" t="s">
        <v>203</v>
      </c>
      <c r="G8" t="s">
        <v>204</v>
      </c>
      <c r="H8">
        <v>1</v>
      </c>
      <c r="I8" s="18">
        <v>1094.0999999999999</v>
      </c>
      <c r="J8" s="18">
        <v>1094.0999999999999</v>
      </c>
      <c r="K8" t="s">
        <v>205</v>
      </c>
      <c r="L8" t="s">
        <v>206</v>
      </c>
      <c r="M8" t="s">
        <v>207</v>
      </c>
      <c r="P8" s="18">
        <v>0</v>
      </c>
      <c r="Q8" s="18">
        <v>0</v>
      </c>
      <c r="R8" s="18">
        <v>43.76</v>
      </c>
      <c r="S8" s="18">
        <v>0</v>
      </c>
      <c r="T8" s="18">
        <v>1094.0999999999999</v>
      </c>
    </row>
    <row r="9" spans="1:20" hidden="1" x14ac:dyDescent="0.25">
      <c r="A9" t="s">
        <v>42</v>
      </c>
      <c r="B9" t="s">
        <v>44</v>
      </c>
      <c r="C9" t="s">
        <v>41</v>
      </c>
      <c r="D9">
        <v>44473</v>
      </c>
      <c r="E9" t="s">
        <v>202</v>
      </c>
      <c r="F9" t="s">
        <v>208</v>
      </c>
      <c r="G9" t="s">
        <v>209</v>
      </c>
      <c r="H9">
        <v>1</v>
      </c>
      <c r="I9" s="18">
        <v>1214</v>
      </c>
      <c r="J9" s="18">
        <v>1214</v>
      </c>
      <c r="K9" t="s">
        <v>205</v>
      </c>
      <c r="L9" t="s">
        <v>210</v>
      </c>
      <c r="M9" t="s">
        <v>211</v>
      </c>
      <c r="P9" s="18">
        <v>0</v>
      </c>
      <c r="Q9" s="18">
        <v>266.49</v>
      </c>
      <c r="R9" s="18">
        <v>0</v>
      </c>
      <c r="S9" s="18">
        <v>0</v>
      </c>
      <c r="T9" s="18">
        <v>1214</v>
      </c>
    </row>
    <row r="10" spans="1:20" hidden="1" x14ac:dyDescent="0.25">
      <c r="A10" t="s">
        <v>42</v>
      </c>
      <c r="B10" t="s">
        <v>44</v>
      </c>
      <c r="C10" t="s">
        <v>41</v>
      </c>
      <c r="D10">
        <v>44473</v>
      </c>
      <c r="E10" t="s">
        <v>202</v>
      </c>
      <c r="F10" t="s">
        <v>208</v>
      </c>
      <c r="G10" t="s">
        <v>209</v>
      </c>
      <c r="H10">
        <v>1</v>
      </c>
      <c r="I10" s="18">
        <v>1214</v>
      </c>
      <c r="J10" s="18">
        <v>1214</v>
      </c>
      <c r="K10" t="s">
        <v>205</v>
      </c>
      <c r="L10" t="s">
        <v>210</v>
      </c>
      <c r="M10" t="s">
        <v>211</v>
      </c>
      <c r="P10" s="18">
        <v>0</v>
      </c>
      <c r="Q10" s="18">
        <v>266.49</v>
      </c>
      <c r="R10" s="18">
        <v>0</v>
      </c>
      <c r="S10" s="18">
        <v>0</v>
      </c>
      <c r="T10" s="18">
        <v>1214</v>
      </c>
    </row>
    <row r="11" spans="1:20" hidden="1" x14ac:dyDescent="0.25">
      <c r="A11" t="s">
        <v>42</v>
      </c>
      <c r="B11" t="s">
        <v>44</v>
      </c>
      <c r="C11" t="s">
        <v>41</v>
      </c>
      <c r="D11">
        <v>44473</v>
      </c>
      <c r="E11" t="s">
        <v>202</v>
      </c>
      <c r="F11" t="s">
        <v>208</v>
      </c>
      <c r="G11" t="s">
        <v>209</v>
      </c>
      <c r="H11">
        <v>1</v>
      </c>
      <c r="I11" s="18">
        <v>1214</v>
      </c>
      <c r="J11" s="18">
        <v>1214</v>
      </c>
      <c r="K11" t="s">
        <v>205</v>
      </c>
      <c r="L11" t="s">
        <v>210</v>
      </c>
      <c r="M11" t="s">
        <v>211</v>
      </c>
      <c r="P11" s="18">
        <v>0</v>
      </c>
      <c r="Q11" s="18">
        <v>266.49</v>
      </c>
      <c r="R11" s="18">
        <v>0</v>
      </c>
      <c r="S11" s="18">
        <v>0</v>
      </c>
      <c r="T11" s="18">
        <v>1214</v>
      </c>
    </row>
    <row r="12" spans="1:20" x14ac:dyDescent="0.25">
      <c r="A12" t="s">
        <v>42</v>
      </c>
      <c r="B12" t="s">
        <v>38</v>
      </c>
      <c r="C12" t="s">
        <v>41</v>
      </c>
      <c r="D12">
        <v>44474</v>
      </c>
      <c r="E12" t="s">
        <v>202</v>
      </c>
      <c r="F12" t="s">
        <v>203</v>
      </c>
      <c r="G12" t="s">
        <v>204</v>
      </c>
      <c r="H12">
        <v>1</v>
      </c>
      <c r="I12" s="18">
        <v>996</v>
      </c>
      <c r="J12" s="18">
        <v>996</v>
      </c>
      <c r="K12" t="s">
        <v>205</v>
      </c>
      <c r="L12" t="s">
        <v>206</v>
      </c>
      <c r="M12" t="s">
        <v>207</v>
      </c>
      <c r="P12" s="18">
        <v>0</v>
      </c>
      <c r="Q12" s="18">
        <v>0</v>
      </c>
      <c r="R12" s="18">
        <v>39.840000000000003</v>
      </c>
      <c r="S12" s="18">
        <v>0</v>
      </c>
      <c r="T12" s="18">
        <v>996</v>
      </c>
    </row>
    <row r="13" spans="1:20" x14ac:dyDescent="0.25">
      <c r="A13" t="s">
        <v>42</v>
      </c>
      <c r="B13" t="s">
        <v>38</v>
      </c>
      <c r="C13" t="s">
        <v>41</v>
      </c>
      <c r="D13">
        <v>44474</v>
      </c>
      <c r="E13" t="s">
        <v>202</v>
      </c>
      <c r="F13" t="s">
        <v>203</v>
      </c>
      <c r="G13" t="s">
        <v>204</v>
      </c>
      <c r="H13">
        <v>1</v>
      </c>
      <c r="I13" s="18">
        <v>996</v>
      </c>
      <c r="J13" s="18">
        <v>996</v>
      </c>
      <c r="K13" t="s">
        <v>205</v>
      </c>
      <c r="L13" t="s">
        <v>206</v>
      </c>
      <c r="M13" t="s">
        <v>207</v>
      </c>
      <c r="P13" s="18">
        <v>0</v>
      </c>
      <c r="Q13" s="18">
        <v>0</v>
      </c>
      <c r="R13" s="18">
        <v>39.840000000000003</v>
      </c>
      <c r="S13" s="18">
        <v>0</v>
      </c>
      <c r="T13" s="18">
        <v>996</v>
      </c>
    </row>
    <row r="14" spans="1:20" x14ac:dyDescent="0.25">
      <c r="A14" t="s">
        <v>42</v>
      </c>
      <c r="B14" t="s">
        <v>38</v>
      </c>
      <c r="C14" t="s">
        <v>41</v>
      </c>
      <c r="D14">
        <v>44474</v>
      </c>
      <c r="E14" t="s">
        <v>202</v>
      </c>
      <c r="F14" t="s">
        <v>203</v>
      </c>
      <c r="G14" t="s">
        <v>204</v>
      </c>
      <c r="H14">
        <v>1</v>
      </c>
      <c r="I14" s="18">
        <v>996</v>
      </c>
      <c r="J14" s="18">
        <v>996</v>
      </c>
      <c r="K14" t="s">
        <v>205</v>
      </c>
      <c r="L14" t="s">
        <v>206</v>
      </c>
      <c r="M14" t="s">
        <v>207</v>
      </c>
      <c r="P14" s="18">
        <v>0</v>
      </c>
      <c r="Q14" s="18">
        <v>0</v>
      </c>
      <c r="R14" s="18">
        <v>39.840000000000003</v>
      </c>
      <c r="S14" s="18">
        <v>0</v>
      </c>
      <c r="T14" s="18">
        <v>996</v>
      </c>
    </row>
    <row r="15" spans="1:20" x14ac:dyDescent="0.25">
      <c r="A15" t="s">
        <v>42</v>
      </c>
      <c r="B15" t="s">
        <v>38</v>
      </c>
      <c r="C15" t="s">
        <v>41</v>
      </c>
      <c r="D15">
        <v>44474</v>
      </c>
      <c r="E15" t="s">
        <v>202</v>
      </c>
      <c r="F15" t="s">
        <v>208</v>
      </c>
      <c r="G15" t="s">
        <v>209</v>
      </c>
      <c r="H15">
        <v>1</v>
      </c>
      <c r="I15" s="18">
        <v>1333.9</v>
      </c>
      <c r="J15" s="18">
        <v>1333.9</v>
      </c>
      <c r="K15" t="s">
        <v>205</v>
      </c>
      <c r="L15" t="s">
        <v>210</v>
      </c>
      <c r="M15" t="s">
        <v>211</v>
      </c>
      <c r="P15" s="18">
        <v>0</v>
      </c>
      <c r="Q15" s="18">
        <v>292.81</v>
      </c>
      <c r="R15" s="18">
        <v>0</v>
      </c>
      <c r="S15" s="18">
        <v>0</v>
      </c>
      <c r="T15" s="18">
        <v>1333.9</v>
      </c>
    </row>
    <row r="16" spans="1:20" hidden="1" x14ac:dyDescent="0.25">
      <c r="A16" t="s">
        <v>42</v>
      </c>
      <c r="B16" t="s">
        <v>44</v>
      </c>
      <c r="C16" t="s">
        <v>41</v>
      </c>
      <c r="D16">
        <v>44474</v>
      </c>
      <c r="E16" t="s">
        <v>202</v>
      </c>
      <c r="F16" t="s">
        <v>208</v>
      </c>
      <c r="G16" t="s">
        <v>209</v>
      </c>
      <c r="H16">
        <v>1</v>
      </c>
      <c r="I16" s="18">
        <v>1273.95</v>
      </c>
      <c r="J16" s="18">
        <v>1273.95</v>
      </c>
      <c r="K16" t="s">
        <v>205</v>
      </c>
      <c r="L16" t="s">
        <v>210</v>
      </c>
      <c r="M16" t="s">
        <v>212</v>
      </c>
      <c r="P16" s="18">
        <v>0</v>
      </c>
      <c r="Q16" s="18">
        <v>0</v>
      </c>
      <c r="R16" s="18">
        <v>0</v>
      </c>
      <c r="S16" s="18">
        <v>0</v>
      </c>
      <c r="T16" s="18">
        <v>1273.95</v>
      </c>
    </row>
    <row r="17" spans="1:20" hidden="1" x14ac:dyDescent="0.25">
      <c r="A17" t="s">
        <v>42</v>
      </c>
      <c r="B17" t="s">
        <v>43</v>
      </c>
      <c r="C17" t="s">
        <v>41</v>
      </c>
      <c r="D17">
        <v>44474</v>
      </c>
      <c r="E17" t="s">
        <v>202</v>
      </c>
      <c r="F17" t="s">
        <v>208</v>
      </c>
      <c r="G17" t="s">
        <v>209</v>
      </c>
      <c r="H17">
        <v>1</v>
      </c>
      <c r="I17" s="18">
        <v>1453.8</v>
      </c>
      <c r="J17" s="18">
        <v>1453.8</v>
      </c>
      <c r="K17" t="s">
        <v>205</v>
      </c>
      <c r="L17" t="s">
        <v>210</v>
      </c>
      <c r="M17" t="s">
        <v>211</v>
      </c>
      <c r="P17" s="18">
        <v>0</v>
      </c>
      <c r="Q17" s="18">
        <v>319.13</v>
      </c>
      <c r="R17" s="18">
        <v>0</v>
      </c>
      <c r="S17" s="18">
        <v>0</v>
      </c>
      <c r="T17" s="18">
        <v>1453.8</v>
      </c>
    </row>
    <row r="18" spans="1:20" hidden="1" x14ac:dyDescent="0.25">
      <c r="A18" t="s">
        <v>42</v>
      </c>
      <c r="B18" t="s">
        <v>44</v>
      </c>
      <c r="C18" t="s">
        <v>41</v>
      </c>
      <c r="D18">
        <v>44474</v>
      </c>
      <c r="E18" t="s">
        <v>202</v>
      </c>
      <c r="F18" t="s">
        <v>208</v>
      </c>
      <c r="G18" t="s">
        <v>209</v>
      </c>
      <c r="H18">
        <v>1</v>
      </c>
      <c r="I18" s="18">
        <v>1273.95</v>
      </c>
      <c r="J18" s="18">
        <v>1273.95</v>
      </c>
      <c r="K18" t="s">
        <v>205</v>
      </c>
      <c r="L18" t="s">
        <v>210</v>
      </c>
      <c r="M18" t="s">
        <v>212</v>
      </c>
      <c r="P18" s="18">
        <v>0</v>
      </c>
      <c r="Q18" s="18">
        <v>0</v>
      </c>
      <c r="R18" s="18">
        <v>0</v>
      </c>
      <c r="S18" s="18">
        <v>0</v>
      </c>
      <c r="T18" s="18">
        <v>1273.95</v>
      </c>
    </row>
    <row r="19" spans="1:20" hidden="1" x14ac:dyDescent="0.25">
      <c r="A19" t="s">
        <v>42</v>
      </c>
      <c r="B19" t="s">
        <v>44</v>
      </c>
      <c r="C19" t="s">
        <v>41</v>
      </c>
      <c r="D19">
        <v>44474</v>
      </c>
      <c r="E19" t="s">
        <v>202</v>
      </c>
      <c r="F19" t="s">
        <v>208</v>
      </c>
      <c r="G19" t="s">
        <v>209</v>
      </c>
      <c r="H19">
        <v>1</v>
      </c>
      <c r="I19" s="18">
        <v>1273.95</v>
      </c>
      <c r="J19" s="18">
        <v>1273.95</v>
      </c>
      <c r="K19" t="s">
        <v>205</v>
      </c>
      <c r="L19" t="s">
        <v>210</v>
      </c>
      <c r="M19" t="s">
        <v>212</v>
      </c>
      <c r="P19" s="18">
        <v>0</v>
      </c>
      <c r="Q19" s="18">
        <v>0</v>
      </c>
      <c r="R19" s="18">
        <v>0</v>
      </c>
      <c r="S19" s="18">
        <v>0</v>
      </c>
      <c r="T19" s="18">
        <v>1273.95</v>
      </c>
    </row>
    <row r="20" spans="1:20" hidden="1" x14ac:dyDescent="0.25">
      <c r="A20" t="s">
        <v>42</v>
      </c>
      <c r="B20" t="s">
        <v>45</v>
      </c>
      <c r="C20" t="s">
        <v>41</v>
      </c>
      <c r="D20">
        <v>44475</v>
      </c>
      <c r="E20" t="s">
        <v>202</v>
      </c>
      <c r="F20" t="s">
        <v>208</v>
      </c>
      <c r="G20" t="s">
        <v>209</v>
      </c>
      <c r="H20">
        <v>1</v>
      </c>
      <c r="I20" s="18">
        <v>1333.9</v>
      </c>
      <c r="J20" s="18">
        <v>1333.9</v>
      </c>
      <c r="K20" t="s">
        <v>205</v>
      </c>
      <c r="L20" t="s">
        <v>210</v>
      </c>
      <c r="M20" t="s">
        <v>211</v>
      </c>
      <c r="P20" s="18">
        <v>0</v>
      </c>
      <c r="Q20" s="18">
        <v>292.81</v>
      </c>
      <c r="R20" s="18">
        <v>0</v>
      </c>
      <c r="S20" s="18">
        <v>0</v>
      </c>
      <c r="T20" s="18">
        <v>1333.9</v>
      </c>
    </row>
    <row r="21" spans="1:20" hidden="1" x14ac:dyDescent="0.25">
      <c r="A21" t="s">
        <v>42</v>
      </c>
      <c r="B21" t="s">
        <v>44</v>
      </c>
      <c r="C21" t="s">
        <v>41</v>
      </c>
      <c r="D21">
        <v>44475</v>
      </c>
      <c r="E21" t="s">
        <v>202</v>
      </c>
      <c r="F21" t="s">
        <v>208</v>
      </c>
      <c r="G21" t="s">
        <v>209</v>
      </c>
      <c r="H21">
        <v>1</v>
      </c>
      <c r="I21" s="18">
        <v>1045</v>
      </c>
      <c r="J21" s="18">
        <v>1045</v>
      </c>
      <c r="K21" t="s">
        <v>205</v>
      </c>
      <c r="L21" t="s">
        <v>210</v>
      </c>
      <c r="M21" t="s">
        <v>211</v>
      </c>
      <c r="P21" s="18">
        <v>0</v>
      </c>
      <c r="Q21" s="18">
        <v>229.39</v>
      </c>
      <c r="R21" s="18">
        <v>0</v>
      </c>
      <c r="S21" s="18">
        <v>0</v>
      </c>
      <c r="T21" s="18">
        <v>1045</v>
      </c>
    </row>
    <row r="22" spans="1:20" hidden="1" x14ac:dyDescent="0.25">
      <c r="A22" t="s">
        <v>42</v>
      </c>
      <c r="B22" t="s">
        <v>44</v>
      </c>
      <c r="C22" t="s">
        <v>41</v>
      </c>
      <c r="D22">
        <v>44475</v>
      </c>
      <c r="E22" t="s">
        <v>202</v>
      </c>
      <c r="F22" t="s">
        <v>208</v>
      </c>
      <c r="G22" t="s">
        <v>209</v>
      </c>
      <c r="H22">
        <v>1</v>
      </c>
      <c r="I22" s="18">
        <v>50</v>
      </c>
      <c r="J22" s="18">
        <v>50</v>
      </c>
      <c r="K22" t="s">
        <v>205</v>
      </c>
      <c r="L22" t="s">
        <v>210</v>
      </c>
      <c r="M22" t="s">
        <v>211</v>
      </c>
      <c r="P22" s="18">
        <v>0</v>
      </c>
      <c r="Q22" s="18">
        <v>10.98</v>
      </c>
      <c r="R22" s="18">
        <v>0</v>
      </c>
      <c r="S22" s="18">
        <v>0</v>
      </c>
      <c r="T22" s="18">
        <v>50</v>
      </c>
    </row>
    <row r="23" spans="1:20" hidden="1" x14ac:dyDescent="0.25">
      <c r="A23" t="s">
        <v>42</v>
      </c>
      <c r="B23" t="s">
        <v>46</v>
      </c>
      <c r="C23" t="s">
        <v>41</v>
      </c>
      <c r="D23">
        <v>44476</v>
      </c>
      <c r="E23" t="s">
        <v>202</v>
      </c>
      <c r="F23" t="s">
        <v>208</v>
      </c>
      <c r="G23" t="s">
        <v>209</v>
      </c>
      <c r="H23">
        <v>1</v>
      </c>
      <c r="I23" s="18">
        <v>1159.5</v>
      </c>
      <c r="J23" s="18">
        <v>1159.5</v>
      </c>
      <c r="K23" t="s">
        <v>205</v>
      </c>
      <c r="L23" t="s">
        <v>210</v>
      </c>
      <c r="M23" t="s">
        <v>211</v>
      </c>
      <c r="P23" s="18">
        <v>0</v>
      </c>
      <c r="Q23" s="18">
        <v>254.52</v>
      </c>
      <c r="R23" s="18">
        <v>0</v>
      </c>
      <c r="S23" s="18">
        <v>0</v>
      </c>
      <c r="T23" s="18">
        <v>1159.5</v>
      </c>
    </row>
    <row r="24" spans="1:20" hidden="1" x14ac:dyDescent="0.25">
      <c r="A24" t="s">
        <v>42</v>
      </c>
      <c r="B24" t="s">
        <v>44</v>
      </c>
      <c r="C24" t="s">
        <v>41</v>
      </c>
      <c r="D24">
        <v>44476</v>
      </c>
      <c r="E24" t="s">
        <v>202</v>
      </c>
      <c r="F24" t="s">
        <v>208</v>
      </c>
      <c r="G24" t="s">
        <v>209</v>
      </c>
      <c r="H24">
        <v>1</v>
      </c>
      <c r="I24" s="18">
        <v>1170</v>
      </c>
      <c r="J24" s="18">
        <v>1170</v>
      </c>
      <c r="K24" t="s">
        <v>205</v>
      </c>
      <c r="L24" t="s">
        <v>210</v>
      </c>
      <c r="M24" t="s">
        <v>211</v>
      </c>
      <c r="P24" s="18">
        <v>0</v>
      </c>
      <c r="Q24" s="18">
        <v>256.83</v>
      </c>
      <c r="R24" s="18">
        <v>0</v>
      </c>
      <c r="S24" s="18">
        <v>0</v>
      </c>
      <c r="T24" s="18">
        <v>1170</v>
      </c>
    </row>
    <row r="25" spans="1:20" hidden="1" x14ac:dyDescent="0.25">
      <c r="A25" t="s">
        <v>42</v>
      </c>
      <c r="B25" t="s">
        <v>44</v>
      </c>
      <c r="C25" t="s">
        <v>41</v>
      </c>
      <c r="D25">
        <v>44476</v>
      </c>
      <c r="E25" t="s">
        <v>202</v>
      </c>
      <c r="F25" t="s">
        <v>208</v>
      </c>
      <c r="G25" t="s">
        <v>209</v>
      </c>
      <c r="H25">
        <v>1</v>
      </c>
      <c r="I25" s="18">
        <v>1273.95</v>
      </c>
      <c r="J25" s="18">
        <v>1273.95</v>
      </c>
      <c r="K25" t="s">
        <v>205</v>
      </c>
      <c r="L25" t="s">
        <v>210</v>
      </c>
      <c r="M25" t="s">
        <v>212</v>
      </c>
      <c r="P25" s="18">
        <v>0</v>
      </c>
      <c r="Q25" s="18">
        <v>0</v>
      </c>
      <c r="R25" s="18">
        <v>0</v>
      </c>
      <c r="S25" s="18">
        <v>0</v>
      </c>
      <c r="T25" s="18">
        <v>1273.95</v>
      </c>
    </row>
    <row r="26" spans="1:20" x14ac:dyDescent="0.25">
      <c r="A26" t="s">
        <v>42</v>
      </c>
      <c r="B26" t="s">
        <v>38</v>
      </c>
      <c r="C26" t="s">
        <v>41</v>
      </c>
      <c r="D26">
        <v>44477</v>
      </c>
      <c r="E26" t="s">
        <v>202</v>
      </c>
      <c r="F26" t="s">
        <v>203</v>
      </c>
      <c r="G26" t="s">
        <v>204</v>
      </c>
      <c r="H26">
        <v>1</v>
      </c>
      <c r="I26" s="18">
        <v>1094.0999999999999</v>
      </c>
      <c r="J26" s="18">
        <v>1094.0999999999999</v>
      </c>
      <c r="K26" t="s">
        <v>205</v>
      </c>
      <c r="L26" t="s">
        <v>206</v>
      </c>
      <c r="M26" t="s">
        <v>207</v>
      </c>
      <c r="P26" s="18">
        <v>0</v>
      </c>
      <c r="Q26" s="18">
        <v>0</v>
      </c>
      <c r="R26" s="18">
        <v>43.76</v>
      </c>
      <c r="S26" s="18">
        <v>0</v>
      </c>
      <c r="T26" s="18">
        <v>1094.0999999999999</v>
      </c>
    </row>
    <row r="27" spans="1:20" hidden="1" x14ac:dyDescent="0.25">
      <c r="A27" t="s">
        <v>42</v>
      </c>
      <c r="B27" t="s">
        <v>44</v>
      </c>
      <c r="C27" t="s">
        <v>41</v>
      </c>
      <c r="D27">
        <v>44477</v>
      </c>
      <c r="E27" t="s">
        <v>202</v>
      </c>
      <c r="F27" t="s">
        <v>208</v>
      </c>
      <c r="G27" t="s">
        <v>209</v>
      </c>
      <c r="H27">
        <v>1</v>
      </c>
      <c r="I27" s="18">
        <v>1273.95</v>
      </c>
      <c r="J27" s="18">
        <v>1273.95</v>
      </c>
      <c r="K27" t="s">
        <v>205</v>
      </c>
      <c r="L27" t="s">
        <v>210</v>
      </c>
      <c r="M27" t="s">
        <v>211</v>
      </c>
      <c r="P27" s="18">
        <v>0</v>
      </c>
      <c r="Q27" s="18">
        <v>279.64999999999998</v>
      </c>
      <c r="R27" s="18">
        <v>0</v>
      </c>
      <c r="S27" s="18">
        <v>0</v>
      </c>
      <c r="T27" s="18">
        <v>1273.95</v>
      </c>
    </row>
    <row r="28" spans="1:20" hidden="1" x14ac:dyDescent="0.25">
      <c r="A28" t="s">
        <v>42</v>
      </c>
      <c r="B28" t="s">
        <v>44</v>
      </c>
      <c r="C28" t="s">
        <v>41</v>
      </c>
      <c r="D28">
        <v>44477</v>
      </c>
      <c r="E28" t="s">
        <v>202</v>
      </c>
      <c r="F28" t="s">
        <v>208</v>
      </c>
      <c r="G28" t="s">
        <v>209</v>
      </c>
      <c r="H28">
        <v>1</v>
      </c>
      <c r="I28" s="18">
        <v>1273.95</v>
      </c>
      <c r="J28" s="18">
        <v>1273.95</v>
      </c>
      <c r="K28" t="s">
        <v>205</v>
      </c>
      <c r="L28" t="s">
        <v>210</v>
      </c>
      <c r="M28" t="s">
        <v>211</v>
      </c>
      <c r="P28" s="18">
        <v>0</v>
      </c>
      <c r="Q28" s="18">
        <v>279.64999999999998</v>
      </c>
      <c r="R28" s="18">
        <v>0</v>
      </c>
      <c r="S28" s="18">
        <v>0</v>
      </c>
      <c r="T28" s="18">
        <v>1273.95</v>
      </c>
    </row>
    <row r="29" spans="1:20" hidden="1" x14ac:dyDescent="0.25">
      <c r="A29" t="s">
        <v>42</v>
      </c>
      <c r="B29" t="s">
        <v>44</v>
      </c>
      <c r="C29" t="s">
        <v>41</v>
      </c>
      <c r="D29">
        <v>44478</v>
      </c>
      <c r="E29" t="s">
        <v>202</v>
      </c>
      <c r="F29" t="s">
        <v>208</v>
      </c>
      <c r="G29" t="s">
        <v>209</v>
      </c>
      <c r="H29">
        <v>1</v>
      </c>
      <c r="I29" s="18">
        <v>1273.95</v>
      </c>
      <c r="J29" s="18">
        <v>1273.95</v>
      </c>
      <c r="K29" t="s">
        <v>205</v>
      </c>
      <c r="L29" t="s">
        <v>210</v>
      </c>
      <c r="M29" t="s">
        <v>212</v>
      </c>
      <c r="P29" s="18">
        <v>0</v>
      </c>
      <c r="Q29" s="18">
        <v>0</v>
      </c>
      <c r="R29" s="18">
        <v>0</v>
      </c>
      <c r="S29" s="18">
        <v>0</v>
      </c>
      <c r="T29" s="18">
        <v>1273.95</v>
      </c>
    </row>
    <row r="30" spans="1:20" hidden="1" x14ac:dyDescent="0.25">
      <c r="A30" t="s">
        <v>42</v>
      </c>
      <c r="B30" t="s">
        <v>44</v>
      </c>
      <c r="C30" t="s">
        <v>41</v>
      </c>
      <c r="D30">
        <v>44478</v>
      </c>
      <c r="E30" t="s">
        <v>202</v>
      </c>
      <c r="F30" t="s">
        <v>208</v>
      </c>
      <c r="G30" t="s">
        <v>209</v>
      </c>
      <c r="H30">
        <v>1</v>
      </c>
      <c r="I30" s="18">
        <v>1273.95</v>
      </c>
      <c r="J30" s="18">
        <v>1273.95</v>
      </c>
      <c r="K30" t="s">
        <v>205</v>
      </c>
      <c r="L30" t="s">
        <v>210</v>
      </c>
      <c r="M30" t="s">
        <v>212</v>
      </c>
      <c r="P30" s="18">
        <v>0</v>
      </c>
      <c r="Q30" s="18">
        <v>0</v>
      </c>
      <c r="R30" s="18">
        <v>0</v>
      </c>
      <c r="S30" s="18">
        <v>0</v>
      </c>
      <c r="T30" s="18">
        <v>1273.95</v>
      </c>
    </row>
    <row r="31" spans="1:20" hidden="1" x14ac:dyDescent="0.25">
      <c r="A31" t="s">
        <v>42</v>
      </c>
      <c r="B31" t="s">
        <v>44</v>
      </c>
      <c r="C31" t="s">
        <v>41</v>
      </c>
      <c r="D31">
        <v>44480</v>
      </c>
      <c r="E31" t="s">
        <v>202</v>
      </c>
      <c r="F31" t="s">
        <v>208</v>
      </c>
      <c r="G31" t="s">
        <v>209</v>
      </c>
      <c r="H31">
        <v>1</v>
      </c>
      <c r="I31" s="18">
        <v>1214</v>
      </c>
      <c r="J31" s="18">
        <v>1214</v>
      </c>
      <c r="K31" t="s">
        <v>205</v>
      </c>
      <c r="L31" t="s">
        <v>210</v>
      </c>
      <c r="M31" t="s">
        <v>211</v>
      </c>
      <c r="P31" s="18">
        <v>0</v>
      </c>
      <c r="Q31" s="18">
        <v>266.49</v>
      </c>
      <c r="R31" s="18">
        <v>0</v>
      </c>
      <c r="S31" s="18">
        <v>0</v>
      </c>
      <c r="T31" s="18">
        <v>1214</v>
      </c>
    </row>
    <row r="32" spans="1:20" hidden="1" x14ac:dyDescent="0.25">
      <c r="A32" t="s">
        <v>42</v>
      </c>
      <c r="B32" t="s">
        <v>44</v>
      </c>
      <c r="C32" t="s">
        <v>41</v>
      </c>
      <c r="D32">
        <v>44480</v>
      </c>
      <c r="E32" t="s">
        <v>202</v>
      </c>
      <c r="F32" t="s">
        <v>208</v>
      </c>
      <c r="G32" t="s">
        <v>209</v>
      </c>
      <c r="H32">
        <v>1</v>
      </c>
      <c r="I32" s="18">
        <v>1214</v>
      </c>
      <c r="J32" s="18">
        <v>1214</v>
      </c>
      <c r="K32" t="s">
        <v>205</v>
      </c>
      <c r="L32" t="s">
        <v>210</v>
      </c>
      <c r="M32" t="s">
        <v>211</v>
      </c>
      <c r="P32" s="18">
        <v>0</v>
      </c>
      <c r="Q32" s="18">
        <v>266.49</v>
      </c>
      <c r="R32" s="18">
        <v>0</v>
      </c>
      <c r="S32" s="18">
        <v>0</v>
      </c>
      <c r="T32" s="18">
        <v>1214</v>
      </c>
    </row>
    <row r="33" spans="1:20" hidden="1" x14ac:dyDescent="0.25">
      <c r="A33" t="s">
        <v>42</v>
      </c>
      <c r="B33" t="s">
        <v>44</v>
      </c>
      <c r="C33" t="s">
        <v>41</v>
      </c>
      <c r="D33">
        <v>44480</v>
      </c>
      <c r="E33" t="s">
        <v>202</v>
      </c>
      <c r="F33" t="s">
        <v>208</v>
      </c>
      <c r="G33" t="s">
        <v>209</v>
      </c>
      <c r="H33">
        <v>1</v>
      </c>
      <c r="I33" s="18">
        <v>1214</v>
      </c>
      <c r="J33" s="18">
        <v>1214</v>
      </c>
      <c r="K33" t="s">
        <v>205</v>
      </c>
      <c r="L33" t="s">
        <v>210</v>
      </c>
      <c r="M33" t="s">
        <v>211</v>
      </c>
      <c r="P33" s="18">
        <v>0</v>
      </c>
      <c r="Q33" s="18">
        <v>266.49</v>
      </c>
      <c r="R33" s="18">
        <v>0</v>
      </c>
      <c r="S33" s="18">
        <v>0</v>
      </c>
      <c r="T33" s="18">
        <v>1214</v>
      </c>
    </row>
    <row r="34" spans="1:20" hidden="1" x14ac:dyDescent="0.25">
      <c r="A34" t="s">
        <v>42</v>
      </c>
      <c r="B34" t="s">
        <v>44</v>
      </c>
      <c r="C34" t="s">
        <v>41</v>
      </c>
      <c r="D34">
        <v>44480</v>
      </c>
      <c r="E34" t="s">
        <v>202</v>
      </c>
      <c r="F34" t="s">
        <v>208</v>
      </c>
      <c r="G34" t="s">
        <v>209</v>
      </c>
      <c r="H34">
        <v>1</v>
      </c>
      <c r="I34" s="18">
        <v>1273.95</v>
      </c>
      <c r="J34" s="18">
        <v>1273.95</v>
      </c>
      <c r="K34" t="s">
        <v>205</v>
      </c>
      <c r="L34" t="s">
        <v>210</v>
      </c>
      <c r="M34" t="s">
        <v>212</v>
      </c>
      <c r="P34" s="18">
        <v>0</v>
      </c>
      <c r="Q34" s="18">
        <v>0</v>
      </c>
      <c r="R34" s="18">
        <v>0</v>
      </c>
      <c r="S34" s="18">
        <v>0</v>
      </c>
      <c r="T34" s="18">
        <v>1273.95</v>
      </c>
    </row>
    <row r="35" spans="1:20" hidden="1" x14ac:dyDescent="0.25">
      <c r="A35" t="s">
        <v>42</v>
      </c>
      <c r="B35" t="s">
        <v>44</v>
      </c>
      <c r="C35" t="s">
        <v>41</v>
      </c>
      <c r="D35">
        <v>44480</v>
      </c>
      <c r="E35" t="s">
        <v>202</v>
      </c>
      <c r="F35" t="s">
        <v>208</v>
      </c>
      <c r="G35" t="s">
        <v>209</v>
      </c>
      <c r="H35">
        <v>1</v>
      </c>
      <c r="I35" s="18">
        <v>1214</v>
      </c>
      <c r="J35" s="18">
        <v>1214</v>
      </c>
      <c r="K35" t="s">
        <v>205</v>
      </c>
      <c r="L35" t="s">
        <v>210</v>
      </c>
      <c r="M35" t="s">
        <v>211</v>
      </c>
      <c r="P35" s="18">
        <v>0</v>
      </c>
      <c r="Q35" s="18">
        <v>266.49</v>
      </c>
      <c r="R35" s="18">
        <v>0</v>
      </c>
      <c r="S35" s="18">
        <v>0</v>
      </c>
      <c r="T35" s="18">
        <v>1214</v>
      </c>
    </row>
    <row r="36" spans="1:20" hidden="1" x14ac:dyDescent="0.25">
      <c r="A36" t="s">
        <v>42</v>
      </c>
      <c r="B36" t="s">
        <v>44</v>
      </c>
      <c r="C36" t="s">
        <v>41</v>
      </c>
      <c r="D36">
        <v>44480</v>
      </c>
      <c r="E36" t="s">
        <v>202</v>
      </c>
      <c r="F36" t="s">
        <v>208</v>
      </c>
      <c r="G36" t="s">
        <v>209</v>
      </c>
      <c r="H36">
        <v>1</v>
      </c>
      <c r="I36" s="18">
        <v>1273.95</v>
      </c>
      <c r="J36" s="18">
        <v>1273.95</v>
      </c>
      <c r="K36" t="s">
        <v>205</v>
      </c>
      <c r="L36" t="s">
        <v>210</v>
      </c>
      <c r="M36" t="s">
        <v>212</v>
      </c>
      <c r="P36" s="18">
        <v>0</v>
      </c>
      <c r="Q36" s="18">
        <v>0</v>
      </c>
      <c r="R36" s="18">
        <v>0</v>
      </c>
      <c r="S36" s="18">
        <v>0</v>
      </c>
      <c r="T36" s="18">
        <v>1273.95</v>
      </c>
    </row>
    <row r="37" spans="1:20" hidden="1" x14ac:dyDescent="0.25">
      <c r="A37" t="s">
        <v>42</v>
      </c>
      <c r="B37" t="s">
        <v>44</v>
      </c>
      <c r="C37" t="s">
        <v>41</v>
      </c>
      <c r="D37">
        <v>44480</v>
      </c>
      <c r="E37" t="s">
        <v>202</v>
      </c>
      <c r="F37" t="s">
        <v>208</v>
      </c>
      <c r="G37" t="s">
        <v>209</v>
      </c>
      <c r="H37">
        <v>1</v>
      </c>
      <c r="I37" s="18">
        <v>1273.95</v>
      </c>
      <c r="J37" s="18">
        <v>1273.95</v>
      </c>
      <c r="K37" t="s">
        <v>205</v>
      </c>
      <c r="L37" t="s">
        <v>210</v>
      </c>
      <c r="M37" t="s">
        <v>212</v>
      </c>
      <c r="P37" s="18">
        <v>0</v>
      </c>
      <c r="Q37" s="18">
        <v>0</v>
      </c>
      <c r="R37" s="18">
        <v>0</v>
      </c>
      <c r="S37" s="18">
        <v>0</v>
      </c>
      <c r="T37" s="18">
        <v>1273.95</v>
      </c>
    </row>
    <row r="38" spans="1:20" hidden="1" x14ac:dyDescent="0.25">
      <c r="A38" t="s">
        <v>42</v>
      </c>
      <c r="B38" t="s">
        <v>44</v>
      </c>
      <c r="C38" t="s">
        <v>41</v>
      </c>
      <c r="D38">
        <v>44482</v>
      </c>
      <c r="E38" t="s">
        <v>202</v>
      </c>
      <c r="F38" t="s">
        <v>208</v>
      </c>
      <c r="G38" t="s">
        <v>209</v>
      </c>
      <c r="H38">
        <v>1</v>
      </c>
      <c r="I38" s="18">
        <v>1065</v>
      </c>
      <c r="J38" s="18">
        <v>1065</v>
      </c>
      <c r="K38" t="s">
        <v>205</v>
      </c>
      <c r="L38" t="s">
        <v>210</v>
      </c>
      <c r="M38" t="s">
        <v>211</v>
      </c>
      <c r="P38" s="18">
        <v>0</v>
      </c>
      <c r="Q38" s="18">
        <v>233.78</v>
      </c>
      <c r="R38" s="18">
        <v>0</v>
      </c>
      <c r="S38" s="18">
        <v>0</v>
      </c>
      <c r="T38" s="18">
        <v>1065</v>
      </c>
    </row>
    <row r="39" spans="1:20" hidden="1" x14ac:dyDescent="0.25">
      <c r="A39" t="s">
        <v>42</v>
      </c>
      <c r="B39" t="s">
        <v>44</v>
      </c>
      <c r="C39" t="s">
        <v>41</v>
      </c>
      <c r="D39">
        <v>44482</v>
      </c>
      <c r="E39" t="s">
        <v>202</v>
      </c>
      <c r="F39" t="s">
        <v>208</v>
      </c>
      <c r="G39" t="s">
        <v>209</v>
      </c>
      <c r="H39">
        <v>1</v>
      </c>
      <c r="I39" s="18">
        <v>1273.95</v>
      </c>
      <c r="J39" s="18">
        <v>1273.95</v>
      </c>
      <c r="K39" t="s">
        <v>205</v>
      </c>
      <c r="L39" t="s">
        <v>210</v>
      </c>
      <c r="M39" t="s">
        <v>212</v>
      </c>
      <c r="P39" s="18">
        <v>0</v>
      </c>
      <c r="Q39" s="18">
        <v>0</v>
      </c>
      <c r="R39" s="18">
        <v>0</v>
      </c>
      <c r="S39" s="18">
        <v>0</v>
      </c>
      <c r="T39" s="18">
        <v>1273.95</v>
      </c>
    </row>
    <row r="40" spans="1:20" hidden="1" x14ac:dyDescent="0.25">
      <c r="A40" t="s">
        <v>42</v>
      </c>
      <c r="B40" t="s">
        <v>44</v>
      </c>
      <c r="C40" t="s">
        <v>41</v>
      </c>
      <c r="D40">
        <v>44482</v>
      </c>
      <c r="E40" t="s">
        <v>202</v>
      </c>
      <c r="F40" t="s">
        <v>208</v>
      </c>
      <c r="G40" t="s">
        <v>209</v>
      </c>
      <c r="H40">
        <v>1</v>
      </c>
      <c r="I40" s="18">
        <v>1273.95</v>
      </c>
      <c r="J40" s="18">
        <v>1273.95</v>
      </c>
      <c r="K40" t="s">
        <v>205</v>
      </c>
      <c r="L40" t="s">
        <v>210</v>
      </c>
      <c r="M40" t="s">
        <v>212</v>
      </c>
      <c r="P40" s="18">
        <v>0</v>
      </c>
      <c r="Q40" s="18">
        <v>0</v>
      </c>
      <c r="R40" s="18">
        <v>0</v>
      </c>
      <c r="S40" s="18">
        <v>0</v>
      </c>
      <c r="T40" s="18">
        <v>1273.95</v>
      </c>
    </row>
    <row r="41" spans="1:20" hidden="1" x14ac:dyDescent="0.25">
      <c r="A41" t="s">
        <v>42</v>
      </c>
      <c r="B41" t="s">
        <v>44</v>
      </c>
      <c r="C41" t="s">
        <v>41</v>
      </c>
      <c r="D41">
        <v>44482</v>
      </c>
      <c r="E41" t="s">
        <v>202</v>
      </c>
      <c r="F41" t="s">
        <v>208</v>
      </c>
      <c r="G41" t="s">
        <v>209</v>
      </c>
      <c r="H41">
        <v>1</v>
      </c>
      <c r="I41" s="18">
        <v>1273.95</v>
      </c>
      <c r="J41" s="18">
        <v>1273.95</v>
      </c>
      <c r="K41" t="s">
        <v>205</v>
      </c>
      <c r="L41" t="s">
        <v>210</v>
      </c>
      <c r="M41" t="s">
        <v>212</v>
      </c>
      <c r="P41" s="18">
        <v>0</v>
      </c>
      <c r="Q41" s="18">
        <v>0</v>
      </c>
      <c r="R41" s="18">
        <v>0</v>
      </c>
      <c r="S41" s="18">
        <v>0</v>
      </c>
      <c r="T41" s="18">
        <v>1273.95</v>
      </c>
    </row>
    <row r="42" spans="1:20" x14ac:dyDescent="0.25">
      <c r="A42" t="s">
        <v>42</v>
      </c>
      <c r="B42" t="s">
        <v>38</v>
      </c>
      <c r="C42" t="s">
        <v>41</v>
      </c>
      <c r="D42">
        <v>44483</v>
      </c>
      <c r="E42" t="s">
        <v>202</v>
      </c>
      <c r="F42" t="s">
        <v>203</v>
      </c>
      <c r="G42" t="s">
        <v>204</v>
      </c>
      <c r="H42">
        <v>1</v>
      </c>
      <c r="I42" s="18">
        <v>1094.0999999999999</v>
      </c>
      <c r="J42" s="18">
        <v>1094.0999999999999</v>
      </c>
      <c r="K42" t="s">
        <v>205</v>
      </c>
      <c r="L42" t="s">
        <v>206</v>
      </c>
      <c r="M42" t="s">
        <v>207</v>
      </c>
      <c r="P42" s="18">
        <v>0</v>
      </c>
      <c r="Q42" s="18">
        <v>0</v>
      </c>
      <c r="R42" s="18">
        <v>43.76</v>
      </c>
      <c r="S42" s="18">
        <v>0</v>
      </c>
      <c r="T42" s="18">
        <v>1094.0999999999999</v>
      </c>
    </row>
    <row r="43" spans="1:20" hidden="1" x14ac:dyDescent="0.25">
      <c r="A43" t="s">
        <v>42</v>
      </c>
      <c r="B43" t="s">
        <v>44</v>
      </c>
      <c r="C43" t="s">
        <v>41</v>
      </c>
      <c r="D43">
        <v>44483</v>
      </c>
      <c r="E43" t="s">
        <v>202</v>
      </c>
      <c r="F43" t="s">
        <v>208</v>
      </c>
      <c r="G43" t="s">
        <v>209</v>
      </c>
      <c r="H43">
        <v>1</v>
      </c>
      <c r="I43" s="18">
        <v>1273.95</v>
      </c>
      <c r="J43" s="18">
        <v>1273.95</v>
      </c>
      <c r="K43" t="s">
        <v>205</v>
      </c>
      <c r="L43" t="s">
        <v>210</v>
      </c>
      <c r="M43" t="s">
        <v>211</v>
      </c>
      <c r="P43" s="18">
        <v>0</v>
      </c>
      <c r="Q43" s="18">
        <v>279.64999999999998</v>
      </c>
      <c r="R43" s="18">
        <v>0</v>
      </c>
      <c r="S43" s="18">
        <v>0</v>
      </c>
      <c r="T43" s="18">
        <v>1273.95</v>
      </c>
    </row>
    <row r="44" spans="1:20" hidden="1" x14ac:dyDescent="0.25">
      <c r="A44" t="s">
        <v>42</v>
      </c>
      <c r="B44" t="s">
        <v>20</v>
      </c>
      <c r="C44" t="s">
        <v>41</v>
      </c>
      <c r="D44">
        <v>44483</v>
      </c>
      <c r="E44" t="s">
        <v>202</v>
      </c>
      <c r="F44" t="s">
        <v>208</v>
      </c>
      <c r="G44" t="s">
        <v>209</v>
      </c>
      <c r="H44">
        <v>1</v>
      </c>
      <c r="I44" s="18">
        <v>1273.95</v>
      </c>
      <c r="J44" s="18">
        <v>1273.95</v>
      </c>
      <c r="K44" t="s">
        <v>205</v>
      </c>
      <c r="L44" t="s">
        <v>210</v>
      </c>
      <c r="M44" t="s">
        <v>211</v>
      </c>
      <c r="P44" s="18">
        <v>0</v>
      </c>
      <c r="Q44" s="18">
        <v>279.64999999999998</v>
      </c>
      <c r="R44" s="18">
        <v>0</v>
      </c>
      <c r="S44" s="18">
        <v>0</v>
      </c>
      <c r="T44" s="18">
        <v>1273.95</v>
      </c>
    </row>
    <row r="45" spans="1:20" hidden="1" x14ac:dyDescent="0.25">
      <c r="A45" t="s">
        <v>42</v>
      </c>
      <c r="B45" t="s">
        <v>44</v>
      </c>
      <c r="C45" t="s">
        <v>41</v>
      </c>
      <c r="D45">
        <v>44484</v>
      </c>
      <c r="E45" t="s">
        <v>213</v>
      </c>
      <c r="F45" t="s">
        <v>208</v>
      </c>
      <c r="G45" t="s">
        <v>209</v>
      </c>
      <c r="H45">
        <v>1</v>
      </c>
      <c r="I45" s="18">
        <v>94.5</v>
      </c>
      <c r="J45" s="18">
        <v>94.5</v>
      </c>
      <c r="K45" t="s">
        <v>205</v>
      </c>
      <c r="L45" t="s">
        <v>210</v>
      </c>
      <c r="M45" t="s">
        <v>211</v>
      </c>
      <c r="P45" s="18">
        <v>0</v>
      </c>
      <c r="Q45" s="18">
        <v>20.74</v>
      </c>
      <c r="R45" s="18">
        <v>0</v>
      </c>
      <c r="S45" s="18">
        <v>0</v>
      </c>
      <c r="T45" s="18">
        <v>94.5</v>
      </c>
    </row>
    <row r="46" spans="1:20" hidden="1" x14ac:dyDescent="0.25">
      <c r="A46" t="s">
        <v>42</v>
      </c>
      <c r="B46" t="s">
        <v>44</v>
      </c>
      <c r="C46" t="s">
        <v>41</v>
      </c>
      <c r="D46">
        <v>44484</v>
      </c>
      <c r="E46" t="s">
        <v>202</v>
      </c>
      <c r="F46" t="s">
        <v>208</v>
      </c>
      <c r="G46" t="s">
        <v>209</v>
      </c>
      <c r="H46">
        <v>1</v>
      </c>
      <c r="I46" s="18">
        <v>1159.5</v>
      </c>
      <c r="J46" s="18">
        <v>1159.5</v>
      </c>
      <c r="K46" t="s">
        <v>205</v>
      </c>
      <c r="L46" t="s">
        <v>210</v>
      </c>
      <c r="M46" t="s">
        <v>211</v>
      </c>
      <c r="P46" s="18">
        <v>0</v>
      </c>
      <c r="Q46" s="18">
        <v>254.52</v>
      </c>
      <c r="R46" s="18">
        <v>0</v>
      </c>
      <c r="S46" s="18">
        <v>0</v>
      </c>
      <c r="T46" s="18">
        <v>1159.5</v>
      </c>
    </row>
    <row r="47" spans="1:20" hidden="1" x14ac:dyDescent="0.25">
      <c r="A47" t="s">
        <v>42</v>
      </c>
      <c r="B47" t="s">
        <v>44</v>
      </c>
      <c r="C47" t="s">
        <v>41</v>
      </c>
      <c r="D47">
        <v>44485</v>
      </c>
      <c r="E47" t="s">
        <v>202</v>
      </c>
      <c r="F47" t="s">
        <v>208</v>
      </c>
      <c r="G47" t="s">
        <v>209</v>
      </c>
      <c r="H47">
        <v>1</v>
      </c>
      <c r="I47" s="18">
        <v>1214</v>
      </c>
      <c r="J47" s="18">
        <v>1214</v>
      </c>
      <c r="K47" t="s">
        <v>205</v>
      </c>
      <c r="L47" t="s">
        <v>210</v>
      </c>
      <c r="M47" t="s">
        <v>211</v>
      </c>
      <c r="P47" s="18">
        <v>0</v>
      </c>
      <c r="Q47" s="18">
        <v>266.49</v>
      </c>
      <c r="R47" s="18">
        <v>0</v>
      </c>
      <c r="S47" s="18">
        <v>0</v>
      </c>
      <c r="T47" s="18">
        <v>1214</v>
      </c>
    </row>
    <row r="48" spans="1:20" hidden="1" x14ac:dyDescent="0.25">
      <c r="A48" t="s">
        <v>42</v>
      </c>
      <c r="B48" t="s">
        <v>44</v>
      </c>
      <c r="C48" t="s">
        <v>41</v>
      </c>
      <c r="D48">
        <v>44485</v>
      </c>
      <c r="E48" t="s">
        <v>202</v>
      </c>
      <c r="F48" t="s">
        <v>208</v>
      </c>
      <c r="G48" t="s">
        <v>209</v>
      </c>
      <c r="H48">
        <v>1</v>
      </c>
      <c r="I48" s="18">
        <v>189.44</v>
      </c>
      <c r="J48" s="18">
        <v>189.44</v>
      </c>
      <c r="K48" t="s">
        <v>205</v>
      </c>
      <c r="L48" t="s">
        <v>210</v>
      </c>
      <c r="M48" t="s">
        <v>211</v>
      </c>
      <c r="P48" s="18">
        <v>0</v>
      </c>
      <c r="Q48" s="18">
        <v>41.58</v>
      </c>
      <c r="R48" s="18">
        <v>0</v>
      </c>
      <c r="S48" s="18">
        <v>0</v>
      </c>
      <c r="T48" s="18">
        <v>189.44</v>
      </c>
    </row>
    <row r="49" spans="1:20" hidden="1" x14ac:dyDescent="0.25">
      <c r="A49" t="s">
        <v>42</v>
      </c>
      <c r="B49" t="s">
        <v>44</v>
      </c>
      <c r="C49" t="s">
        <v>41</v>
      </c>
      <c r="D49">
        <v>44485</v>
      </c>
      <c r="E49" t="s">
        <v>202</v>
      </c>
      <c r="F49" t="s">
        <v>208</v>
      </c>
      <c r="G49" t="s">
        <v>209</v>
      </c>
      <c r="H49">
        <v>1</v>
      </c>
      <c r="I49" s="18">
        <v>437.3</v>
      </c>
      <c r="J49" s="18">
        <v>437.3</v>
      </c>
      <c r="K49" t="s">
        <v>205</v>
      </c>
      <c r="L49" t="s">
        <v>210</v>
      </c>
      <c r="M49" t="s">
        <v>211</v>
      </c>
      <c r="P49" s="18">
        <v>0</v>
      </c>
      <c r="Q49" s="18">
        <v>95.99</v>
      </c>
      <c r="R49" s="18">
        <v>0</v>
      </c>
      <c r="S49" s="18">
        <v>0</v>
      </c>
      <c r="T49" s="18">
        <v>437.3</v>
      </c>
    </row>
    <row r="50" spans="1:20" hidden="1" x14ac:dyDescent="0.25">
      <c r="A50" t="s">
        <v>42</v>
      </c>
      <c r="B50" t="s">
        <v>44</v>
      </c>
      <c r="C50" t="s">
        <v>41</v>
      </c>
      <c r="D50">
        <v>44485</v>
      </c>
      <c r="E50" t="s">
        <v>202</v>
      </c>
      <c r="F50" t="s">
        <v>208</v>
      </c>
      <c r="G50" t="s">
        <v>209</v>
      </c>
      <c r="H50">
        <v>1</v>
      </c>
      <c r="I50" s="18">
        <v>189.44</v>
      </c>
      <c r="J50" s="18">
        <v>189.44</v>
      </c>
      <c r="K50" t="s">
        <v>205</v>
      </c>
      <c r="L50" t="s">
        <v>210</v>
      </c>
      <c r="M50" t="s">
        <v>211</v>
      </c>
      <c r="P50" s="18">
        <v>0</v>
      </c>
      <c r="Q50" s="18">
        <v>41.58</v>
      </c>
      <c r="R50" s="18">
        <v>0</v>
      </c>
      <c r="S50" s="18">
        <v>0</v>
      </c>
      <c r="T50" s="18">
        <v>189.44</v>
      </c>
    </row>
    <row r="51" spans="1:20" hidden="1" x14ac:dyDescent="0.25">
      <c r="A51" t="s">
        <v>42</v>
      </c>
      <c r="B51" t="s">
        <v>44</v>
      </c>
      <c r="C51" t="s">
        <v>41</v>
      </c>
      <c r="D51">
        <v>44485</v>
      </c>
      <c r="E51" t="s">
        <v>202</v>
      </c>
      <c r="F51" t="s">
        <v>208</v>
      </c>
      <c r="G51" t="s">
        <v>209</v>
      </c>
      <c r="H51">
        <v>1</v>
      </c>
      <c r="I51" s="18">
        <v>209.32</v>
      </c>
      <c r="J51" s="18">
        <v>209.32</v>
      </c>
      <c r="K51" t="s">
        <v>205</v>
      </c>
      <c r="L51" t="s">
        <v>210</v>
      </c>
      <c r="M51" t="s">
        <v>211</v>
      </c>
      <c r="P51" s="18">
        <v>0</v>
      </c>
      <c r="Q51" s="18">
        <v>45.95</v>
      </c>
      <c r="R51" s="18">
        <v>0</v>
      </c>
      <c r="S51" s="18">
        <v>0</v>
      </c>
      <c r="T51" s="18">
        <v>209.32</v>
      </c>
    </row>
    <row r="52" spans="1:20" hidden="1" x14ac:dyDescent="0.25">
      <c r="A52" t="s">
        <v>42</v>
      </c>
      <c r="B52" t="s">
        <v>44</v>
      </c>
      <c r="C52" t="s">
        <v>41</v>
      </c>
      <c r="D52">
        <v>44485</v>
      </c>
      <c r="E52" t="s">
        <v>202</v>
      </c>
      <c r="F52" t="s">
        <v>208</v>
      </c>
      <c r="G52" t="s">
        <v>209</v>
      </c>
      <c r="H52">
        <v>1</v>
      </c>
      <c r="I52" s="18">
        <v>129.52000000000001</v>
      </c>
      <c r="J52" s="18">
        <v>129.52000000000001</v>
      </c>
      <c r="K52" t="s">
        <v>205</v>
      </c>
      <c r="L52" t="s">
        <v>210</v>
      </c>
      <c r="M52" t="s">
        <v>211</v>
      </c>
      <c r="P52" s="18">
        <v>0</v>
      </c>
      <c r="Q52" s="18">
        <v>28.43</v>
      </c>
      <c r="R52" s="18">
        <v>0</v>
      </c>
      <c r="S52" s="18">
        <v>0</v>
      </c>
      <c r="T52" s="18">
        <v>129.52000000000001</v>
      </c>
    </row>
    <row r="53" spans="1:20" hidden="1" x14ac:dyDescent="0.25">
      <c r="A53" t="s">
        <v>42</v>
      </c>
      <c r="B53" t="s">
        <v>44</v>
      </c>
      <c r="C53" t="s">
        <v>41</v>
      </c>
      <c r="D53">
        <v>44485</v>
      </c>
      <c r="E53" t="s">
        <v>202</v>
      </c>
      <c r="F53" t="s">
        <v>208</v>
      </c>
      <c r="G53" t="s">
        <v>209</v>
      </c>
      <c r="H53">
        <v>1</v>
      </c>
      <c r="I53" s="18">
        <v>4.4800000000000004</v>
      </c>
      <c r="J53" s="18">
        <v>4.4800000000000004</v>
      </c>
      <c r="K53" t="s">
        <v>205</v>
      </c>
      <c r="L53" t="s">
        <v>210</v>
      </c>
      <c r="M53" t="s">
        <v>211</v>
      </c>
      <c r="P53" s="18">
        <v>0</v>
      </c>
      <c r="Q53" s="18">
        <v>0.98</v>
      </c>
      <c r="R53" s="18">
        <v>0</v>
      </c>
      <c r="S53" s="18">
        <v>0</v>
      </c>
      <c r="T53" s="18">
        <v>4.4800000000000004</v>
      </c>
    </row>
    <row r="54" spans="1:20" hidden="1" x14ac:dyDescent="0.25">
      <c r="A54" t="s">
        <v>42</v>
      </c>
      <c r="B54" t="s">
        <v>44</v>
      </c>
      <c r="C54" t="s">
        <v>41</v>
      </c>
      <c r="D54">
        <v>44485</v>
      </c>
      <c r="E54" t="s">
        <v>202</v>
      </c>
      <c r="F54" t="s">
        <v>208</v>
      </c>
      <c r="G54" t="s">
        <v>209</v>
      </c>
      <c r="H54">
        <v>1</v>
      </c>
      <c r="I54" s="18">
        <v>740.41</v>
      </c>
      <c r="J54" s="18">
        <v>740.41</v>
      </c>
      <c r="K54" t="s">
        <v>205</v>
      </c>
      <c r="L54" t="s">
        <v>210</v>
      </c>
      <c r="M54" t="s">
        <v>211</v>
      </c>
      <c r="P54" s="18">
        <v>0</v>
      </c>
      <c r="Q54" s="18">
        <v>162.53</v>
      </c>
      <c r="R54" s="18">
        <v>0</v>
      </c>
      <c r="S54" s="18">
        <v>0</v>
      </c>
      <c r="T54" s="18">
        <v>740.41</v>
      </c>
    </row>
    <row r="55" spans="1:20" hidden="1" x14ac:dyDescent="0.25">
      <c r="A55" t="s">
        <v>42</v>
      </c>
      <c r="B55" t="s">
        <v>44</v>
      </c>
      <c r="C55" t="s">
        <v>41</v>
      </c>
      <c r="D55">
        <v>44485</v>
      </c>
      <c r="E55" t="s">
        <v>202</v>
      </c>
      <c r="F55" t="s">
        <v>208</v>
      </c>
      <c r="G55" t="s">
        <v>209</v>
      </c>
      <c r="H55">
        <v>1</v>
      </c>
      <c r="I55" s="18">
        <v>2.13</v>
      </c>
      <c r="J55" s="18">
        <v>2.13</v>
      </c>
      <c r="K55" t="s">
        <v>205</v>
      </c>
      <c r="L55" t="s">
        <v>210</v>
      </c>
      <c r="M55" t="s">
        <v>211</v>
      </c>
      <c r="P55" s="18">
        <v>0</v>
      </c>
      <c r="Q55" s="18">
        <v>0.47</v>
      </c>
      <c r="R55" s="18">
        <v>0</v>
      </c>
      <c r="S55" s="18">
        <v>0</v>
      </c>
      <c r="T55" s="18">
        <v>2.13</v>
      </c>
    </row>
    <row r="56" spans="1:20" hidden="1" x14ac:dyDescent="0.25">
      <c r="A56" t="s">
        <v>42</v>
      </c>
      <c r="B56" t="s">
        <v>44</v>
      </c>
      <c r="C56" t="s">
        <v>41</v>
      </c>
      <c r="D56">
        <v>44485</v>
      </c>
      <c r="E56" t="s">
        <v>202</v>
      </c>
      <c r="F56" t="s">
        <v>208</v>
      </c>
      <c r="G56" t="s">
        <v>209</v>
      </c>
      <c r="H56">
        <v>1</v>
      </c>
      <c r="I56" s="18">
        <v>15.2</v>
      </c>
      <c r="J56" s="18">
        <v>15.2</v>
      </c>
      <c r="K56" t="s">
        <v>205</v>
      </c>
      <c r="L56" t="s">
        <v>210</v>
      </c>
      <c r="M56" t="s">
        <v>211</v>
      </c>
      <c r="P56" s="18">
        <v>0</v>
      </c>
      <c r="Q56" s="18">
        <v>3.34</v>
      </c>
      <c r="R56" s="18">
        <v>0</v>
      </c>
      <c r="S56" s="18">
        <v>0</v>
      </c>
      <c r="T56" s="18">
        <v>15.2</v>
      </c>
    </row>
    <row r="57" spans="1:20" hidden="1" x14ac:dyDescent="0.25">
      <c r="A57" t="s">
        <v>42</v>
      </c>
      <c r="B57" t="s">
        <v>44</v>
      </c>
      <c r="C57" t="s">
        <v>41</v>
      </c>
      <c r="D57">
        <v>44485</v>
      </c>
      <c r="E57" t="s">
        <v>202</v>
      </c>
      <c r="F57" t="s">
        <v>208</v>
      </c>
      <c r="G57" t="s">
        <v>209</v>
      </c>
      <c r="H57">
        <v>1</v>
      </c>
      <c r="I57" s="18">
        <v>454.55</v>
      </c>
      <c r="J57" s="18">
        <v>454.55</v>
      </c>
      <c r="K57" t="s">
        <v>205</v>
      </c>
      <c r="L57" t="s">
        <v>210</v>
      </c>
      <c r="M57" t="s">
        <v>211</v>
      </c>
      <c r="P57" s="18">
        <v>0</v>
      </c>
      <c r="Q57" s="18">
        <v>99.78</v>
      </c>
      <c r="R57" s="18">
        <v>0</v>
      </c>
      <c r="S57" s="18">
        <v>0</v>
      </c>
      <c r="T57" s="18">
        <v>454.55</v>
      </c>
    </row>
    <row r="58" spans="1:20" hidden="1" x14ac:dyDescent="0.25">
      <c r="A58" t="s">
        <v>42</v>
      </c>
      <c r="B58" t="s">
        <v>44</v>
      </c>
      <c r="C58" t="s">
        <v>41</v>
      </c>
      <c r="D58">
        <v>44485</v>
      </c>
      <c r="E58" t="s">
        <v>202</v>
      </c>
      <c r="F58" t="s">
        <v>208</v>
      </c>
      <c r="G58" t="s">
        <v>209</v>
      </c>
      <c r="H58">
        <v>1</v>
      </c>
      <c r="I58" s="18">
        <v>1.71</v>
      </c>
      <c r="J58" s="18">
        <v>1.71</v>
      </c>
      <c r="K58" t="s">
        <v>205</v>
      </c>
      <c r="L58" t="s">
        <v>210</v>
      </c>
      <c r="M58" t="s">
        <v>211</v>
      </c>
      <c r="P58" s="18">
        <v>0</v>
      </c>
      <c r="Q58" s="18">
        <v>0.38</v>
      </c>
      <c r="R58" s="18">
        <v>0</v>
      </c>
      <c r="S58" s="18">
        <v>0</v>
      </c>
      <c r="T58" s="18">
        <v>1.71</v>
      </c>
    </row>
    <row r="59" spans="1:20" x14ac:dyDescent="0.25">
      <c r="A59" t="s">
        <v>42</v>
      </c>
      <c r="B59" t="s">
        <v>38</v>
      </c>
      <c r="C59" t="s">
        <v>41</v>
      </c>
      <c r="D59">
        <v>44487</v>
      </c>
      <c r="E59" t="s">
        <v>202</v>
      </c>
      <c r="F59" t="s">
        <v>203</v>
      </c>
      <c r="G59" t="s">
        <v>204</v>
      </c>
      <c r="H59">
        <v>1</v>
      </c>
      <c r="I59" s="18">
        <v>1094.0999999999999</v>
      </c>
      <c r="J59" s="18">
        <v>1094.0999999999999</v>
      </c>
      <c r="K59" t="s">
        <v>205</v>
      </c>
      <c r="L59" t="s">
        <v>206</v>
      </c>
      <c r="M59" t="s">
        <v>207</v>
      </c>
      <c r="P59" s="18">
        <v>0</v>
      </c>
      <c r="Q59" s="18">
        <v>0</v>
      </c>
      <c r="R59" s="18">
        <v>43.76</v>
      </c>
      <c r="S59" s="18">
        <v>0</v>
      </c>
      <c r="T59" s="18">
        <v>1094.0999999999999</v>
      </c>
    </row>
    <row r="60" spans="1:20" x14ac:dyDescent="0.25">
      <c r="A60" t="s">
        <v>42</v>
      </c>
      <c r="B60" t="s">
        <v>38</v>
      </c>
      <c r="C60" t="s">
        <v>41</v>
      </c>
      <c r="D60">
        <v>44487</v>
      </c>
      <c r="E60" t="s">
        <v>202</v>
      </c>
      <c r="F60" t="s">
        <v>203</v>
      </c>
      <c r="G60" t="s">
        <v>204</v>
      </c>
      <c r="H60">
        <v>1</v>
      </c>
      <c r="I60" s="18">
        <v>1094.0999999999999</v>
      </c>
      <c r="J60" s="18">
        <v>1094.0999999999999</v>
      </c>
      <c r="K60" t="s">
        <v>205</v>
      </c>
      <c r="L60" t="s">
        <v>206</v>
      </c>
      <c r="M60" t="s">
        <v>207</v>
      </c>
      <c r="P60" s="18">
        <v>0</v>
      </c>
      <c r="Q60" s="18">
        <v>0</v>
      </c>
      <c r="R60" s="18">
        <v>43.76</v>
      </c>
      <c r="S60" s="18">
        <v>0</v>
      </c>
      <c r="T60" s="18">
        <v>1094.0999999999999</v>
      </c>
    </row>
    <row r="61" spans="1:20" x14ac:dyDescent="0.25">
      <c r="A61" t="s">
        <v>42</v>
      </c>
      <c r="B61" t="s">
        <v>38</v>
      </c>
      <c r="C61" t="s">
        <v>41</v>
      </c>
      <c r="D61">
        <v>44488</v>
      </c>
      <c r="E61" t="s">
        <v>202</v>
      </c>
      <c r="F61" t="s">
        <v>203</v>
      </c>
      <c r="G61" t="s">
        <v>204</v>
      </c>
      <c r="H61">
        <v>1</v>
      </c>
      <c r="I61" s="18">
        <v>1094.0999999999999</v>
      </c>
      <c r="J61" s="18">
        <v>1094.0999999999999</v>
      </c>
      <c r="K61" t="s">
        <v>205</v>
      </c>
      <c r="L61" t="s">
        <v>206</v>
      </c>
      <c r="M61" t="s">
        <v>207</v>
      </c>
      <c r="P61" s="18">
        <v>0</v>
      </c>
      <c r="Q61" s="18">
        <v>0</v>
      </c>
      <c r="R61" s="18">
        <v>43.76</v>
      </c>
      <c r="S61" s="18">
        <v>0</v>
      </c>
      <c r="T61" s="18">
        <v>1094.0999999999999</v>
      </c>
    </row>
    <row r="62" spans="1:20" x14ac:dyDescent="0.25">
      <c r="A62" t="s">
        <v>42</v>
      </c>
      <c r="B62" t="s">
        <v>38</v>
      </c>
      <c r="C62" t="s">
        <v>41</v>
      </c>
      <c r="D62">
        <v>44488</v>
      </c>
      <c r="E62" t="s">
        <v>202</v>
      </c>
      <c r="F62" t="s">
        <v>203</v>
      </c>
      <c r="G62" t="s">
        <v>204</v>
      </c>
      <c r="H62">
        <v>1</v>
      </c>
      <c r="I62" s="18">
        <v>1094.0999999999999</v>
      </c>
      <c r="J62" s="18">
        <v>1094.0999999999999</v>
      </c>
      <c r="K62" t="s">
        <v>205</v>
      </c>
      <c r="L62" t="s">
        <v>206</v>
      </c>
      <c r="M62" t="s">
        <v>207</v>
      </c>
      <c r="P62" s="18">
        <v>0</v>
      </c>
      <c r="Q62" s="18">
        <v>0</v>
      </c>
      <c r="R62" s="18">
        <v>43.76</v>
      </c>
      <c r="S62" s="18">
        <v>0</v>
      </c>
      <c r="T62" s="18">
        <v>1094.0999999999999</v>
      </c>
    </row>
    <row r="63" spans="1:20" hidden="1" x14ac:dyDescent="0.25">
      <c r="A63" t="s">
        <v>42</v>
      </c>
      <c r="B63" t="s">
        <v>44</v>
      </c>
      <c r="C63" t="s">
        <v>41</v>
      </c>
      <c r="D63">
        <v>44489</v>
      </c>
      <c r="E63" t="s">
        <v>202</v>
      </c>
      <c r="F63" t="s">
        <v>208</v>
      </c>
      <c r="G63" t="s">
        <v>209</v>
      </c>
      <c r="H63">
        <v>1</v>
      </c>
      <c r="I63" s="18">
        <v>1273.95</v>
      </c>
      <c r="J63" s="18">
        <v>1273.95</v>
      </c>
      <c r="K63" t="s">
        <v>205</v>
      </c>
      <c r="L63" t="s">
        <v>210</v>
      </c>
      <c r="M63" t="s">
        <v>211</v>
      </c>
      <c r="P63" s="18">
        <v>0</v>
      </c>
      <c r="Q63" s="18">
        <v>279.64999999999998</v>
      </c>
      <c r="R63" s="18">
        <v>0</v>
      </c>
      <c r="S63" s="18">
        <v>0</v>
      </c>
      <c r="T63" s="18">
        <v>1273.95</v>
      </c>
    </row>
    <row r="64" spans="1:20" x14ac:dyDescent="0.25">
      <c r="A64" t="s">
        <v>42</v>
      </c>
      <c r="B64" t="s">
        <v>38</v>
      </c>
      <c r="C64" t="s">
        <v>41</v>
      </c>
      <c r="D64">
        <v>44490</v>
      </c>
      <c r="E64" t="s">
        <v>202</v>
      </c>
      <c r="F64" t="s">
        <v>203</v>
      </c>
      <c r="G64" t="s">
        <v>204</v>
      </c>
      <c r="H64">
        <v>1</v>
      </c>
      <c r="I64" s="18">
        <v>1094.0999999999999</v>
      </c>
      <c r="J64" s="18">
        <v>1094.0999999999999</v>
      </c>
      <c r="K64" t="s">
        <v>205</v>
      </c>
      <c r="L64" t="s">
        <v>206</v>
      </c>
      <c r="M64" t="s">
        <v>207</v>
      </c>
      <c r="P64" s="18">
        <v>0</v>
      </c>
      <c r="Q64" s="18">
        <v>0</v>
      </c>
      <c r="R64" s="18">
        <v>43.76</v>
      </c>
      <c r="S64" s="18">
        <v>0</v>
      </c>
      <c r="T64" s="18">
        <v>1094.0999999999999</v>
      </c>
    </row>
    <row r="65" spans="1:20" x14ac:dyDescent="0.25">
      <c r="A65" t="s">
        <v>42</v>
      </c>
      <c r="B65" t="s">
        <v>38</v>
      </c>
      <c r="C65" t="s">
        <v>41</v>
      </c>
      <c r="D65">
        <v>44490</v>
      </c>
      <c r="E65" t="s">
        <v>202</v>
      </c>
      <c r="F65" t="s">
        <v>203</v>
      </c>
      <c r="G65" t="s">
        <v>204</v>
      </c>
      <c r="H65">
        <v>1</v>
      </c>
      <c r="I65" s="18">
        <v>1094.0999999999999</v>
      </c>
      <c r="J65" s="18">
        <v>1094.0999999999999</v>
      </c>
      <c r="K65" t="s">
        <v>205</v>
      </c>
      <c r="L65" t="s">
        <v>206</v>
      </c>
      <c r="M65" t="s">
        <v>207</v>
      </c>
      <c r="P65" s="18">
        <v>0</v>
      </c>
      <c r="Q65" s="18">
        <v>0</v>
      </c>
      <c r="R65" s="18">
        <v>43.76</v>
      </c>
      <c r="S65" s="18">
        <v>0</v>
      </c>
      <c r="T65" s="18">
        <v>1094.0999999999999</v>
      </c>
    </row>
    <row r="66" spans="1:20" hidden="1" x14ac:dyDescent="0.25">
      <c r="A66" t="s">
        <v>42</v>
      </c>
      <c r="B66" t="s">
        <v>44</v>
      </c>
      <c r="C66" t="s">
        <v>41</v>
      </c>
      <c r="D66">
        <v>44490</v>
      </c>
      <c r="E66" t="s">
        <v>202</v>
      </c>
      <c r="F66" t="s">
        <v>208</v>
      </c>
      <c r="G66" t="s">
        <v>209</v>
      </c>
      <c r="H66">
        <v>1</v>
      </c>
      <c r="I66" s="18">
        <v>1273.95</v>
      </c>
      <c r="J66" s="18">
        <v>1273.95</v>
      </c>
      <c r="K66" t="s">
        <v>205</v>
      </c>
      <c r="L66" t="s">
        <v>210</v>
      </c>
      <c r="M66" t="s">
        <v>211</v>
      </c>
      <c r="P66" s="18">
        <v>0</v>
      </c>
      <c r="Q66" s="18">
        <v>279.64999999999998</v>
      </c>
      <c r="R66" s="18">
        <v>0</v>
      </c>
      <c r="S66" s="18">
        <v>0</v>
      </c>
      <c r="T66" s="18">
        <v>1273.95</v>
      </c>
    </row>
    <row r="67" spans="1:20" hidden="1" x14ac:dyDescent="0.25">
      <c r="A67" t="s">
        <v>42</v>
      </c>
      <c r="B67" t="s">
        <v>44</v>
      </c>
      <c r="C67" t="s">
        <v>41</v>
      </c>
      <c r="D67">
        <v>44490</v>
      </c>
      <c r="E67" t="s">
        <v>202</v>
      </c>
      <c r="F67" t="s">
        <v>208</v>
      </c>
      <c r="G67" t="s">
        <v>209</v>
      </c>
      <c r="H67">
        <v>1</v>
      </c>
      <c r="I67" s="18">
        <v>1273.95</v>
      </c>
      <c r="J67" s="18">
        <v>1273.95</v>
      </c>
      <c r="K67" t="s">
        <v>205</v>
      </c>
      <c r="L67" t="s">
        <v>210</v>
      </c>
      <c r="M67" t="s">
        <v>211</v>
      </c>
      <c r="P67" s="18">
        <v>0</v>
      </c>
      <c r="Q67" s="18">
        <v>279.64999999999998</v>
      </c>
      <c r="R67" s="18">
        <v>0</v>
      </c>
      <c r="S67" s="18">
        <v>0</v>
      </c>
      <c r="T67" s="18">
        <v>1273.95</v>
      </c>
    </row>
    <row r="68" spans="1:20" hidden="1" x14ac:dyDescent="0.25">
      <c r="A68" t="s">
        <v>42</v>
      </c>
      <c r="B68" t="s">
        <v>44</v>
      </c>
      <c r="C68" t="s">
        <v>41</v>
      </c>
      <c r="D68">
        <v>44490</v>
      </c>
      <c r="E68" t="s">
        <v>202</v>
      </c>
      <c r="F68" t="s">
        <v>208</v>
      </c>
      <c r="G68" t="s">
        <v>209</v>
      </c>
      <c r="H68">
        <v>1</v>
      </c>
      <c r="I68" s="18">
        <v>1273.95</v>
      </c>
      <c r="J68" s="18">
        <v>1273.95</v>
      </c>
      <c r="K68" t="s">
        <v>205</v>
      </c>
      <c r="L68" t="s">
        <v>210</v>
      </c>
      <c r="M68" t="s">
        <v>211</v>
      </c>
      <c r="P68" s="18">
        <v>0</v>
      </c>
      <c r="Q68" s="18">
        <v>279.64999999999998</v>
      </c>
      <c r="R68" s="18">
        <v>0</v>
      </c>
      <c r="S68" s="18">
        <v>0</v>
      </c>
      <c r="T68" s="18">
        <v>1273.95</v>
      </c>
    </row>
    <row r="69" spans="1:20" x14ac:dyDescent="0.25">
      <c r="A69" t="s">
        <v>42</v>
      </c>
      <c r="B69" t="s">
        <v>38</v>
      </c>
      <c r="C69" t="s">
        <v>41</v>
      </c>
      <c r="D69">
        <v>44491</v>
      </c>
      <c r="E69" t="s">
        <v>202</v>
      </c>
      <c r="F69" t="s">
        <v>203</v>
      </c>
      <c r="G69" t="s">
        <v>204</v>
      </c>
      <c r="H69">
        <v>1</v>
      </c>
      <c r="I69" s="18">
        <v>1094.0999999999999</v>
      </c>
      <c r="J69" s="18">
        <v>1094.0999999999999</v>
      </c>
      <c r="K69" t="s">
        <v>205</v>
      </c>
      <c r="L69" t="s">
        <v>206</v>
      </c>
      <c r="M69" t="s">
        <v>207</v>
      </c>
      <c r="P69" s="18">
        <v>0</v>
      </c>
      <c r="Q69" s="18">
        <v>0</v>
      </c>
      <c r="R69" s="18">
        <v>43.76</v>
      </c>
      <c r="S69" s="18">
        <v>0</v>
      </c>
      <c r="T69" s="18">
        <v>1094.0999999999999</v>
      </c>
    </row>
    <row r="70" spans="1:20" x14ac:dyDescent="0.25">
      <c r="A70" t="s">
        <v>42</v>
      </c>
      <c r="B70" t="s">
        <v>38</v>
      </c>
      <c r="C70" t="s">
        <v>41</v>
      </c>
      <c r="D70">
        <v>44491</v>
      </c>
      <c r="E70" t="s">
        <v>202</v>
      </c>
      <c r="F70" t="s">
        <v>203</v>
      </c>
      <c r="G70" t="s">
        <v>204</v>
      </c>
      <c r="H70">
        <v>1</v>
      </c>
      <c r="I70" s="18">
        <v>1094.0999999999999</v>
      </c>
      <c r="J70" s="18">
        <v>1094.0999999999999</v>
      </c>
      <c r="K70" t="s">
        <v>205</v>
      </c>
      <c r="L70" t="s">
        <v>206</v>
      </c>
      <c r="M70" t="s">
        <v>207</v>
      </c>
      <c r="P70" s="18">
        <v>0</v>
      </c>
      <c r="Q70" s="18">
        <v>0</v>
      </c>
      <c r="R70" s="18">
        <v>43.76</v>
      </c>
      <c r="S70" s="18">
        <v>0</v>
      </c>
      <c r="T70" s="18">
        <v>1094.0999999999999</v>
      </c>
    </row>
    <row r="71" spans="1:20" x14ac:dyDescent="0.25">
      <c r="A71" t="s">
        <v>42</v>
      </c>
      <c r="B71" t="s">
        <v>38</v>
      </c>
      <c r="C71" t="s">
        <v>41</v>
      </c>
      <c r="D71">
        <v>44491</v>
      </c>
      <c r="E71" t="s">
        <v>202</v>
      </c>
      <c r="F71" t="s">
        <v>203</v>
      </c>
      <c r="G71" t="s">
        <v>204</v>
      </c>
      <c r="H71">
        <v>1</v>
      </c>
      <c r="I71" s="18">
        <v>1094.0999999999999</v>
      </c>
      <c r="J71" s="18">
        <v>1094.0999999999999</v>
      </c>
      <c r="K71" t="s">
        <v>205</v>
      </c>
      <c r="L71" t="s">
        <v>206</v>
      </c>
      <c r="M71" t="s">
        <v>207</v>
      </c>
      <c r="P71" s="18">
        <v>0</v>
      </c>
      <c r="Q71" s="18">
        <v>0</v>
      </c>
      <c r="R71" s="18">
        <v>43.76</v>
      </c>
      <c r="S71" s="18">
        <v>0</v>
      </c>
      <c r="T71" s="18">
        <v>1094.0999999999999</v>
      </c>
    </row>
    <row r="72" spans="1:20" hidden="1" x14ac:dyDescent="0.25">
      <c r="A72" t="s">
        <v>42</v>
      </c>
      <c r="B72" t="s">
        <v>44</v>
      </c>
      <c r="C72" t="s">
        <v>41</v>
      </c>
      <c r="D72">
        <v>44491</v>
      </c>
      <c r="E72" t="s">
        <v>202</v>
      </c>
      <c r="F72" t="s">
        <v>208</v>
      </c>
      <c r="G72" t="s">
        <v>209</v>
      </c>
      <c r="H72">
        <v>1</v>
      </c>
      <c r="I72" s="18">
        <v>1273.95</v>
      </c>
      <c r="J72" s="18">
        <v>1273.95</v>
      </c>
      <c r="K72" t="s">
        <v>205</v>
      </c>
      <c r="L72" t="s">
        <v>210</v>
      </c>
      <c r="M72" t="s">
        <v>211</v>
      </c>
      <c r="P72" s="18">
        <v>0</v>
      </c>
      <c r="Q72" s="18">
        <v>279.64999999999998</v>
      </c>
      <c r="R72" s="18">
        <v>0</v>
      </c>
      <c r="S72" s="18">
        <v>0</v>
      </c>
      <c r="T72" s="18">
        <v>1273.95</v>
      </c>
    </row>
    <row r="73" spans="1:20" hidden="1" x14ac:dyDescent="0.25">
      <c r="A73" t="s">
        <v>42</v>
      </c>
      <c r="B73" t="s">
        <v>44</v>
      </c>
      <c r="C73" t="s">
        <v>41</v>
      </c>
      <c r="D73">
        <v>44491</v>
      </c>
      <c r="E73" t="s">
        <v>202</v>
      </c>
      <c r="F73" t="s">
        <v>208</v>
      </c>
      <c r="G73" t="s">
        <v>209</v>
      </c>
      <c r="H73">
        <v>1</v>
      </c>
      <c r="I73" s="18">
        <v>1273.95</v>
      </c>
      <c r="J73" s="18">
        <v>1273.95</v>
      </c>
      <c r="K73" t="s">
        <v>205</v>
      </c>
      <c r="L73" t="s">
        <v>210</v>
      </c>
      <c r="M73" t="s">
        <v>211</v>
      </c>
      <c r="P73" s="18">
        <v>0</v>
      </c>
      <c r="Q73" s="18">
        <v>279.64999999999998</v>
      </c>
      <c r="R73" s="18">
        <v>0</v>
      </c>
      <c r="S73" s="18">
        <v>0</v>
      </c>
      <c r="T73" s="18">
        <v>1273.95</v>
      </c>
    </row>
    <row r="74" spans="1:20" hidden="1" x14ac:dyDescent="0.25">
      <c r="A74" t="s">
        <v>42</v>
      </c>
      <c r="B74" t="s">
        <v>44</v>
      </c>
      <c r="C74" t="s">
        <v>41</v>
      </c>
      <c r="D74">
        <v>44491</v>
      </c>
      <c r="E74" t="s">
        <v>202</v>
      </c>
      <c r="F74" t="s">
        <v>208</v>
      </c>
      <c r="G74" t="s">
        <v>209</v>
      </c>
      <c r="H74">
        <v>1</v>
      </c>
      <c r="I74" s="18">
        <v>1214</v>
      </c>
      <c r="J74" s="18">
        <v>1214</v>
      </c>
      <c r="K74" t="s">
        <v>205</v>
      </c>
      <c r="L74" t="s">
        <v>210</v>
      </c>
      <c r="M74" t="s">
        <v>211</v>
      </c>
      <c r="P74" s="18">
        <v>0</v>
      </c>
      <c r="Q74" s="18">
        <v>266.49</v>
      </c>
      <c r="R74" s="18">
        <v>0</v>
      </c>
      <c r="S74" s="18">
        <v>0</v>
      </c>
      <c r="T74" s="18">
        <v>1214</v>
      </c>
    </row>
    <row r="75" spans="1:20" x14ac:dyDescent="0.25">
      <c r="A75" t="s">
        <v>42</v>
      </c>
      <c r="B75" t="s">
        <v>38</v>
      </c>
      <c r="C75" t="s">
        <v>41</v>
      </c>
      <c r="D75">
        <v>44492</v>
      </c>
      <c r="E75" t="s">
        <v>202</v>
      </c>
      <c r="F75" t="s">
        <v>203</v>
      </c>
      <c r="G75" t="s">
        <v>204</v>
      </c>
      <c r="H75">
        <v>1</v>
      </c>
      <c r="I75" s="18">
        <v>1094.0999999999999</v>
      </c>
      <c r="J75" s="18">
        <v>1094.0999999999999</v>
      </c>
      <c r="K75" t="s">
        <v>205</v>
      </c>
      <c r="L75" t="s">
        <v>206</v>
      </c>
      <c r="M75" t="s">
        <v>207</v>
      </c>
      <c r="P75" s="18">
        <v>0</v>
      </c>
      <c r="Q75" s="18">
        <v>0</v>
      </c>
      <c r="R75" s="18">
        <v>43.76</v>
      </c>
      <c r="S75" s="18">
        <v>0</v>
      </c>
      <c r="T75" s="18">
        <v>1094.0999999999999</v>
      </c>
    </row>
    <row r="76" spans="1:20" x14ac:dyDescent="0.25">
      <c r="A76" t="s">
        <v>42</v>
      </c>
      <c r="B76" t="s">
        <v>38</v>
      </c>
      <c r="C76" t="s">
        <v>41</v>
      </c>
      <c r="D76">
        <v>44494</v>
      </c>
      <c r="E76" t="s">
        <v>202</v>
      </c>
      <c r="F76" t="s">
        <v>203</v>
      </c>
      <c r="G76" t="s">
        <v>204</v>
      </c>
      <c r="H76">
        <v>1</v>
      </c>
      <c r="I76" s="18">
        <v>1094.0999999999999</v>
      </c>
      <c r="J76" s="18">
        <v>1094.0999999999999</v>
      </c>
      <c r="K76" t="s">
        <v>205</v>
      </c>
      <c r="L76" t="s">
        <v>206</v>
      </c>
      <c r="M76" t="s">
        <v>207</v>
      </c>
      <c r="P76" s="18">
        <v>0</v>
      </c>
      <c r="Q76" s="18">
        <v>0</v>
      </c>
      <c r="R76" s="18">
        <v>43.76</v>
      </c>
      <c r="S76" s="18">
        <v>0</v>
      </c>
      <c r="T76" s="18">
        <v>1094.0999999999999</v>
      </c>
    </row>
    <row r="77" spans="1:20" x14ac:dyDescent="0.25">
      <c r="A77" t="s">
        <v>42</v>
      </c>
      <c r="B77" t="s">
        <v>38</v>
      </c>
      <c r="C77" t="s">
        <v>41</v>
      </c>
      <c r="D77">
        <v>44494</v>
      </c>
      <c r="E77" t="s">
        <v>202</v>
      </c>
      <c r="F77" t="s">
        <v>203</v>
      </c>
      <c r="G77" t="s">
        <v>204</v>
      </c>
      <c r="H77">
        <v>1</v>
      </c>
      <c r="I77" s="18">
        <v>1094.0999999999999</v>
      </c>
      <c r="J77" s="18">
        <v>1094.0999999999999</v>
      </c>
      <c r="K77" t="s">
        <v>205</v>
      </c>
      <c r="L77" t="s">
        <v>206</v>
      </c>
      <c r="M77" t="s">
        <v>207</v>
      </c>
      <c r="P77" s="18">
        <v>0</v>
      </c>
      <c r="Q77" s="18">
        <v>0</v>
      </c>
      <c r="R77" s="18">
        <v>43.76</v>
      </c>
      <c r="S77" s="18">
        <v>0</v>
      </c>
      <c r="T77" s="18">
        <v>1094.0999999999999</v>
      </c>
    </row>
    <row r="78" spans="1:20" x14ac:dyDescent="0.25">
      <c r="A78" t="s">
        <v>42</v>
      </c>
      <c r="B78" t="s">
        <v>38</v>
      </c>
      <c r="C78" t="s">
        <v>41</v>
      </c>
      <c r="D78">
        <v>44494</v>
      </c>
      <c r="E78" t="s">
        <v>202</v>
      </c>
      <c r="F78" t="s">
        <v>203</v>
      </c>
      <c r="G78" t="s">
        <v>204</v>
      </c>
      <c r="H78">
        <v>1</v>
      </c>
      <c r="I78" s="18">
        <v>996</v>
      </c>
      <c r="J78" s="18">
        <v>996</v>
      </c>
      <c r="K78" t="s">
        <v>205</v>
      </c>
      <c r="L78" t="s">
        <v>206</v>
      </c>
      <c r="M78" t="s">
        <v>207</v>
      </c>
      <c r="P78" s="18">
        <v>0</v>
      </c>
      <c r="Q78" s="18">
        <v>0</v>
      </c>
      <c r="R78" s="18">
        <v>39.840000000000003</v>
      </c>
      <c r="S78" s="18">
        <v>0</v>
      </c>
      <c r="T78" s="18">
        <v>996</v>
      </c>
    </row>
    <row r="79" spans="1:20" hidden="1" x14ac:dyDescent="0.25">
      <c r="A79" t="s">
        <v>42</v>
      </c>
      <c r="B79" t="s">
        <v>44</v>
      </c>
      <c r="C79" t="s">
        <v>41</v>
      </c>
      <c r="D79">
        <v>44495</v>
      </c>
      <c r="E79" t="s">
        <v>213</v>
      </c>
      <c r="F79" t="s">
        <v>208</v>
      </c>
      <c r="G79" t="s">
        <v>209</v>
      </c>
      <c r="H79">
        <v>1</v>
      </c>
      <c r="I79" s="18">
        <v>641.66999999999996</v>
      </c>
      <c r="J79" s="18">
        <v>641.66999999999996</v>
      </c>
      <c r="K79" t="s">
        <v>205</v>
      </c>
      <c r="L79" t="s">
        <v>210</v>
      </c>
      <c r="M79" t="s">
        <v>211</v>
      </c>
      <c r="P79" s="18">
        <v>0</v>
      </c>
      <c r="Q79" s="18">
        <v>140.85</v>
      </c>
      <c r="R79" s="18">
        <v>0</v>
      </c>
      <c r="S79" s="18">
        <v>0</v>
      </c>
      <c r="T79" s="18">
        <v>641.66999999999996</v>
      </c>
    </row>
    <row r="80" spans="1:20" x14ac:dyDescent="0.25">
      <c r="A80" t="s">
        <v>42</v>
      </c>
      <c r="B80" t="s">
        <v>38</v>
      </c>
      <c r="C80" t="s">
        <v>41</v>
      </c>
      <c r="D80">
        <v>44496</v>
      </c>
      <c r="E80" t="s">
        <v>202</v>
      </c>
      <c r="F80" t="s">
        <v>203</v>
      </c>
      <c r="G80" t="s">
        <v>204</v>
      </c>
      <c r="H80">
        <v>1</v>
      </c>
      <c r="I80" s="18">
        <v>996</v>
      </c>
      <c r="J80" s="18">
        <v>996</v>
      </c>
      <c r="K80" t="s">
        <v>205</v>
      </c>
      <c r="L80" t="s">
        <v>206</v>
      </c>
      <c r="M80" t="s">
        <v>207</v>
      </c>
      <c r="P80" s="18">
        <v>0</v>
      </c>
      <c r="Q80" s="18">
        <v>0</v>
      </c>
      <c r="R80" s="18">
        <v>39.840000000000003</v>
      </c>
      <c r="S80" s="18">
        <v>0</v>
      </c>
      <c r="T80" s="18">
        <v>996</v>
      </c>
    </row>
    <row r="81" spans="1:20" x14ac:dyDescent="0.25">
      <c r="A81" t="s">
        <v>42</v>
      </c>
      <c r="B81" t="s">
        <v>38</v>
      </c>
      <c r="C81" t="s">
        <v>41</v>
      </c>
      <c r="D81">
        <v>44496</v>
      </c>
      <c r="E81" t="s">
        <v>202</v>
      </c>
      <c r="F81" t="s">
        <v>203</v>
      </c>
      <c r="G81" t="s">
        <v>204</v>
      </c>
      <c r="H81">
        <v>1</v>
      </c>
      <c r="I81" s="18">
        <v>1094.0999999999999</v>
      </c>
      <c r="J81" s="18">
        <v>1094.0999999999999</v>
      </c>
      <c r="K81" t="s">
        <v>205</v>
      </c>
      <c r="L81" t="s">
        <v>206</v>
      </c>
      <c r="M81" t="s">
        <v>207</v>
      </c>
      <c r="P81" s="18">
        <v>0</v>
      </c>
      <c r="Q81" s="18">
        <v>0</v>
      </c>
      <c r="R81" s="18">
        <v>43.76</v>
      </c>
      <c r="S81" s="18">
        <v>0</v>
      </c>
      <c r="T81" s="18">
        <v>1094.0999999999999</v>
      </c>
    </row>
    <row r="82" spans="1:20" x14ac:dyDescent="0.25">
      <c r="A82" t="s">
        <v>42</v>
      </c>
      <c r="B82" t="s">
        <v>38</v>
      </c>
      <c r="C82" t="s">
        <v>41</v>
      </c>
      <c r="D82">
        <v>44496</v>
      </c>
      <c r="E82" t="s">
        <v>202</v>
      </c>
      <c r="F82" t="s">
        <v>203</v>
      </c>
      <c r="G82" t="s">
        <v>204</v>
      </c>
      <c r="H82">
        <v>1</v>
      </c>
      <c r="I82" s="18">
        <v>1094.0999999999999</v>
      </c>
      <c r="J82" s="18">
        <v>1094.0999999999999</v>
      </c>
      <c r="K82" t="s">
        <v>205</v>
      </c>
      <c r="L82" t="s">
        <v>206</v>
      </c>
      <c r="M82" t="s">
        <v>207</v>
      </c>
      <c r="P82" s="18">
        <v>0</v>
      </c>
      <c r="Q82" s="18">
        <v>0</v>
      </c>
      <c r="R82" s="18">
        <v>43.76</v>
      </c>
      <c r="S82" s="18">
        <v>0</v>
      </c>
      <c r="T82" s="18">
        <v>1094.0999999999999</v>
      </c>
    </row>
    <row r="83" spans="1:20" x14ac:dyDescent="0.25">
      <c r="A83" t="s">
        <v>42</v>
      </c>
      <c r="B83" t="s">
        <v>38</v>
      </c>
      <c r="C83" t="s">
        <v>41</v>
      </c>
      <c r="D83">
        <v>44497</v>
      </c>
      <c r="E83" t="s">
        <v>202</v>
      </c>
      <c r="F83" t="s">
        <v>203</v>
      </c>
      <c r="G83" t="s">
        <v>204</v>
      </c>
      <c r="H83">
        <v>1</v>
      </c>
      <c r="I83" s="18">
        <v>1094.0999999999999</v>
      </c>
      <c r="J83" s="18">
        <v>1094.0999999999999</v>
      </c>
      <c r="K83" t="s">
        <v>205</v>
      </c>
      <c r="L83" t="s">
        <v>206</v>
      </c>
      <c r="M83" t="s">
        <v>207</v>
      </c>
      <c r="P83" s="18">
        <v>0</v>
      </c>
      <c r="Q83" s="18">
        <v>0</v>
      </c>
      <c r="R83" s="18">
        <v>43.76</v>
      </c>
      <c r="S83" s="18">
        <v>0</v>
      </c>
      <c r="T83" s="18">
        <v>1094.0999999999999</v>
      </c>
    </row>
    <row r="84" spans="1:20" x14ac:dyDescent="0.25">
      <c r="A84" t="s">
        <v>42</v>
      </c>
      <c r="B84" t="s">
        <v>38</v>
      </c>
      <c r="C84" t="s">
        <v>41</v>
      </c>
      <c r="D84">
        <v>44497</v>
      </c>
      <c r="E84" t="s">
        <v>202</v>
      </c>
      <c r="F84" t="s">
        <v>203</v>
      </c>
      <c r="G84" t="s">
        <v>204</v>
      </c>
      <c r="H84">
        <v>1</v>
      </c>
      <c r="I84" s="18">
        <v>1094.0999999999999</v>
      </c>
      <c r="J84" s="18">
        <v>1094.0999999999999</v>
      </c>
      <c r="K84" t="s">
        <v>205</v>
      </c>
      <c r="L84" t="s">
        <v>206</v>
      </c>
      <c r="M84" t="s">
        <v>207</v>
      </c>
      <c r="P84" s="18">
        <v>0</v>
      </c>
      <c r="Q84" s="18">
        <v>0</v>
      </c>
      <c r="R84" s="18">
        <v>43.76</v>
      </c>
      <c r="S84" s="18">
        <v>0</v>
      </c>
      <c r="T84" s="18">
        <v>1094.0999999999999</v>
      </c>
    </row>
    <row r="85" spans="1:20" x14ac:dyDescent="0.25">
      <c r="A85" t="s">
        <v>42</v>
      </c>
      <c r="B85" t="s">
        <v>38</v>
      </c>
      <c r="C85" t="s">
        <v>41</v>
      </c>
      <c r="D85">
        <v>44497</v>
      </c>
      <c r="E85" t="s">
        <v>202</v>
      </c>
      <c r="F85" t="s">
        <v>203</v>
      </c>
      <c r="G85" t="s">
        <v>204</v>
      </c>
      <c r="H85">
        <v>1</v>
      </c>
      <c r="I85" s="18">
        <v>1094.0999999999999</v>
      </c>
      <c r="J85" s="18">
        <v>1094.0999999999999</v>
      </c>
      <c r="K85" t="s">
        <v>205</v>
      </c>
      <c r="L85" t="s">
        <v>206</v>
      </c>
      <c r="M85" t="s">
        <v>207</v>
      </c>
      <c r="P85" s="18">
        <v>0</v>
      </c>
      <c r="Q85" s="18">
        <v>0</v>
      </c>
      <c r="R85" s="18">
        <v>43.76</v>
      </c>
      <c r="S85" s="18">
        <v>0</v>
      </c>
      <c r="T85" s="18">
        <v>1094.0999999999999</v>
      </c>
    </row>
    <row r="86" spans="1:20" hidden="1" x14ac:dyDescent="0.25">
      <c r="A86" t="s">
        <v>42</v>
      </c>
      <c r="B86" t="s">
        <v>44</v>
      </c>
      <c r="C86" t="s">
        <v>41</v>
      </c>
      <c r="D86">
        <v>44497</v>
      </c>
      <c r="E86" t="s">
        <v>213</v>
      </c>
      <c r="F86" t="s">
        <v>208</v>
      </c>
      <c r="G86" t="s">
        <v>209</v>
      </c>
      <c r="H86">
        <v>1</v>
      </c>
      <c r="I86" s="18">
        <v>2342.08</v>
      </c>
      <c r="J86" s="18">
        <v>2342.08</v>
      </c>
      <c r="K86" t="s">
        <v>205</v>
      </c>
      <c r="L86" t="s">
        <v>210</v>
      </c>
      <c r="M86" t="s">
        <v>211</v>
      </c>
      <c r="P86" s="18">
        <v>0</v>
      </c>
      <c r="Q86" s="18">
        <v>514.12</v>
      </c>
      <c r="R86" s="18">
        <v>0</v>
      </c>
      <c r="S86" s="18">
        <v>0</v>
      </c>
      <c r="T86" s="18">
        <v>2342.08</v>
      </c>
    </row>
    <row r="87" spans="1:20" hidden="1" x14ac:dyDescent="0.25">
      <c r="A87" t="s">
        <v>42</v>
      </c>
      <c r="B87" t="s">
        <v>44</v>
      </c>
      <c r="C87" t="s">
        <v>41</v>
      </c>
      <c r="D87">
        <v>44497</v>
      </c>
      <c r="E87" t="s">
        <v>213</v>
      </c>
      <c r="F87" t="s">
        <v>208</v>
      </c>
      <c r="G87" t="s">
        <v>209</v>
      </c>
      <c r="H87">
        <v>1</v>
      </c>
      <c r="I87" s="18">
        <v>2337.5</v>
      </c>
      <c r="J87" s="18">
        <v>2337.5</v>
      </c>
      <c r="K87" t="s">
        <v>205</v>
      </c>
      <c r="L87" t="s">
        <v>210</v>
      </c>
      <c r="M87" t="s">
        <v>211</v>
      </c>
      <c r="P87" s="18">
        <v>0</v>
      </c>
      <c r="Q87" s="18">
        <v>513.11</v>
      </c>
      <c r="R87" s="18">
        <v>0</v>
      </c>
      <c r="S87" s="18">
        <v>0</v>
      </c>
      <c r="T87" s="18">
        <v>2337.5</v>
      </c>
    </row>
    <row r="88" spans="1:20" hidden="1" x14ac:dyDescent="0.25">
      <c r="A88" t="s">
        <v>42</v>
      </c>
      <c r="B88" t="s">
        <v>44</v>
      </c>
      <c r="C88" t="s">
        <v>41</v>
      </c>
      <c r="D88">
        <v>44497</v>
      </c>
      <c r="E88" t="s">
        <v>213</v>
      </c>
      <c r="F88" t="s">
        <v>208</v>
      </c>
      <c r="G88" t="s">
        <v>209</v>
      </c>
      <c r="H88">
        <v>1</v>
      </c>
      <c r="I88" s="18">
        <v>2374.17</v>
      </c>
      <c r="J88" s="18">
        <v>2374.17</v>
      </c>
      <c r="K88" t="s">
        <v>205</v>
      </c>
      <c r="L88" t="s">
        <v>210</v>
      </c>
      <c r="M88" t="s">
        <v>211</v>
      </c>
      <c r="P88" s="18">
        <v>0</v>
      </c>
      <c r="Q88" s="18">
        <v>521.16</v>
      </c>
      <c r="R88" s="18">
        <v>0</v>
      </c>
      <c r="S88" s="18">
        <v>0</v>
      </c>
      <c r="T88" s="18">
        <v>2374.17</v>
      </c>
    </row>
    <row r="89" spans="1:20" hidden="1" x14ac:dyDescent="0.25">
      <c r="A89" t="s">
        <v>42</v>
      </c>
      <c r="B89" t="s">
        <v>44</v>
      </c>
      <c r="C89" t="s">
        <v>41</v>
      </c>
      <c r="D89">
        <v>44497</v>
      </c>
      <c r="E89" t="s">
        <v>213</v>
      </c>
      <c r="F89" t="s">
        <v>208</v>
      </c>
      <c r="G89" t="s">
        <v>209</v>
      </c>
      <c r="H89">
        <v>1</v>
      </c>
      <c r="I89" s="18">
        <v>1034.9100000000001</v>
      </c>
      <c r="J89" s="18">
        <v>1034.9100000000001</v>
      </c>
      <c r="K89" t="s">
        <v>205</v>
      </c>
      <c r="L89" t="s">
        <v>210</v>
      </c>
      <c r="M89" t="s">
        <v>211</v>
      </c>
      <c r="P89" s="18">
        <v>0</v>
      </c>
      <c r="Q89" s="18">
        <v>227.18</v>
      </c>
      <c r="R89" s="18">
        <v>0</v>
      </c>
      <c r="S89" s="18">
        <v>0</v>
      </c>
      <c r="T89" s="18">
        <v>1034.9100000000001</v>
      </c>
    </row>
    <row r="90" spans="1:20" hidden="1" x14ac:dyDescent="0.25">
      <c r="A90" t="s">
        <v>42</v>
      </c>
      <c r="B90" t="s">
        <v>44</v>
      </c>
      <c r="C90" t="s">
        <v>41</v>
      </c>
      <c r="D90">
        <v>44497</v>
      </c>
      <c r="E90" t="s">
        <v>213</v>
      </c>
      <c r="F90" t="s">
        <v>208</v>
      </c>
      <c r="G90" t="s">
        <v>209</v>
      </c>
      <c r="H90">
        <v>1</v>
      </c>
      <c r="I90" s="18">
        <v>1200.83</v>
      </c>
      <c r="J90" s="18">
        <v>1200.83</v>
      </c>
      <c r="K90" t="s">
        <v>205</v>
      </c>
      <c r="L90" t="s">
        <v>210</v>
      </c>
      <c r="M90" t="s">
        <v>211</v>
      </c>
      <c r="P90" s="18">
        <v>0</v>
      </c>
      <c r="Q90" s="18">
        <v>263.60000000000002</v>
      </c>
      <c r="R90" s="18">
        <v>0</v>
      </c>
      <c r="S90" s="18">
        <v>0</v>
      </c>
      <c r="T90" s="18">
        <v>1200.83</v>
      </c>
    </row>
    <row r="91" spans="1:20" hidden="1" x14ac:dyDescent="0.25">
      <c r="A91" t="s">
        <v>42</v>
      </c>
      <c r="B91" t="s">
        <v>44</v>
      </c>
      <c r="C91" t="s">
        <v>41</v>
      </c>
      <c r="D91">
        <v>44497</v>
      </c>
      <c r="E91" t="s">
        <v>213</v>
      </c>
      <c r="F91" t="s">
        <v>208</v>
      </c>
      <c r="G91" t="s">
        <v>209</v>
      </c>
      <c r="H91">
        <v>1</v>
      </c>
      <c r="I91" s="18">
        <v>55</v>
      </c>
      <c r="J91" s="18">
        <v>55</v>
      </c>
      <c r="K91" t="s">
        <v>205</v>
      </c>
      <c r="L91" t="s">
        <v>210</v>
      </c>
      <c r="M91" t="s">
        <v>211</v>
      </c>
      <c r="P91" s="18">
        <v>0</v>
      </c>
      <c r="Q91" s="18">
        <v>12.07</v>
      </c>
      <c r="R91" s="18">
        <v>0</v>
      </c>
      <c r="S91" s="18">
        <v>0</v>
      </c>
      <c r="T91" s="18">
        <v>55</v>
      </c>
    </row>
    <row r="92" spans="1:20" hidden="1" x14ac:dyDescent="0.25">
      <c r="A92" t="s">
        <v>42</v>
      </c>
      <c r="B92" t="s">
        <v>44</v>
      </c>
      <c r="C92" t="s">
        <v>41</v>
      </c>
      <c r="D92">
        <v>44497</v>
      </c>
      <c r="E92" t="s">
        <v>213</v>
      </c>
      <c r="F92" t="s">
        <v>208</v>
      </c>
      <c r="G92" t="s">
        <v>209</v>
      </c>
      <c r="H92">
        <v>1</v>
      </c>
      <c r="I92" s="18">
        <v>55</v>
      </c>
      <c r="J92" s="18">
        <v>55</v>
      </c>
      <c r="K92" t="s">
        <v>205</v>
      </c>
      <c r="L92" t="s">
        <v>210</v>
      </c>
      <c r="M92" t="s">
        <v>211</v>
      </c>
      <c r="P92" s="18">
        <v>0</v>
      </c>
      <c r="Q92" s="18">
        <v>12.07</v>
      </c>
      <c r="R92" s="18">
        <v>0</v>
      </c>
      <c r="S92" s="18">
        <v>0</v>
      </c>
      <c r="T92" s="18">
        <v>55</v>
      </c>
    </row>
    <row r="93" spans="1:20" hidden="1" x14ac:dyDescent="0.25">
      <c r="A93" t="s">
        <v>42</v>
      </c>
      <c r="B93" t="s">
        <v>44</v>
      </c>
      <c r="C93" t="s">
        <v>41</v>
      </c>
      <c r="D93">
        <v>44497</v>
      </c>
      <c r="E93" t="s">
        <v>213</v>
      </c>
      <c r="F93" t="s">
        <v>208</v>
      </c>
      <c r="G93" t="s">
        <v>209</v>
      </c>
      <c r="H93">
        <v>1</v>
      </c>
      <c r="I93" s="18">
        <v>1485</v>
      </c>
      <c r="J93" s="18">
        <v>1485</v>
      </c>
      <c r="K93" t="s">
        <v>205</v>
      </c>
      <c r="L93" t="s">
        <v>210</v>
      </c>
      <c r="M93" t="s">
        <v>211</v>
      </c>
      <c r="P93" s="18">
        <v>0</v>
      </c>
      <c r="Q93" s="18">
        <v>325.98</v>
      </c>
      <c r="R93" s="18">
        <v>0</v>
      </c>
      <c r="S93" s="18">
        <v>0</v>
      </c>
      <c r="T93" s="18">
        <v>1485</v>
      </c>
    </row>
    <row r="94" spans="1:20" hidden="1" x14ac:dyDescent="0.25">
      <c r="A94" t="s">
        <v>42</v>
      </c>
      <c r="B94" t="s">
        <v>44</v>
      </c>
      <c r="C94" t="s">
        <v>41</v>
      </c>
      <c r="D94">
        <v>44499</v>
      </c>
      <c r="E94" t="s">
        <v>202</v>
      </c>
      <c r="F94" t="s">
        <v>208</v>
      </c>
      <c r="G94" t="s">
        <v>209</v>
      </c>
      <c r="H94">
        <v>1</v>
      </c>
      <c r="I94" s="18">
        <v>11.14</v>
      </c>
      <c r="J94" s="18">
        <v>11.14</v>
      </c>
      <c r="K94" t="s">
        <v>205</v>
      </c>
      <c r="L94" t="s">
        <v>210</v>
      </c>
      <c r="M94" t="s">
        <v>211</v>
      </c>
      <c r="P94" s="18">
        <v>0</v>
      </c>
      <c r="Q94" s="18">
        <v>2.4500000000000002</v>
      </c>
      <c r="R94" s="18">
        <v>0</v>
      </c>
      <c r="S94" s="18">
        <v>0</v>
      </c>
      <c r="T94" s="18">
        <v>11.14</v>
      </c>
    </row>
    <row r="95" spans="1:20" hidden="1" x14ac:dyDescent="0.25">
      <c r="A95" t="s">
        <v>42</v>
      </c>
      <c r="B95" t="s">
        <v>44</v>
      </c>
      <c r="C95" t="s">
        <v>41</v>
      </c>
      <c r="D95">
        <v>44499</v>
      </c>
      <c r="E95" t="s">
        <v>202</v>
      </c>
      <c r="F95" t="s">
        <v>208</v>
      </c>
      <c r="G95" t="s">
        <v>209</v>
      </c>
      <c r="H95">
        <v>1</v>
      </c>
      <c r="I95" s="18">
        <v>544.11</v>
      </c>
      <c r="J95" s="18">
        <v>544.11</v>
      </c>
      <c r="K95" t="s">
        <v>205</v>
      </c>
      <c r="L95" t="s">
        <v>210</v>
      </c>
      <c r="M95" t="s">
        <v>211</v>
      </c>
      <c r="P95" s="18">
        <v>0</v>
      </c>
      <c r="Q95" s="18">
        <v>119.44</v>
      </c>
      <c r="R95" s="18">
        <v>0</v>
      </c>
      <c r="S95" s="18">
        <v>0</v>
      </c>
      <c r="T95" s="18">
        <v>544.11</v>
      </c>
    </row>
    <row r="96" spans="1:20" hidden="1" x14ac:dyDescent="0.25">
      <c r="A96" t="s">
        <v>42</v>
      </c>
      <c r="B96" t="s">
        <v>44</v>
      </c>
      <c r="C96" t="s">
        <v>41</v>
      </c>
      <c r="D96">
        <v>44499</v>
      </c>
      <c r="E96" t="s">
        <v>202</v>
      </c>
      <c r="F96" t="s">
        <v>208</v>
      </c>
      <c r="G96" t="s">
        <v>209</v>
      </c>
      <c r="H96">
        <v>1</v>
      </c>
      <c r="I96" s="18">
        <v>0.62</v>
      </c>
      <c r="J96" s="18">
        <v>0.62</v>
      </c>
      <c r="K96" t="s">
        <v>205</v>
      </c>
      <c r="L96" t="s">
        <v>210</v>
      </c>
      <c r="M96" t="s">
        <v>211</v>
      </c>
      <c r="P96" s="18">
        <v>0</v>
      </c>
      <c r="Q96" s="18">
        <v>0.14000000000000001</v>
      </c>
      <c r="R96" s="18">
        <v>0</v>
      </c>
      <c r="S96" s="18">
        <v>0</v>
      </c>
      <c r="T96" s="18">
        <v>0.62</v>
      </c>
    </row>
    <row r="97" spans="1:32" hidden="1" x14ac:dyDescent="0.25">
      <c r="A97" t="s">
        <v>42</v>
      </c>
      <c r="B97" t="s">
        <v>44</v>
      </c>
      <c r="C97" t="s">
        <v>41</v>
      </c>
      <c r="D97">
        <v>44499</v>
      </c>
      <c r="E97" t="s">
        <v>202</v>
      </c>
      <c r="F97" t="s">
        <v>208</v>
      </c>
      <c r="G97" t="s">
        <v>209</v>
      </c>
      <c r="H97">
        <v>1</v>
      </c>
      <c r="I97" s="18">
        <v>4.93</v>
      </c>
      <c r="J97" s="18">
        <v>4.93</v>
      </c>
      <c r="K97" t="s">
        <v>205</v>
      </c>
      <c r="L97" t="s">
        <v>210</v>
      </c>
      <c r="M97" t="s">
        <v>211</v>
      </c>
      <c r="P97" s="18">
        <v>0</v>
      </c>
      <c r="Q97" s="18">
        <v>1.08</v>
      </c>
      <c r="R97" s="18">
        <v>0</v>
      </c>
      <c r="S97" s="18">
        <v>0</v>
      </c>
      <c r="T97" s="18">
        <v>4.93</v>
      </c>
    </row>
    <row r="98" spans="1:32" hidden="1" x14ac:dyDescent="0.25">
      <c r="A98" t="s">
        <v>42</v>
      </c>
      <c r="B98" t="s">
        <v>44</v>
      </c>
      <c r="C98" t="s">
        <v>41</v>
      </c>
      <c r="D98">
        <v>44499</v>
      </c>
      <c r="E98" t="s">
        <v>202</v>
      </c>
      <c r="F98" t="s">
        <v>208</v>
      </c>
      <c r="G98" t="s">
        <v>209</v>
      </c>
      <c r="H98">
        <v>1</v>
      </c>
      <c r="I98" s="18">
        <v>37.909999999999997</v>
      </c>
      <c r="J98" s="18">
        <v>37.909999999999997</v>
      </c>
      <c r="K98" t="s">
        <v>205</v>
      </c>
      <c r="L98" t="s">
        <v>210</v>
      </c>
      <c r="M98" t="s">
        <v>211</v>
      </c>
      <c r="P98" s="18">
        <v>0</v>
      </c>
      <c r="Q98" s="18">
        <v>8.32</v>
      </c>
      <c r="R98" s="18">
        <v>0</v>
      </c>
      <c r="S98" s="18">
        <v>0</v>
      </c>
      <c r="T98" s="18">
        <v>37.909999999999997</v>
      </c>
    </row>
    <row r="99" spans="1:32" hidden="1" x14ac:dyDescent="0.25">
      <c r="A99" t="s">
        <v>42</v>
      </c>
      <c r="B99" t="s">
        <v>44</v>
      </c>
      <c r="C99" t="s">
        <v>41</v>
      </c>
      <c r="D99">
        <v>44499</v>
      </c>
      <c r="E99" t="s">
        <v>202</v>
      </c>
      <c r="F99" t="s">
        <v>208</v>
      </c>
      <c r="G99" t="s">
        <v>209</v>
      </c>
      <c r="H99">
        <v>1</v>
      </c>
      <c r="I99" s="18">
        <v>313.25</v>
      </c>
      <c r="J99" s="18">
        <v>313.25</v>
      </c>
      <c r="K99" t="s">
        <v>205</v>
      </c>
      <c r="L99" t="s">
        <v>210</v>
      </c>
      <c r="M99" t="s">
        <v>211</v>
      </c>
      <c r="P99" s="18">
        <v>0</v>
      </c>
      <c r="Q99" s="18">
        <v>68.760000000000005</v>
      </c>
      <c r="R99" s="18">
        <v>0</v>
      </c>
      <c r="S99" s="18">
        <v>0</v>
      </c>
      <c r="T99" s="18">
        <v>313.25</v>
      </c>
    </row>
    <row r="100" spans="1:32" hidden="1" x14ac:dyDescent="0.25">
      <c r="A100" t="s">
        <v>42</v>
      </c>
      <c r="B100" t="s">
        <v>44</v>
      </c>
      <c r="C100" t="s">
        <v>41</v>
      </c>
      <c r="D100">
        <v>44499</v>
      </c>
      <c r="E100" t="s">
        <v>202</v>
      </c>
      <c r="F100" t="s">
        <v>208</v>
      </c>
      <c r="G100" t="s">
        <v>209</v>
      </c>
      <c r="H100">
        <v>1</v>
      </c>
      <c r="I100" s="18">
        <v>277.74</v>
      </c>
      <c r="J100" s="18">
        <v>277.74</v>
      </c>
      <c r="K100" t="s">
        <v>205</v>
      </c>
      <c r="L100" t="s">
        <v>210</v>
      </c>
      <c r="M100" t="s">
        <v>211</v>
      </c>
      <c r="P100" s="18">
        <v>0</v>
      </c>
      <c r="Q100" s="18">
        <v>60.97</v>
      </c>
      <c r="R100" s="18">
        <v>0</v>
      </c>
      <c r="S100" s="18">
        <v>0</v>
      </c>
      <c r="T100" s="18">
        <v>277.74</v>
      </c>
    </row>
    <row r="101" spans="1:32" hidden="1" x14ac:dyDescent="0.25">
      <c r="A101" t="s">
        <v>42</v>
      </c>
      <c r="B101" t="s">
        <v>44</v>
      </c>
      <c r="C101" t="s">
        <v>41</v>
      </c>
      <c r="D101">
        <v>44499</v>
      </c>
      <c r="E101" t="s">
        <v>202</v>
      </c>
      <c r="F101" t="s">
        <v>208</v>
      </c>
      <c r="G101" t="s">
        <v>209</v>
      </c>
      <c r="H101">
        <v>1</v>
      </c>
      <c r="I101" s="18">
        <v>9.2899999999999991</v>
      </c>
      <c r="J101" s="18">
        <v>9.2899999999999991</v>
      </c>
      <c r="K101" t="s">
        <v>205</v>
      </c>
      <c r="L101" t="s">
        <v>210</v>
      </c>
      <c r="M101" t="s">
        <v>211</v>
      </c>
      <c r="P101" s="18">
        <v>0</v>
      </c>
      <c r="Q101" s="18">
        <v>2.04</v>
      </c>
      <c r="R101" s="18">
        <v>0</v>
      </c>
      <c r="S101" s="18">
        <v>0</v>
      </c>
      <c r="T101" s="18">
        <v>9.2899999999999991</v>
      </c>
    </row>
    <row r="102" spans="1:32" hidden="1" x14ac:dyDescent="0.25">
      <c r="A102" t="s">
        <v>42</v>
      </c>
      <c r="B102" t="s">
        <v>44</v>
      </c>
      <c r="C102" t="s">
        <v>41</v>
      </c>
      <c r="D102">
        <v>44499</v>
      </c>
      <c r="E102" t="s">
        <v>202</v>
      </c>
      <c r="F102" t="s">
        <v>208</v>
      </c>
      <c r="G102" t="s">
        <v>209</v>
      </c>
      <c r="H102">
        <v>1</v>
      </c>
      <c r="I102" s="18">
        <v>15.01</v>
      </c>
      <c r="J102" s="18">
        <v>15.01</v>
      </c>
      <c r="K102" t="s">
        <v>205</v>
      </c>
      <c r="L102" t="s">
        <v>210</v>
      </c>
      <c r="M102" t="s">
        <v>211</v>
      </c>
      <c r="P102" s="18">
        <v>0</v>
      </c>
      <c r="Q102" s="18">
        <v>3.29</v>
      </c>
      <c r="R102" s="18">
        <v>0</v>
      </c>
      <c r="S102" s="18">
        <v>0</v>
      </c>
      <c r="T102" s="18">
        <v>15.01</v>
      </c>
    </row>
    <row r="103" spans="1:32" x14ac:dyDescent="0.25">
      <c r="A103" s="20" t="s">
        <v>184</v>
      </c>
      <c r="B103" s="20"/>
      <c r="C103" s="20"/>
      <c r="D103" s="20"/>
      <c r="E103" s="20"/>
      <c r="F103" s="20"/>
      <c r="G103" s="20"/>
      <c r="H103" s="20"/>
      <c r="I103" s="19">
        <f>SUBTOTAL(109,Tabela2[Valor Unitario])</f>
        <v>30187.899999999987</v>
      </c>
      <c r="J103" s="19">
        <f>SUBTOTAL(109,Tabela2[Valor Mercadoria])</f>
        <v>30187.899999999987</v>
      </c>
      <c r="K103" s="20"/>
      <c r="L103" s="20"/>
      <c r="M103" s="20"/>
      <c r="N103" s="20"/>
      <c r="O103" s="20"/>
      <c r="P103" s="19">
        <f>SUBTOTAL(109,Tabela2[Valor IPI])</f>
        <v>0</v>
      </c>
      <c r="Q103" s="19">
        <f>SUBTOTAL(109,Tabela2[Valor Icms])</f>
        <v>292.81</v>
      </c>
      <c r="R103" s="19">
        <f>SUBTOTAL(109,Tabela2[Valor Iss])</f>
        <v>1154.08</v>
      </c>
      <c r="S103" s="19">
        <f>SUBTOTAL(109,Tabela2[Desp.Acessorias])</f>
        <v>0</v>
      </c>
      <c r="T103" s="19">
        <f>SUBTOTAL(109,Tabela2[Total])</f>
        <v>30187.899999999987</v>
      </c>
    </row>
    <row r="106" spans="1:32" x14ac:dyDescent="0.25">
      <c r="A106" t="s">
        <v>220</v>
      </c>
      <c r="B106" t="s">
        <v>215</v>
      </c>
      <c r="C106" t="s">
        <v>214</v>
      </c>
      <c r="D106" t="s">
        <v>216</v>
      </c>
      <c r="E106" t="s">
        <v>217</v>
      </c>
      <c r="F106" t="s">
        <v>218</v>
      </c>
      <c r="G106" t="s">
        <v>219</v>
      </c>
      <c r="H106" t="s">
        <v>221</v>
      </c>
      <c r="I106" t="s">
        <v>222</v>
      </c>
      <c r="J106" t="s">
        <v>223</v>
      </c>
      <c r="K106" t="s">
        <v>224</v>
      </c>
      <c r="L106" t="s">
        <v>225</v>
      </c>
      <c r="M106" t="s">
        <v>226</v>
      </c>
      <c r="N106" t="s">
        <v>227</v>
      </c>
      <c r="O106" s="18" t="s">
        <v>228</v>
      </c>
      <c r="P106" s="18" t="s">
        <v>229</v>
      </c>
      <c r="Q106" s="18" t="s">
        <v>230</v>
      </c>
      <c r="R106" s="18" t="s">
        <v>231</v>
      </c>
      <c r="S106" s="18" t="s">
        <v>232</v>
      </c>
      <c r="T106" s="18" t="s">
        <v>233</v>
      </c>
      <c r="U106" s="18" t="s">
        <v>234</v>
      </c>
      <c r="V106" s="18" t="s">
        <v>235</v>
      </c>
      <c r="W106" s="18" t="s">
        <v>236</v>
      </c>
      <c r="X106" s="18" t="s">
        <v>237</v>
      </c>
      <c r="Y106" s="18" t="s">
        <v>238</v>
      </c>
      <c r="Z106" s="18" t="s">
        <v>239</v>
      </c>
      <c r="AA106" s="18"/>
      <c r="AB106" s="18"/>
      <c r="AC106" s="18"/>
      <c r="AD106" s="18"/>
      <c r="AF106" s="18"/>
    </row>
    <row r="107" spans="1:32" hidden="1" x14ac:dyDescent="0.25">
      <c r="A107" t="s">
        <v>241</v>
      </c>
      <c r="B107">
        <v>782</v>
      </c>
      <c r="C107">
        <v>2</v>
      </c>
      <c r="D107">
        <v>1</v>
      </c>
      <c r="E107">
        <v>20211002</v>
      </c>
      <c r="F107">
        <v>20211002</v>
      </c>
      <c r="G107" t="s">
        <v>202</v>
      </c>
      <c r="H107" s="18">
        <v>996</v>
      </c>
      <c r="I107" s="18">
        <v>39.840000000000003</v>
      </c>
      <c r="J107" s="23">
        <v>0</v>
      </c>
      <c r="K107" s="18">
        <v>0</v>
      </c>
      <c r="L107" s="18">
        <v>0</v>
      </c>
      <c r="M107" s="18">
        <v>996</v>
      </c>
      <c r="N107" s="18">
        <v>16.43</v>
      </c>
      <c r="O107" s="18">
        <v>75.7</v>
      </c>
      <c r="P107" s="18">
        <v>1</v>
      </c>
      <c r="Q107" s="18">
        <v>39.840000000000003</v>
      </c>
      <c r="R107" s="18">
        <v>0</v>
      </c>
      <c r="S107" s="18">
        <v>0</v>
      </c>
      <c r="T107" s="18">
        <v>0</v>
      </c>
      <c r="U107" s="18">
        <v>0</v>
      </c>
      <c r="V107" s="18">
        <v>0</v>
      </c>
      <c r="W107" s="18">
        <v>0</v>
      </c>
      <c r="X107" s="18">
        <v>1</v>
      </c>
      <c r="Y107" s="18">
        <v>996</v>
      </c>
      <c r="Z107" s="18">
        <v>0</v>
      </c>
      <c r="AA107" s="18"/>
      <c r="AB107" s="18"/>
      <c r="AC107" s="21"/>
      <c r="AD107" s="18"/>
      <c r="AF107" s="18"/>
    </row>
    <row r="108" spans="1:32" x14ac:dyDescent="0.25">
      <c r="A108" t="s">
        <v>242</v>
      </c>
      <c r="B108">
        <v>783</v>
      </c>
      <c r="C108">
        <v>2</v>
      </c>
      <c r="D108">
        <v>1</v>
      </c>
      <c r="E108">
        <v>20211002</v>
      </c>
      <c r="F108">
        <v>20211002</v>
      </c>
      <c r="G108" t="s">
        <v>202</v>
      </c>
      <c r="H108" s="18">
        <v>996</v>
      </c>
      <c r="I108" s="18">
        <v>39.840000000000003</v>
      </c>
      <c r="J108" s="23">
        <v>0</v>
      </c>
      <c r="K108" s="18">
        <v>0</v>
      </c>
      <c r="L108" s="18">
        <v>0</v>
      </c>
      <c r="M108" s="18">
        <v>996</v>
      </c>
      <c r="N108" s="18">
        <v>16.43</v>
      </c>
      <c r="O108" s="18">
        <v>75.7</v>
      </c>
      <c r="P108" s="18">
        <v>1</v>
      </c>
      <c r="Q108" s="18">
        <v>39.840000000000003</v>
      </c>
      <c r="R108" s="18">
        <v>0</v>
      </c>
      <c r="S108" s="18">
        <v>0</v>
      </c>
      <c r="T108" s="18">
        <v>0</v>
      </c>
      <c r="U108" s="18">
        <v>0</v>
      </c>
      <c r="V108" s="18">
        <v>0</v>
      </c>
      <c r="W108" s="18">
        <v>0</v>
      </c>
      <c r="X108" s="18">
        <v>1</v>
      </c>
      <c r="Y108" s="18">
        <v>996</v>
      </c>
      <c r="Z108" s="18">
        <v>0</v>
      </c>
      <c r="AA108" s="18"/>
      <c r="AB108" s="18"/>
      <c r="AC108" s="18"/>
      <c r="AD108" s="18"/>
      <c r="AF108" s="18"/>
    </row>
    <row r="109" spans="1:32" hidden="1" x14ac:dyDescent="0.25">
      <c r="A109" t="s">
        <v>241</v>
      </c>
      <c r="B109">
        <v>784</v>
      </c>
      <c r="C109">
        <v>2</v>
      </c>
      <c r="D109">
        <v>1</v>
      </c>
      <c r="E109">
        <v>20211002</v>
      </c>
      <c r="F109">
        <v>20211004</v>
      </c>
      <c r="G109" t="s">
        <v>202</v>
      </c>
      <c r="H109" s="18">
        <v>1094.0999999999999</v>
      </c>
      <c r="I109" s="18">
        <v>43.76</v>
      </c>
      <c r="J109" s="23">
        <v>0</v>
      </c>
      <c r="K109" s="18">
        <v>0</v>
      </c>
      <c r="L109" s="18">
        <v>0</v>
      </c>
      <c r="M109" s="18">
        <v>1094.0999999999999</v>
      </c>
      <c r="N109" s="18">
        <v>18.05</v>
      </c>
      <c r="O109" s="18">
        <v>83.15</v>
      </c>
      <c r="P109" s="18">
        <v>1</v>
      </c>
      <c r="Q109" s="18">
        <v>43.76</v>
      </c>
      <c r="R109" s="18">
        <v>0</v>
      </c>
      <c r="S109" s="18">
        <v>0</v>
      </c>
      <c r="T109" s="18">
        <v>0</v>
      </c>
      <c r="U109" s="18">
        <v>0</v>
      </c>
      <c r="V109" s="18">
        <v>0</v>
      </c>
      <c r="W109" s="18">
        <v>0</v>
      </c>
      <c r="X109" s="18">
        <v>1</v>
      </c>
      <c r="Y109" s="18">
        <v>1094.0999999999999</v>
      </c>
      <c r="Z109" s="18">
        <v>0</v>
      </c>
      <c r="AA109" s="18"/>
      <c r="AB109" s="18"/>
      <c r="AC109" s="18"/>
      <c r="AD109" s="18"/>
      <c r="AF109" s="18"/>
    </row>
    <row r="110" spans="1:32" hidden="1" x14ac:dyDescent="0.25">
      <c r="A110" t="s">
        <v>241</v>
      </c>
      <c r="B110">
        <v>785</v>
      </c>
      <c r="C110">
        <v>2</v>
      </c>
      <c r="D110">
        <v>1</v>
      </c>
      <c r="E110">
        <v>20211002</v>
      </c>
      <c r="F110">
        <v>20211004</v>
      </c>
      <c r="G110" t="s">
        <v>202</v>
      </c>
      <c r="H110" s="18">
        <v>1094.0999999999999</v>
      </c>
      <c r="I110" s="18">
        <v>43.76</v>
      </c>
      <c r="J110" s="23">
        <v>0</v>
      </c>
      <c r="K110" s="18">
        <v>0</v>
      </c>
      <c r="L110" s="18">
        <v>0</v>
      </c>
      <c r="M110" s="18">
        <v>1094.0999999999999</v>
      </c>
      <c r="N110" s="18">
        <v>18.05</v>
      </c>
      <c r="O110" s="18">
        <v>83.15</v>
      </c>
      <c r="P110" s="18">
        <v>1</v>
      </c>
      <c r="Q110" s="18">
        <v>43.76</v>
      </c>
      <c r="R110" s="18">
        <v>0</v>
      </c>
      <c r="S110" s="18">
        <v>0</v>
      </c>
      <c r="T110" s="18">
        <v>0</v>
      </c>
      <c r="U110" s="18">
        <v>0</v>
      </c>
      <c r="V110" s="18">
        <v>0</v>
      </c>
      <c r="W110" s="18">
        <v>0</v>
      </c>
      <c r="X110" s="18">
        <v>1</v>
      </c>
      <c r="Y110" s="18">
        <v>1094.0999999999999</v>
      </c>
      <c r="Z110" s="18">
        <v>0</v>
      </c>
      <c r="AA110" s="18"/>
      <c r="AB110" s="18"/>
      <c r="AC110" s="18"/>
      <c r="AD110" s="18"/>
      <c r="AF110" s="18"/>
    </row>
    <row r="111" spans="1:32" hidden="1" x14ac:dyDescent="0.25">
      <c r="A111" t="s">
        <v>241</v>
      </c>
      <c r="B111">
        <v>786</v>
      </c>
      <c r="C111">
        <v>2</v>
      </c>
      <c r="D111">
        <v>1</v>
      </c>
      <c r="E111">
        <v>20211002</v>
      </c>
      <c r="F111">
        <v>20211004</v>
      </c>
      <c r="G111" t="s">
        <v>202</v>
      </c>
      <c r="H111" s="18">
        <v>1094.0999999999999</v>
      </c>
      <c r="I111" s="18">
        <v>43.76</v>
      </c>
      <c r="J111" s="23">
        <v>0</v>
      </c>
      <c r="K111" s="18">
        <v>0</v>
      </c>
      <c r="L111" s="18">
        <v>0</v>
      </c>
      <c r="M111" s="18">
        <v>1094.0999999999999</v>
      </c>
      <c r="N111" s="18">
        <v>18.05</v>
      </c>
      <c r="O111" s="18">
        <v>83.15</v>
      </c>
      <c r="P111" s="18">
        <v>1</v>
      </c>
      <c r="Q111" s="18">
        <v>43.76</v>
      </c>
      <c r="R111" s="18">
        <v>0</v>
      </c>
      <c r="S111" s="18">
        <v>0</v>
      </c>
      <c r="T111" s="18">
        <v>0</v>
      </c>
      <c r="U111" s="18">
        <v>0</v>
      </c>
      <c r="V111" s="18">
        <v>0</v>
      </c>
      <c r="W111" s="18">
        <v>0</v>
      </c>
      <c r="X111" s="18">
        <v>1</v>
      </c>
      <c r="Y111" s="18">
        <v>1094.0999999999999</v>
      </c>
      <c r="Z111" s="18">
        <v>0</v>
      </c>
      <c r="AA111" s="18"/>
      <c r="AB111" s="18"/>
      <c r="AC111" s="18"/>
      <c r="AD111" s="18"/>
      <c r="AF111" s="18"/>
    </row>
    <row r="112" spans="1:32" hidden="1" x14ac:dyDescent="0.25">
      <c r="A112" t="s">
        <v>241</v>
      </c>
      <c r="B112">
        <v>49245</v>
      </c>
      <c r="C112">
        <v>1</v>
      </c>
      <c r="D112">
        <v>1</v>
      </c>
      <c r="E112">
        <v>20211004</v>
      </c>
      <c r="F112" t="s">
        <v>240</v>
      </c>
      <c r="G112" t="s">
        <v>202</v>
      </c>
      <c r="H112" s="18">
        <v>1480.49</v>
      </c>
      <c r="I112" s="18">
        <v>266.49</v>
      </c>
      <c r="J112" s="23">
        <v>0</v>
      </c>
      <c r="K112" s="18">
        <v>0</v>
      </c>
      <c r="L112" s="18">
        <v>0</v>
      </c>
      <c r="M112" s="18">
        <v>1214</v>
      </c>
      <c r="N112" s="18">
        <v>24.43</v>
      </c>
      <c r="O112" s="18">
        <v>112.52</v>
      </c>
      <c r="P112" s="18">
        <v>1</v>
      </c>
      <c r="Q112" s="18">
        <v>0</v>
      </c>
      <c r="R112" s="18">
        <v>0</v>
      </c>
      <c r="S112" s="18">
        <v>0</v>
      </c>
      <c r="T112" s="18">
        <v>0</v>
      </c>
      <c r="U112" s="18">
        <v>0</v>
      </c>
      <c r="V112" s="18">
        <v>0</v>
      </c>
      <c r="W112" s="18">
        <v>0</v>
      </c>
      <c r="X112" s="18">
        <v>1</v>
      </c>
      <c r="Y112" s="18">
        <v>1214</v>
      </c>
      <c r="Z112" s="18">
        <v>0</v>
      </c>
      <c r="AA112" s="18"/>
      <c r="AB112" s="18"/>
      <c r="AC112" s="18"/>
      <c r="AD112" s="18"/>
      <c r="AF112" s="18"/>
    </row>
    <row r="113" spans="1:32" hidden="1" x14ac:dyDescent="0.25">
      <c r="A113" t="s">
        <v>241</v>
      </c>
      <c r="B113">
        <v>49246</v>
      </c>
      <c r="C113">
        <v>1</v>
      </c>
      <c r="D113">
        <v>1</v>
      </c>
      <c r="E113">
        <v>20211004</v>
      </c>
      <c r="F113" t="s">
        <v>240</v>
      </c>
      <c r="G113" t="s">
        <v>202</v>
      </c>
      <c r="H113" s="18">
        <v>1480.49</v>
      </c>
      <c r="I113" s="18">
        <v>266.49</v>
      </c>
      <c r="J113" s="23">
        <v>0</v>
      </c>
      <c r="K113" s="18">
        <v>0</v>
      </c>
      <c r="L113" s="18">
        <v>0</v>
      </c>
      <c r="M113" s="18">
        <v>1214</v>
      </c>
      <c r="N113" s="18">
        <v>24.43</v>
      </c>
      <c r="O113" s="18">
        <v>112.52</v>
      </c>
      <c r="P113" s="18">
        <v>1</v>
      </c>
      <c r="Q113" s="18">
        <v>0</v>
      </c>
      <c r="R113" s="18">
        <v>0</v>
      </c>
      <c r="S113" s="18">
        <v>0</v>
      </c>
      <c r="T113" s="18">
        <v>0</v>
      </c>
      <c r="U113" s="18">
        <v>0</v>
      </c>
      <c r="V113" s="18">
        <v>0</v>
      </c>
      <c r="W113" s="18">
        <v>0</v>
      </c>
      <c r="X113" s="18">
        <v>1</v>
      </c>
      <c r="Y113" s="18">
        <v>1214</v>
      </c>
      <c r="Z113" s="18">
        <v>0</v>
      </c>
      <c r="AA113" s="18"/>
      <c r="AB113" s="18"/>
      <c r="AC113" s="18"/>
      <c r="AD113" s="18"/>
      <c r="AF113" s="18"/>
    </row>
    <row r="114" spans="1:32" hidden="1" x14ac:dyDescent="0.25">
      <c r="A114" t="s">
        <v>241</v>
      </c>
      <c r="B114">
        <v>49249</v>
      </c>
      <c r="C114">
        <v>1</v>
      </c>
      <c r="D114">
        <v>1</v>
      </c>
      <c r="E114">
        <v>20211004</v>
      </c>
      <c r="F114" t="s">
        <v>240</v>
      </c>
      <c r="G114" t="s">
        <v>202</v>
      </c>
      <c r="H114" s="18">
        <v>1480.49</v>
      </c>
      <c r="I114" s="18">
        <v>266.49</v>
      </c>
      <c r="J114" s="23">
        <v>0</v>
      </c>
      <c r="K114" s="18">
        <v>0</v>
      </c>
      <c r="L114" s="18">
        <v>0</v>
      </c>
      <c r="M114" s="18">
        <v>1214</v>
      </c>
      <c r="N114" s="18">
        <v>24.43</v>
      </c>
      <c r="O114" s="18">
        <v>112.52</v>
      </c>
      <c r="P114" s="18">
        <v>1</v>
      </c>
      <c r="Q114" s="18">
        <v>0</v>
      </c>
      <c r="R114" s="18">
        <v>0</v>
      </c>
      <c r="S114" s="18">
        <v>0</v>
      </c>
      <c r="T114" s="18">
        <v>0</v>
      </c>
      <c r="U114" s="18">
        <v>0</v>
      </c>
      <c r="V114" s="18">
        <v>0</v>
      </c>
      <c r="W114" s="18">
        <v>0</v>
      </c>
      <c r="X114" s="18">
        <v>1</v>
      </c>
      <c r="Y114" s="18">
        <v>1214</v>
      </c>
      <c r="Z114" s="18">
        <v>0</v>
      </c>
      <c r="AA114" s="18"/>
      <c r="AB114" s="18"/>
      <c r="AC114" s="21"/>
      <c r="AD114" s="18"/>
      <c r="AF114" s="18"/>
    </row>
    <row r="115" spans="1:32" x14ac:dyDescent="0.25">
      <c r="A115" t="s">
        <v>242</v>
      </c>
      <c r="B115">
        <v>787</v>
      </c>
      <c r="C115">
        <v>2</v>
      </c>
      <c r="D115">
        <v>1</v>
      </c>
      <c r="E115">
        <v>20211004</v>
      </c>
      <c r="F115">
        <v>20211005</v>
      </c>
      <c r="G115" t="s">
        <v>202</v>
      </c>
      <c r="H115" s="18">
        <v>996</v>
      </c>
      <c r="I115" s="18">
        <v>39.840000000000003</v>
      </c>
      <c r="J115" s="23">
        <v>0</v>
      </c>
      <c r="K115" s="18">
        <v>0</v>
      </c>
      <c r="L115" s="18">
        <v>0</v>
      </c>
      <c r="M115" s="18">
        <v>996</v>
      </c>
      <c r="N115" s="18">
        <v>16.43</v>
      </c>
      <c r="O115" s="18">
        <v>75.7</v>
      </c>
      <c r="P115" s="18">
        <v>1</v>
      </c>
      <c r="Q115" s="18">
        <v>39.840000000000003</v>
      </c>
      <c r="R115" s="18">
        <v>0</v>
      </c>
      <c r="S115" s="18">
        <v>0</v>
      </c>
      <c r="T115" s="18">
        <v>0</v>
      </c>
      <c r="U115" s="18">
        <v>0</v>
      </c>
      <c r="V115" s="18">
        <v>0</v>
      </c>
      <c r="W115" s="18">
        <v>0</v>
      </c>
      <c r="X115" s="18">
        <v>1</v>
      </c>
      <c r="Y115" s="18">
        <v>996</v>
      </c>
      <c r="Z115" s="18">
        <v>0</v>
      </c>
      <c r="AA115" s="18"/>
      <c r="AB115" s="18"/>
      <c r="AC115" s="21"/>
      <c r="AD115" s="18"/>
      <c r="AF115" s="18"/>
    </row>
    <row r="116" spans="1:32" x14ac:dyDescent="0.25">
      <c r="A116" t="s">
        <v>242</v>
      </c>
      <c r="B116">
        <v>788</v>
      </c>
      <c r="C116">
        <v>2</v>
      </c>
      <c r="D116">
        <v>1</v>
      </c>
      <c r="E116">
        <v>20211004</v>
      </c>
      <c r="F116">
        <v>20211004</v>
      </c>
      <c r="G116" t="s">
        <v>202</v>
      </c>
      <c r="H116" s="18">
        <v>1094.0999999999999</v>
      </c>
      <c r="I116" s="18">
        <v>43.76</v>
      </c>
      <c r="J116" s="23">
        <v>0</v>
      </c>
      <c r="K116" s="18">
        <v>0</v>
      </c>
      <c r="L116" s="18">
        <v>0</v>
      </c>
      <c r="M116" s="18">
        <v>1094.0999999999999</v>
      </c>
      <c r="N116" s="18">
        <v>18.05</v>
      </c>
      <c r="O116" s="18">
        <v>83.15</v>
      </c>
      <c r="P116" s="18">
        <v>1</v>
      </c>
      <c r="Q116" s="18">
        <v>43.76</v>
      </c>
      <c r="R116" s="18">
        <v>0</v>
      </c>
      <c r="S116" s="18">
        <v>0</v>
      </c>
      <c r="T116" s="18">
        <v>0</v>
      </c>
      <c r="U116" s="18">
        <v>0</v>
      </c>
      <c r="V116" s="18">
        <v>0</v>
      </c>
      <c r="W116" s="18">
        <v>0</v>
      </c>
      <c r="X116" s="18">
        <v>1</v>
      </c>
      <c r="Y116" s="18">
        <v>1094.0999999999999</v>
      </c>
      <c r="Z116" s="18">
        <v>0</v>
      </c>
      <c r="AA116" s="18"/>
      <c r="AB116" s="18"/>
      <c r="AC116" s="21"/>
      <c r="AD116" s="18"/>
      <c r="AF116" s="18"/>
    </row>
    <row r="117" spans="1:32" x14ac:dyDescent="0.25">
      <c r="A117" t="s">
        <v>242</v>
      </c>
      <c r="B117">
        <v>49260</v>
      </c>
      <c r="C117">
        <v>1</v>
      </c>
      <c r="D117">
        <v>1</v>
      </c>
      <c r="E117">
        <v>20211005</v>
      </c>
      <c r="F117" t="s">
        <v>240</v>
      </c>
      <c r="G117" t="s">
        <v>202</v>
      </c>
      <c r="H117" s="18">
        <v>1626.71</v>
      </c>
      <c r="I117" s="18">
        <v>292.81</v>
      </c>
      <c r="J117" s="23">
        <v>0</v>
      </c>
      <c r="K117" s="18">
        <v>0</v>
      </c>
      <c r="L117" s="18">
        <v>0</v>
      </c>
      <c r="M117" s="18">
        <v>1333.9</v>
      </c>
      <c r="N117" s="18">
        <v>26.84</v>
      </c>
      <c r="O117" s="18">
        <v>123.63</v>
      </c>
      <c r="P117" s="18">
        <v>1</v>
      </c>
      <c r="Q117" s="18">
        <v>0</v>
      </c>
      <c r="R117" s="18">
        <v>0</v>
      </c>
      <c r="S117" s="18">
        <v>0</v>
      </c>
      <c r="T117" s="18">
        <v>0</v>
      </c>
      <c r="U117" s="18">
        <v>0</v>
      </c>
      <c r="V117" s="18">
        <v>0</v>
      </c>
      <c r="W117" s="18">
        <v>0</v>
      </c>
      <c r="X117" s="18">
        <v>1</v>
      </c>
      <c r="Y117" s="18">
        <v>1333.9</v>
      </c>
      <c r="Z117" s="18">
        <v>0</v>
      </c>
      <c r="AA117" s="18"/>
      <c r="AB117" s="18"/>
      <c r="AC117" s="18"/>
      <c r="AD117" s="18"/>
      <c r="AF117" s="18"/>
    </row>
    <row r="118" spans="1:32" hidden="1" x14ac:dyDescent="0.25">
      <c r="A118" t="s">
        <v>241</v>
      </c>
      <c r="B118">
        <v>49261</v>
      </c>
      <c r="C118">
        <v>1</v>
      </c>
      <c r="D118">
        <v>1</v>
      </c>
      <c r="E118">
        <v>20211005</v>
      </c>
      <c r="F118" t="s">
        <v>240</v>
      </c>
      <c r="G118" t="s">
        <v>202</v>
      </c>
      <c r="H118" s="18">
        <v>1273.95</v>
      </c>
      <c r="I118" s="18">
        <v>0</v>
      </c>
      <c r="J118" s="23">
        <v>0</v>
      </c>
      <c r="K118" s="18">
        <v>0</v>
      </c>
      <c r="L118" s="18">
        <v>0</v>
      </c>
      <c r="M118" s="18">
        <v>1273.95</v>
      </c>
      <c r="N118" s="18">
        <v>0</v>
      </c>
      <c r="O118" s="18">
        <v>0</v>
      </c>
      <c r="P118" s="18">
        <v>1</v>
      </c>
      <c r="Q118" s="18">
        <v>0</v>
      </c>
      <c r="R118" s="18">
        <v>0</v>
      </c>
      <c r="S118" s="18">
        <v>0</v>
      </c>
      <c r="T118" s="18">
        <v>0</v>
      </c>
      <c r="U118" s="18">
        <v>0</v>
      </c>
      <c r="V118" s="18">
        <v>0</v>
      </c>
      <c r="W118" s="18">
        <v>0</v>
      </c>
      <c r="X118" s="18">
        <v>1</v>
      </c>
      <c r="Y118" s="18">
        <v>1273.95</v>
      </c>
      <c r="Z118" s="18">
        <v>0</v>
      </c>
      <c r="AA118" s="18"/>
      <c r="AB118" s="18"/>
      <c r="AC118" s="18"/>
      <c r="AD118" s="18"/>
      <c r="AF118" s="18"/>
    </row>
    <row r="119" spans="1:32" hidden="1" x14ac:dyDescent="0.25">
      <c r="A119" t="s">
        <v>241</v>
      </c>
      <c r="B119">
        <v>49264</v>
      </c>
      <c r="C119">
        <v>1</v>
      </c>
      <c r="D119">
        <v>1</v>
      </c>
      <c r="E119">
        <v>20211005</v>
      </c>
      <c r="F119" t="s">
        <v>240</v>
      </c>
      <c r="G119" t="s">
        <v>202</v>
      </c>
      <c r="H119" s="18">
        <v>1273.95</v>
      </c>
      <c r="I119" s="18">
        <v>0</v>
      </c>
      <c r="J119" s="23">
        <v>0</v>
      </c>
      <c r="K119" s="18">
        <v>0</v>
      </c>
      <c r="L119" s="18">
        <v>0</v>
      </c>
      <c r="M119" s="18">
        <v>1273.95</v>
      </c>
      <c r="N119" s="18">
        <v>0</v>
      </c>
      <c r="O119" s="18">
        <v>0</v>
      </c>
      <c r="P119" s="18">
        <v>1</v>
      </c>
      <c r="Q119" s="18">
        <v>0</v>
      </c>
      <c r="R119" s="18">
        <v>0</v>
      </c>
      <c r="S119" s="18">
        <v>0</v>
      </c>
      <c r="T119" s="18">
        <v>0</v>
      </c>
      <c r="U119" s="18">
        <v>0</v>
      </c>
      <c r="V119" s="18">
        <v>0</v>
      </c>
      <c r="W119" s="18">
        <v>0</v>
      </c>
      <c r="X119" s="18">
        <v>1</v>
      </c>
      <c r="Y119" s="18">
        <v>1273.95</v>
      </c>
      <c r="Z119" s="18">
        <v>0</v>
      </c>
      <c r="AA119" s="18"/>
      <c r="AB119" s="18"/>
      <c r="AC119" s="18"/>
      <c r="AD119" s="18"/>
      <c r="AF119" s="18"/>
    </row>
    <row r="120" spans="1:32" hidden="1" x14ac:dyDescent="0.25">
      <c r="A120" t="s">
        <v>241</v>
      </c>
      <c r="B120">
        <v>49265</v>
      </c>
      <c r="C120">
        <v>1</v>
      </c>
      <c r="D120">
        <v>1</v>
      </c>
      <c r="E120">
        <v>20211005</v>
      </c>
      <c r="F120" t="s">
        <v>240</v>
      </c>
      <c r="G120" t="s">
        <v>202</v>
      </c>
      <c r="H120" s="18">
        <v>1273.95</v>
      </c>
      <c r="I120" s="18">
        <v>0</v>
      </c>
      <c r="J120" s="23">
        <v>0</v>
      </c>
      <c r="K120" s="18">
        <v>0</v>
      </c>
      <c r="L120" s="18">
        <v>0</v>
      </c>
      <c r="M120" s="18">
        <v>1273.95</v>
      </c>
      <c r="N120" s="18">
        <v>0</v>
      </c>
      <c r="O120" s="18">
        <v>0</v>
      </c>
      <c r="P120" s="18">
        <v>1</v>
      </c>
      <c r="Q120" s="18">
        <v>0</v>
      </c>
      <c r="R120" s="18">
        <v>0</v>
      </c>
      <c r="S120" s="18">
        <v>0</v>
      </c>
      <c r="T120" s="18">
        <v>0</v>
      </c>
      <c r="U120" s="18">
        <v>0</v>
      </c>
      <c r="V120" s="18">
        <v>0</v>
      </c>
      <c r="W120" s="18">
        <v>0</v>
      </c>
      <c r="X120" s="18">
        <v>1</v>
      </c>
      <c r="Y120" s="18">
        <v>1273.95</v>
      </c>
      <c r="Z120" s="18">
        <v>0</v>
      </c>
      <c r="AA120" s="18"/>
      <c r="AB120" s="18"/>
      <c r="AC120" s="21"/>
      <c r="AD120" s="18"/>
      <c r="AF120" s="18"/>
    </row>
    <row r="121" spans="1:32" x14ac:dyDescent="0.25">
      <c r="A121" t="s">
        <v>242</v>
      </c>
      <c r="B121">
        <v>789</v>
      </c>
      <c r="C121">
        <v>2</v>
      </c>
      <c r="D121">
        <v>1</v>
      </c>
      <c r="E121">
        <v>20211005</v>
      </c>
      <c r="F121">
        <v>20211006</v>
      </c>
      <c r="G121" t="s">
        <v>202</v>
      </c>
      <c r="H121" s="18">
        <v>996</v>
      </c>
      <c r="I121" s="18">
        <v>39.840000000000003</v>
      </c>
      <c r="J121" s="23">
        <v>0</v>
      </c>
      <c r="K121" s="18">
        <v>0</v>
      </c>
      <c r="L121" s="18">
        <v>0</v>
      </c>
      <c r="M121" s="18">
        <v>996</v>
      </c>
      <c r="N121" s="18">
        <v>16.43</v>
      </c>
      <c r="O121" s="18">
        <v>75.7</v>
      </c>
      <c r="P121" s="18">
        <v>1</v>
      </c>
      <c r="Q121" s="18">
        <v>39.840000000000003</v>
      </c>
      <c r="R121" s="18">
        <v>0</v>
      </c>
      <c r="S121" s="18">
        <v>0</v>
      </c>
      <c r="T121" s="18">
        <v>0</v>
      </c>
      <c r="U121" s="18">
        <v>0</v>
      </c>
      <c r="V121" s="18">
        <v>0</v>
      </c>
      <c r="W121" s="18">
        <v>0</v>
      </c>
      <c r="X121" s="18">
        <v>1</v>
      </c>
      <c r="Y121" s="18">
        <v>996</v>
      </c>
      <c r="Z121" s="18">
        <v>0</v>
      </c>
      <c r="AA121" s="18"/>
      <c r="AB121" s="18"/>
      <c r="AC121" s="21"/>
      <c r="AD121" s="18"/>
      <c r="AF121" s="18"/>
    </row>
    <row r="122" spans="1:32" x14ac:dyDescent="0.25">
      <c r="A122" t="s">
        <v>242</v>
      </c>
      <c r="B122">
        <v>790</v>
      </c>
      <c r="C122">
        <v>2</v>
      </c>
      <c r="D122">
        <v>1</v>
      </c>
      <c r="E122">
        <v>20211005</v>
      </c>
      <c r="F122">
        <v>20211006</v>
      </c>
      <c r="G122" t="s">
        <v>202</v>
      </c>
      <c r="H122" s="18">
        <v>996</v>
      </c>
      <c r="I122" s="18">
        <v>39.840000000000003</v>
      </c>
      <c r="J122" s="23">
        <v>0</v>
      </c>
      <c r="K122" s="18">
        <v>0</v>
      </c>
      <c r="L122" s="18">
        <v>0</v>
      </c>
      <c r="M122" s="18">
        <v>996</v>
      </c>
      <c r="N122" s="18">
        <v>16.43</v>
      </c>
      <c r="O122" s="18">
        <v>75.7</v>
      </c>
      <c r="P122" s="18">
        <v>1</v>
      </c>
      <c r="Q122" s="18">
        <v>39.840000000000003</v>
      </c>
      <c r="R122" s="18">
        <v>0</v>
      </c>
      <c r="S122" s="18">
        <v>0</v>
      </c>
      <c r="T122" s="18">
        <v>0</v>
      </c>
      <c r="U122" s="18">
        <v>0</v>
      </c>
      <c r="V122" s="18">
        <v>0</v>
      </c>
      <c r="W122" s="18">
        <v>0</v>
      </c>
      <c r="X122" s="18">
        <v>1</v>
      </c>
      <c r="Y122" s="18">
        <v>996</v>
      </c>
      <c r="Z122" s="18">
        <v>0</v>
      </c>
      <c r="AA122" s="18"/>
      <c r="AB122" s="18"/>
      <c r="AC122" s="21"/>
      <c r="AD122" s="18"/>
      <c r="AF122" s="18"/>
    </row>
    <row r="123" spans="1:32" x14ac:dyDescent="0.25">
      <c r="A123" t="s">
        <v>242</v>
      </c>
      <c r="B123">
        <v>791</v>
      </c>
      <c r="C123">
        <v>2</v>
      </c>
      <c r="D123">
        <v>1</v>
      </c>
      <c r="E123">
        <v>20211005</v>
      </c>
      <c r="F123">
        <v>20211006</v>
      </c>
      <c r="G123" t="s">
        <v>202</v>
      </c>
      <c r="H123" s="18">
        <v>996</v>
      </c>
      <c r="I123" s="18">
        <v>39.840000000000003</v>
      </c>
      <c r="J123" s="23">
        <v>0</v>
      </c>
      <c r="K123" s="18">
        <v>0</v>
      </c>
      <c r="L123" s="18">
        <v>0</v>
      </c>
      <c r="M123" s="18">
        <v>996</v>
      </c>
      <c r="N123" s="18">
        <v>16.43</v>
      </c>
      <c r="O123" s="18">
        <v>75.7</v>
      </c>
      <c r="P123" s="18">
        <v>1</v>
      </c>
      <c r="Q123" s="18">
        <v>39.840000000000003</v>
      </c>
      <c r="R123" s="18">
        <v>0</v>
      </c>
      <c r="S123" s="18">
        <v>0</v>
      </c>
      <c r="T123" s="18">
        <v>0</v>
      </c>
      <c r="U123" s="18">
        <v>0</v>
      </c>
      <c r="V123" s="18">
        <v>0</v>
      </c>
      <c r="W123" s="18">
        <v>0</v>
      </c>
      <c r="X123" s="18">
        <v>1</v>
      </c>
      <c r="Y123" s="18">
        <v>996</v>
      </c>
      <c r="Z123" s="18">
        <v>0</v>
      </c>
      <c r="AA123" s="18"/>
      <c r="AB123" s="18"/>
      <c r="AC123" s="18"/>
      <c r="AD123" s="18"/>
      <c r="AF123" s="18"/>
    </row>
    <row r="124" spans="1:32" hidden="1" x14ac:dyDescent="0.25">
      <c r="A124" t="s">
        <v>241</v>
      </c>
      <c r="B124">
        <v>49285</v>
      </c>
      <c r="C124">
        <v>1</v>
      </c>
      <c r="D124">
        <v>1</v>
      </c>
      <c r="E124">
        <v>20211006</v>
      </c>
      <c r="F124" t="s">
        <v>240</v>
      </c>
      <c r="G124" t="s">
        <v>202</v>
      </c>
      <c r="H124" s="18">
        <v>1274.3900000000001</v>
      </c>
      <c r="I124" s="18">
        <v>229.39</v>
      </c>
      <c r="J124" s="23">
        <v>0</v>
      </c>
      <c r="K124" s="18">
        <v>0</v>
      </c>
      <c r="L124" s="18">
        <v>0</v>
      </c>
      <c r="M124" s="18">
        <v>1045</v>
      </c>
      <c r="N124" s="18">
        <v>21.03</v>
      </c>
      <c r="O124" s="18">
        <v>96.85</v>
      </c>
      <c r="P124" s="18">
        <v>1</v>
      </c>
      <c r="Q124" s="18">
        <v>0</v>
      </c>
      <c r="R124" s="18">
        <v>0</v>
      </c>
      <c r="S124" s="18">
        <v>0</v>
      </c>
      <c r="T124" s="18">
        <v>0</v>
      </c>
      <c r="U124" s="18">
        <v>0</v>
      </c>
      <c r="V124" s="18">
        <v>0</v>
      </c>
      <c r="W124" s="18">
        <v>0</v>
      </c>
      <c r="X124" s="18">
        <v>1</v>
      </c>
      <c r="Y124" s="18">
        <v>1045</v>
      </c>
      <c r="Z124" s="18">
        <v>0</v>
      </c>
      <c r="AA124" s="18"/>
      <c r="AB124" s="18"/>
      <c r="AC124" s="18"/>
      <c r="AD124" s="18"/>
      <c r="AF124" s="18"/>
    </row>
    <row r="125" spans="1:32" hidden="1" x14ac:dyDescent="0.25">
      <c r="A125" t="s">
        <v>241</v>
      </c>
      <c r="B125">
        <v>49286</v>
      </c>
      <c r="C125">
        <v>1</v>
      </c>
      <c r="D125">
        <v>1</v>
      </c>
      <c r="E125">
        <v>20211006</v>
      </c>
      <c r="F125" t="s">
        <v>240</v>
      </c>
      <c r="G125" t="s">
        <v>202</v>
      </c>
      <c r="H125" s="18">
        <v>60.98</v>
      </c>
      <c r="I125" s="18">
        <v>10.98</v>
      </c>
      <c r="J125" s="23">
        <v>0</v>
      </c>
      <c r="K125" s="18">
        <v>0</v>
      </c>
      <c r="L125" s="18">
        <v>0</v>
      </c>
      <c r="M125" s="18">
        <v>50</v>
      </c>
      <c r="N125" s="18">
        <v>1.01</v>
      </c>
      <c r="O125" s="18">
        <v>4.63</v>
      </c>
      <c r="P125" s="18">
        <v>1</v>
      </c>
      <c r="Q125" s="18">
        <v>0</v>
      </c>
      <c r="R125" s="18">
        <v>0</v>
      </c>
      <c r="S125" s="18">
        <v>0</v>
      </c>
      <c r="T125" s="18">
        <v>0</v>
      </c>
      <c r="U125" s="18">
        <v>0</v>
      </c>
      <c r="V125" s="18">
        <v>0</v>
      </c>
      <c r="W125" s="18">
        <v>0</v>
      </c>
      <c r="X125" s="18">
        <v>1</v>
      </c>
      <c r="Y125" s="18">
        <v>50</v>
      </c>
      <c r="Z125" s="18">
        <v>0</v>
      </c>
      <c r="AA125" s="18"/>
      <c r="AB125" s="18"/>
      <c r="AC125" s="18"/>
      <c r="AD125" s="18"/>
      <c r="AF125" s="18"/>
    </row>
    <row r="126" spans="1:32" hidden="1" x14ac:dyDescent="0.25">
      <c r="A126" t="s">
        <v>241</v>
      </c>
      <c r="B126">
        <v>49309</v>
      </c>
      <c r="C126">
        <v>1</v>
      </c>
      <c r="D126">
        <v>1</v>
      </c>
      <c r="E126">
        <v>20211007</v>
      </c>
      <c r="F126" t="s">
        <v>240</v>
      </c>
      <c r="G126" t="s">
        <v>202</v>
      </c>
      <c r="H126" s="18">
        <v>1426.83</v>
      </c>
      <c r="I126" s="18">
        <v>256.83</v>
      </c>
      <c r="J126" s="23">
        <v>0</v>
      </c>
      <c r="K126" s="18">
        <v>0</v>
      </c>
      <c r="L126" s="18">
        <v>0</v>
      </c>
      <c r="M126" s="18">
        <v>1170</v>
      </c>
      <c r="N126" s="18">
        <v>23.54</v>
      </c>
      <c r="O126" s="18">
        <v>108.44</v>
      </c>
      <c r="P126" s="18">
        <v>1</v>
      </c>
      <c r="Q126" s="18">
        <v>0</v>
      </c>
      <c r="R126" s="18">
        <v>0</v>
      </c>
      <c r="S126" s="18">
        <v>0</v>
      </c>
      <c r="T126" s="18">
        <v>0</v>
      </c>
      <c r="U126" s="18">
        <v>0</v>
      </c>
      <c r="V126" s="18">
        <v>0</v>
      </c>
      <c r="W126" s="18">
        <v>0</v>
      </c>
      <c r="X126" s="18">
        <v>1</v>
      </c>
      <c r="Y126" s="18">
        <v>1170</v>
      </c>
      <c r="Z126" s="18">
        <v>0</v>
      </c>
      <c r="AA126" s="18"/>
      <c r="AB126" s="18"/>
      <c r="AC126" s="18"/>
      <c r="AD126" s="18"/>
      <c r="AF126" s="18"/>
    </row>
    <row r="127" spans="1:32" hidden="1" x14ac:dyDescent="0.25">
      <c r="A127" t="s">
        <v>241</v>
      </c>
      <c r="B127">
        <v>49315</v>
      </c>
      <c r="C127">
        <v>1</v>
      </c>
      <c r="D127">
        <v>1</v>
      </c>
      <c r="E127">
        <v>20211007</v>
      </c>
      <c r="F127" t="s">
        <v>240</v>
      </c>
      <c r="G127" t="s">
        <v>202</v>
      </c>
      <c r="H127" s="18">
        <v>1273.95</v>
      </c>
      <c r="I127" s="18">
        <v>0</v>
      </c>
      <c r="J127" s="23">
        <v>0</v>
      </c>
      <c r="K127" s="18">
        <v>0</v>
      </c>
      <c r="L127" s="18">
        <v>0</v>
      </c>
      <c r="M127" s="18">
        <v>1273.95</v>
      </c>
      <c r="N127" s="18">
        <v>0</v>
      </c>
      <c r="O127" s="18">
        <v>0</v>
      </c>
      <c r="P127" s="18">
        <v>1</v>
      </c>
      <c r="Q127" s="18">
        <v>0</v>
      </c>
      <c r="R127" s="18">
        <v>0</v>
      </c>
      <c r="S127" s="18">
        <v>0</v>
      </c>
      <c r="T127" s="18">
        <v>0</v>
      </c>
      <c r="U127" s="18">
        <v>0</v>
      </c>
      <c r="V127" s="18">
        <v>0</v>
      </c>
      <c r="W127" s="18">
        <v>0</v>
      </c>
      <c r="X127" s="18">
        <v>1</v>
      </c>
      <c r="Y127" s="18">
        <v>1273.95</v>
      </c>
      <c r="Z127" s="18">
        <v>0</v>
      </c>
      <c r="AA127" s="18"/>
      <c r="AB127" s="18"/>
      <c r="AC127" s="18"/>
      <c r="AD127" s="18"/>
      <c r="AF127" s="18"/>
    </row>
    <row r="128" spans="1:32" hidden="1" x14ac:dyDescent="0.25">
      <c r="A128" t="s">
        <v>241</v>
      </c>
      <c r="B128">
        <v>49332</v>
      </c>
      <c r="C128">
        <v>1</v>
      </c>
      <c r="D128">
        <v>1</v>
      </c>
      <c r="E128">
        <v>20211008</v>
      </c>
      <c r="F128" t="s">
        <v>240</v>
      </c>
      <c r="G128" t="s">
        <v>202</v>
      </c>
      <c r="H128" s="18">
        <v>1553.6</v>
      </c>
      <c r="I128" s="18">
        <v>279.64999999999998</v>
      </c>
      <c r="J128" s="23">
        <v>0</v>
      </c>
      <c r="K128" s="18">
        <v>0</v>
      </c>
      <c r="L128" s="18">
        <v>0</v>
      </c>
      <c r="M128" s="18">
        <v>1273.95</v>
      </c>
      <c r="N128" s="18">
        <v>25.63</v>
      </c>
      <c r="O128" s="18">
        <v>118.07</v>
      </c>
      <c r="P128" s="18">
        <v>1</v>
      </c>
      <c r="Q128" s="18">
        <v>0</v>
      </c>
      <c r="R128" s="18">
        <v>0</v>
      </c>
      <c r="S128" s="18">
        <v>0</v>
      </c>
      <c r="T128" s="18">
        <v>0</v>
      </c>
      <c r="U128" s="18">
        <v>0</v>
      </c>
      <c r="V128" s="18">
        <v>0</v>
      </c>
      <c r="W128" s="18">
        <v>0</v>
      </c>
      <c r="X128" s="18">
        <v>1</v>
      </c>
      <c r="Y128" s="18">
        <v>1273.95</v>
      </c>
      <c r="Z128" s="18">
        <v>0</v>
      </c>
      <c r="AA128" s="18"/>
      <c r="AB128" s="18"/>
      <c r="AC128" s="18"/>
      <c r="AD128" s="18"/>
      <c r="AF128" s="18"/>
    </row>
    <row r="129" spans="1:32" hidden="1" x14ac:dyDescent="0.25">
      <c r="A129" t="s">
        <v>241</v>
      </c>
      <c r="B129">
        <v>49336</v>
      </c>
      <c r="C129">
        <v>1</v>
      </c>
      <c r="D129">
        <v>1</v>
      </c>
      <c r="E129">
        <v>20211008</v>
      </c>
      <c r="F129" t="s">
        <v>240</v>
      </c>
      <c r="G129" t="s">
        <v>202</v>
      </c>
      <c r="H129" s="18">
        <v>1553.6</v>
      </c>
      <c r="I129" s="18">
        <v>279.64999999999998</v>
      </c>
      <c r="J129" s="23">
        <v>0</v>
      </c>
      <c r="K129" s="18">
        <v>0</v>
      </c>
      <c r="L129" s="18">
        <v>0</v>
      </c>
      <c r="M129" s="18">
        <v>1273.95</v>
      </c>
      <c r="N129" s="18">
        <v>25.63</v>
      </c>
      <c r="O129" s="18">
        <v>118.07</v>
      </c>
      <c r="P129" s="18">
        <v>1</v>
      </c>
      <c r="Q129" s="18">
        <v>0</v>
      </c>
      <c r="R129" s="18">
        <v>0</v>
      </c>
      <c r="S129" s="18">
        <v>0</v>
      </c>
      <c r="T129" s="18">
        <v>0</v>
      </c>
      <c r="U129" s="18">
        <v>0</v>
      </c>
      <c r="V129" s="18">
        <v>0</v>
      </c>
      <c r="W129" s="18">
        <v>0</v>
      </c>
      <c r="X129" s="18">
        <v>1</v>
      </c>
      <c r="Y129" s="18">
        <v>1273.95</v>
      </c>
      <c r="Z129" s="18">
        <v>0</v>
      </c>
      <c r="AA129" s="18"/>
      <c r="AB129" s="18"/>
      <c r="AC129" s="21"/>
      <c r="AD129" s="18"/>
      <c r="AF129" s="18"/>
    </row>
    <row r="130" spans="1:32" x14ac:dyDescent="0.25">
      <c r="A130" t="s">
        <v>242</v>
      </c>
      <c r="B130">
        <v>798</v>
      </c>
      <c r="C130">
        <v>2</v>
      </c>
      <c r="D130">
        <v>1</v>
      </c>
      <c r="E130">
        <v>20211008</v>
      </c>
      <c r="F130">
        <v>20211011</v>
      </c>
      <c r="G130" t="s">
        <v>202</v>
      </c>
      <c r="H130" s="18">
        <v>1094.0999999999999</v>
      </c>
      <c r="I130" s="18">
        <v>43.76</v>
      </c>
      <c r="J130" s="23">
        <v>0</v>
      </c>
      <c r="K130" s="18">
        <v>0</v>
      </c>
      <c r="L130" s="18">
        <v>0</v>
      </c>
      <c r="M130" s="18">
        <v>1094.0999999999999</v>
      </c>
      <c r="N130" s="18">
        <v>18.05</v>
      </c>
      <c r="O130" s="18">
        <v>83.15</v>
      </c>
      <c r="P130" s="18">
        <v>1</v>
      </c>
      <c r="Q130" s="18">
        <v>43.76</v>
      </c>
      <c r="R130" s="18">
        <v>0</v>
      </c>
      <c r="S130" s="18">
        <v>0</v>
      </c>
      <c r="T130" s="18">
        <v>0</v>
      </c>
      <c r="U130" s="18">
        <v>0</v>
      </c>
      <c r="V130" s="18">
        <v>0</v>
      </c>
      <c r="W130" s="18">
        <v>0</v>
      </c>
      <c r="X130" s="18">
        <v>1</v>
      </c>
      <c r="Y130" s="18">
        <v>1094.0999999999999</v>
      </c>
      <c r="Z130" s="18">
        <v>0</v>
      </c>
      <c r="AA130" s="18"/>
      <c r="AB130" s="18"/>
      <c r="AC130" s="18"/>
      <c r="AD130" s="18"/>
      <c r="AF130" s="18"/>
    </row>
    <row r="131" spans="1:32" hidden="1" x14ac:dyDescent="0.25">
      <c r="A131" t="s">
        <v>241</v>
      </c>
      <c r="B131">
        <v>49351</v>
      </c>
      <c r="C131">
        <v>1</v>
      </c>
      <c r="D131">
        <v>1</v>
      </c>
      <c r="E131">
        <v>20211009</v>
      </c>
      <c r="F131" t="s">
        <v>240</v>
      </c>
      <c r="G131" t="s">
        <v>202</v>
      </c>
      <c r="H131" s="18">
        <v>1273.95</v>
      </c>
      <c r="I131" s="18">
        <v>0</v>
      </c>
      <c r="J131" s="23">
        <v>0</v>
      </c>
      <c r="K131" s="18">
        <v>0</v>
      </c>
      <c r="L131" s="18">
        <v>0</v>
      </c>
      <c r="M131" s="18">
        <v>1273.95</v>
      </c>
      <c r="N131" s="18">
        <v>0</v>
      </c>
      <c r="O131" s="18">
        <v>0</v>
      </c>
      <c r="P131" s="18">
        <v>1</v>
      </c>
      <c r="Q131" s="18">
        <v>0</v>
      </c>
      <c r="R131" s="18">
        <v>0</v>
      </c>
      <c r="S131" s="18">
        <v>0</v>
      </c>
      <c r="T131" s="18">
        <v>0</v>
      </c>
      <c r="U131" s="18">
        <v>0</v>
      </c>
      <c r="V131" s="18">
        <v>0</v>
      </c>
      <c r="W131" s="18">
        <v>0</v>
      </c>
      <c r="X131" s="18">
        <v>1</v>
      </c>
      <c r="Y131" s="18">
        <v>1273.95</v>
      </c>
      <c r="Z131" s="18">
        <v>0</v>
      </c>
      <c r="AA131" s="18"/>
      <c r="AB131" s="18"/>
      <c r="AC131" s="18"/>
      <c r="AD131" s="18"/>
      <c r="AF131" s="18"/>
    </row>
    <row r="132" spans="1:32" hidden="1" x14ac:dyDescent="0.25">
      <c r="A132" t="s">
        <v>241</v>
      </c>
      <c r="B132">
        <v>49352</v>
      </c>
      <c r="C132">
        <v>1</v>
      </c>
      <c r="D132">
        <v>1</v>
      </c>
      <c r="E132">
        <v>20211009</v>
      </c>
      <c r="F132" t="s">
        <v>240</v>
      </c>
      <c r="G132" t="s">
        <v>202</v>
      </c>
      <c r="H132" s="18">
        <v>1273.95</v>
      </c>
      <c r="I132" s="18">
        <v>0</v>
      </c>
      <c r="J132" s="23">
        <v>0</v>
      </c>
      <c r="K132" s="18">
        <v>0</v>
      </c>
      <c r="L132" s="18">
        <v>0</v>
      </c>
      <c r="M132" s="18">
        <v>1273.95</v>
      </c>
      <c r="N132" s="18">
        <v>0</v>
      </c>
      <c r="O132" s="18">
        <v>0</v>
      </c>
      <c r="P132" s="18">
        <v>1</v>
      </c>
      <c r="Q132" s="18">
        <v>0</v>
      </c>
      <c r="R132" s="18">
        <v>0</v>
      </c>
      <c r="S132" s="18">
        <v>0</v>
      </c>
      <c r="T132" s="18">
        <v>0</v>
      </c>
      <c r="U132" s="18">
        <v>0</v>
      </c>
      <c r="V132" s="18">
        <v>0</v>
      </c>
      <c r="W132" s="18">
        <v>0</v>
      </c>
      <c r="X132" s="18">
        <v>1</v>
      </c>
      <c r="Y132" s="18">
        <v>1273.95</v>
      </c>
      <c r="Z132" s="18">
        <v>0</v>
      </c>
      <c r="AA132" s="18"/>
      <c r="AB132" s="18"/>
      <c r="AC132" s="18"/>
      <c r="AD132" s="18"/>
      <c r="AF132" s="18"/>
    </row>
    <row r="133" spans="1:32" hidden="1" x14ac:dyDescent="0.25">
      <c r="A133" t="s">
        <v>241</v>
      </c>
      <c r="B133">
        <v>49376</v>
      </c>
      <c r="C133">
        <v>1</v>
      </c>
      <c r="D133">
        <v>1</v>
      </c>
      <c r="E133">
        <v>20211011</v>
      </c>
      <c r="F133" t="s">
        <v>240</v>
      </c>
      <c r="G133" t="s">
        <v>202</v>
      </c>
      <c r="H133" s="18">
        <v>1480.49</v>
      </c>
      <c r="I133" s="18">
        <v>266.49</v>
      </c>
      <c r="J133" s="23">
        <v>0</v>
      </c>
      <c r="K133" s="18">
        <v>0</v>
      </c>
      <c r="L133" s="18">
        <v>0</v>
      </c>
      <c r="M133" s="18">
        <v>1214</v>
      </c>
      <c r="N133" s="18">
        <v>24.43</v>
      </c>
      <c r="O133" s="18">
        <v>112.52</v>
      </c>
      <c r="P133" s="18">
        <v>1</v>
      </c>
      <c r="Q133" s="18">
        <v>0</v>
      </c>
      <c r="R133" s="18">
        <v>0</v>
      </c>
      <c r="S133" s="18">
        <v>0</v>
      </c>
      <c r="T133" s="18">
        <v>0</v>
      </c>
      <c r="U133" s="18">
        <v>0</v>
      </c>
      <c r="V133" s="18">
        <v>0</v>
      </c>
      <c r="W133" s="18">
        <v>0</v>
      </c>
      <c r="X133" s="18">
        <v>1</v>
      </c>
      <c r="Y133" s="18">
        <v>1214</v>
      </c>
      <c r="Z133" s="18">
        <v>0</v>
      </c>
      <c r="AA133" s="18"/>
      <c r="AB133" s="18"/>
      <c r="AC133" s="18"/>
      <c r="AD133" s="18"/>
      <c r="AF133" s="18"/>
    </row>
    <row r="134" spans="1:32" hidden="1" x14ac:dyDescent="0.25">
      <c r="A134" t="s">
        <v>241</v>
      </c>
      <c r="B134">
        <v>49377</v>
      </c>
      <c r="C134">
        <v>1</v>
      </c>
      <c r="D134">
        <v>1</v>
      </c>
      <c r="E134">
        <v>20211011</v>
      </c>
      <c r="F134" t="s">
        <v>240</v>
      </c>
      <c r="G134" t="s">
        <v>202</v>
      </c>
      <c r="H134" s="18">
        <v>1480.49</v>
      </c>
      <c r="I134" s="18">
        <v>266.49</v>
      </c>
      <c r="J134" s="23">
        <v>0</v>
      </c>
      <c r="K134" s="18">
        <v>0</v>
      </c>
      <c r="L134" s="18">
        <v>0</v>
      </c>
      <c r="M134" s="18">
        <v>1214</v>
      </c>
      <c r="N134" s="18">
        <v>24.43</v>
      </c>
      <c r="O134" s="18">
        <v>112.52</v>
      </c>
      <c r="P134" s="18">
        <v>1</v>
      </c>
      <c r="Q134" s="18">
        <v>0</v>
      </c>
      <c r="R134" s="18">
        <v>0</v>
      </c>
      <c r="S134" s="18">
        <v>0</v>
      </c>
      <c r="T134" s="18">
        <v>0</v>
      </c>
      <c r="U134" s="18">
        <v>0</v>
      </c>
      <c r="V134" s="18">
        <v>0</v>
      </c>
      <c r="W134" s="18">
        <v>0</v>
      </c>
      <c r="X134" s="18">
        <v>1</v>
      </c>
      <c r="Y134" s="18">
        <v>1214</v>
      </c>
      <c r="Z134" s="18">
        <v>0</v>
      </c>
      <c r="AA134" s="18"/>
      <c r="AB134" s="18"/>
      <c r="AC134" s="18"/>
      <c r="AD134" s="18"/>
      <c r="AF134" s="18"/>
    </row>
    <row r="135" spans="1:32" hidden="1" x14ac:dyDescent="0.25">
      <c r="A135" t="s">
        <v>241</v>
      </c>
      <c r="B135">
        <v>49379</v>
      </c>
      <c r="C135">
        <v>1</v>
      </c>
      <c r="D135">
        <v>1</v>
      </c>
      <c r="E135">
        <v>20211011</v>
      </c>
      <c r="F135" t="s">
        <v>240</v>
      </c>
      <c r="G135" t="s">
        <v>202</v>
      </c>
      <c r="H135" s="18">
        <v>1480.49</v>
      </c>
      <c r="I135" s="18">
        <v>266.49</v>
      </c>
      <c r="J135" s="23">
        <v>0</v>
      </c>
      <c r="K135" s="18">
        <v>0</v>
      </c>
      <c r="L135" s="18">
        <v>0</v>
      </c>
      <c r="M135" s="18">
        <v>1214</v>
      </c>
      <c r="N135" s="18">
        <v>24.43</v>
      </c>
      <c r="O135" s="18">
        <v>112.52</v>
      </c>
      <c r="P135" s="18">
        <v>1</v>
      </c>
      <c r="Q135" s="18">
        <v>0</v>
      </c>
      <c r="R135" s="18">
        <v>0</v>
      </c>
      <c r="S135" s="18">
        <v>0</v>
      </c>
      <c r="T135" s="18">
        <v>0</v>
      </c>
      <c r="U135" s="18">
        <v>0</v>
      </c>
      <c r="V135" s="18">
        <v>0</v>
      </c>
      <c r="W135" s="18">
        <v>0</v>
      </c>
      <c r="X135" s="18">
        <v>1</v>
      </c>
      <c r="Y135" s="18">
        <v>1214</v>
      </c>
      <c r="Z135" s="18">
        <v>0</v>
      </c>
      <c r="AA135" s="18"/>
      <c r="AB135" s="18"/>
      <c r="AC135" s="18"/>
      <c r="AD135" s="18"/>
      <c r="AF135" s="18"/>
    </row>
    <row r="136" spans="1:32" hidden="1" x14ac:dyDescent="0.25">
      <c r="A136" t="s">
        <v>241</v>
      </c>
      <c r="B136">
        <v>49405</v>
      </c>
      <c r="C136">
        <v>1</v>
      </c>
      <c r="D136">
        <v>1</v>
      </c>
      <c r="E136">
        <v>20211011</v>
      </c>
      <c r="F136" t="s">
        <v>240</v>
      </c>
      <c r="G136" t="s">
        <v>202</v>
      </c>
      <c r="H136" s="18">
        <v>1273.95</v>
      </c>
      <c r="I136" s="18">
        <v>0</v>
      </c>
      <c r="J136" s="23">
        <v>0</v>
      </c>
      <c r="K136" s="18">
        <v>0</v>
      </c>
      <c r="L136" s="18">
        <v>0</v>
      </c>
      <c r="M136" s="18">
        <v>1273.95</v>
      </c>
      <c r="N136" s="18">
        <v>0</v>
      </c>
      <c r="O136" s="18">
        <v>0</v>
      </c>
      <c r="P136" s="18">
        <v>1</v>
      </c>
      <c r="Q136" s="18">
        <v>0</v>
      </c>
      <c r="R136" s="18">
        <v>0</v>
      </c>
      <c r="S136" s="18">
        <v>0</v>
      </c>
      <c r="T136" s="18">
        <v>0</v>
      </c>
      <c r="U136" s="18">
        <v>0</v>
      </c>
      <c r="V136" s="18">
        <v>0</v>
      </c>
      <c r="W136" s="18">
        <v>0</v>
      </c>
      <c r="X136" s="18">
        <v>1</v>
      </c>
      <c r="Y136" s="18">
        <v>1273.95</v>
      </c>
      <c r="Z136" s="18">
        <v>0</v>
      </c>
      <c r="AA136" s="18"/>
      <c r="AB136" s="18"/>
      <c r="AC136" s="18"/>
      <c r="AD136" s="18"/>
      <c r="AF136" s="18"/>
    </row>
    <row r="137" spans="1:32" hidden="1" x14ac:dyDescent="0.25">
      <c r="A137" t="s">
        <v>241</v>
      </c>
      <c r="B137">
        <v>49406</v>
      </c>
      <c r="C137">
        <v>1</v>
      </c>
      <c r="D137">
        <v>1</v>
      </c>
      <c r="E137">
        <v>20211011</v>
      </c>
      <c r="F137" t="s">
        <v>240</v>
      </c>
      <c r="G137" t="s">
        <v>202</v>
      </c>
      <c r="H137" s="18">
        <v>1480.49</v>
      </c>
      <c r="I137" s="18">
        <v>266.49</v>
      </c>
      <c r="J137" s="23">
        <v>0</v>
      </c>
      <c r="K137" s="18">
        <v>0</v>
      </c>
      <c r="L137" s="18">
        <v>0</v>
      </c>
      <c r="M137" s="18">
        <v>1214</v>
      </c>
      <c r="N137" s="18">
        <v>24.43</v>
      </c>
      <c r="O137" s="18">
        <v>112.52</v>
      </c>
      <c r="P137" s="18">
        <v>1</v>
      </c>
      <c r="Q137" s="18">
        <v>0</v>
      </c>
      <c r="R137" s="18">
        <v>0</v>
      </c>
      <c r="S137" s="18">
        <v>0</v>
      </c>
      <c r="T137" s="18">
        <v>0</v>
      </c>
      <c r="U137" s="18">
        <v>0</v>
      </c>
      <c r="V137" s="18">
        <v>0</v>
      </c>
      <c r="W137" s="18">
        <v>0</v>
      </c>
      <c r="X137" s="18">
        <v>1</v>
      </c>
      <c r="Y137" s="18">
        <v>1214</v>
      </c>
      <c r="Z137" s="18">
        <v>0</v>
      </c>
      <c r="AA137" s="18"/>
      <c r="AB137" s="18"/>
      <c r="AC137" s="18"/>
      <c r="AD137" s="18"/>
      <c r="AF137" s="18"/>
    </row>
    <row r="138" spans="1:32" hidden="1" x14ac:dyDescent="0.25">
      <c r="A138" t="s">
        <v>241</v>
      </c>
      <c r="B138">
        <v>49407</v>
      </c>
      <c r="C138">
        <v>1</v>
      </c>
      <c r="D138">
        <v>1</v>
      </c>
      <c r="E138">
        <v>20211011</v>
      </c>
      <c r="F138" t="s">
        <v>240</v>
      </c>
      <c r="G138" t="s">
        <v>202</v>
      </c>
      <c r="H138" s="18">
        <v>1273.95</v>
      </c>
      <c r="I138" s="18">
        <v>0</v>
      </c>
      <c r="J138" s="23">
        <v>0</v>
      </c>
      <c r="K138" s="18">
        <v>0</v>
      </c>
      <c r="L138" s="18">
        <v>0</v>
      </c>
      <c r="M138" s="18">
        <v>1273.95</v>
      </c>
      <c r="N138" s="18">
        <v>0</v>
      </c>
      <c r="O138" s="18">
        <v>0</v>
      </c>
      <c r="P138" s="18">
        <v>1</v>
      </c>
      <c r="Q138" s="18">
        <v>0</v>
      </c>
      <c r="R138" s="18">
        <v>0</v>
      </c>
      <c r="S138" s="18">
        <v>0</v>
      </c>
      <c r="T138" s="18">
        <v>0</v>
      </c>
      <c r="U138" s="18">
        <v>0</v>
      </c>
      <c r="V138" s="18">
        <v>0</v>
      </c>
      <c r="W138" s="18">
        <v>0</v>
      </c>
      <c r="X138" s="18">
        <v>1</v>
      </c>
      <c r="Y138" s="18">
        <v>1273.95</v>
      </c>
      <c r="Z138" s="18">
        <v>0</v>
      </c>
      <c r="AA138" s="18"/>
      <c r="AB138" s="18"/>
      <c r="AC138" s="18"/>
      <c r="AD138" s="18"/>
      <c r="AF138" s="18"/>
    </row>
    <row r="139" spans="1:32" hidden="1" x14ac:dyDescent="0.25">
      <c r="A139" t="s">
        <v>241</v>
      </c>
      <c r="B139">
        <v>49408</v>
      </c>
      <c r="C139">
        <v>1</v>
      </c>
      <c r="D139">
        <v>1</v>
      </c>
      <c r="E139">
        <v>20211011</v>
      </c>
      <c r="F139" t="s">
        <v>240</v>
      </c>
      <c r="G139" t="s">
        <v>202</v>
      </c>
      <c r="H139" s="18">
        <v>1273.95</v>
      </c>
      <c r="I139" s="18">
        <v>0</v>
      </c>
      <c r="J139" s="23">
        <v>0</v>
      </c>
      <c r="K139" s="18">
        <v>0</v>
      </c>
      <c r="L139" s="18">
        <v>0</v>
      </c>
      <c r="M139" s="18">
        <v>1273.95</v>
      </c>
      <c r="N139" s="18">
        <v>0</v>
      </c>
      <c r="O139" s="18">
        <v>0</v>
      </c>
      <c r="P139" s="18">
        <v>1</v>
      </c>
      <c r="Q139" s="18">
        <v>0</v>
      </c>
      <c r="R139" s="18">
        <v>0</v>
      </c>
      <c r="S139" s="18">
        <v>0</v>
      </c>
      <c r="T139" s="18">
        <v>0</v>
      </c>
      <c r="U139" s="18">
        <v>0</v>
      </c>
      <c r="V139" s="18">
        <v>0</v>
      </c>
      <c r="W139" s="18">
        <v>0</v>
      </c>
      <c r="X139" s="18">
        <v>1</v>
      </c>
      <c r="Y139" s="18">
        <v>1273.95</v>
      </c>
      <c r="Z139" s="18">
        <v>0</v>
      </c>
      <c r="AA139" s="18"/>
      <c r="AB139" s="18"/>
      <c r="AC139" s="18"/>
      <c r="AD139" s="18"/>
      <c r="AF139" s="18"/>
    </row>
    <row r="140" spans="1:32" hidden="1" x14ac:dyDescent="0.25">
      <c r="A140" t="s">
        <v>241</v>
      </c>
      <c r="B140">
        <v>49430</v>
      </c>
      <c r="C140">
        <v>1</v>
      </c>
      <c r="D140">
        <v>1</v>
      </c>
      <c r="E140">
        <v>20211013</v>
      </c>
      <c r="F140" t="s">
        <v>240</v>
      </c>
      <c r="G140" t="s">
        <v>202</v>
      </c>
      <c r="H140" s="18">
        <v>1298.78</v>
      </c>
      <c r="I140" s="18">
        <v>233.78</v>
      </c>
      <c r="J140" s="23">
        <v>0</v>
      </c>
      <c r="K140" s="18">
        <v>0</v>
      </c>
      <c r="L140" s="18">
        <v>0</v>
      </c>
      <c r="M140" s="18">
        <v>1065</v>
      </c>
      <c r="N140" s="18">
        <v>21.43</v>
      </c>
      <c r="O140" s="18">
        <v>98.71</v>
      </c>
      <c r="P140" s="18">
        <v>1</v>
      </c>
      <c r="Q140" s="18">
        <v>0</v>
      </c>
      <c r="R140" s="18">
        <v>0</v>
      </c>
      <c r="S140" s="18">
        <v>0</v>
      </c>
      <c r="T140" s="18">
        <v>0</v>
      </c>
      <c r="U140" s="18">
        <v>0</v>
      </c>
      <c r="V140" s="18">
        <v>0</v>
      </c>
      <c r="W140" s="18">
        <v>0</v>
      </c>
      <c r="X140" s="18">
        <v>1</v>
      </c>
      <c r="Y140" s="18">
        <v>1065</v>
      </c>
      <c r="Z140" s="18">
        <v>0</v>
      </c>
      <c r="AA140" s="18"/>
      <c r="AB140" s="18"/>
      <c r="AC140" s="18"/>
      <c r="AD140" s="18"/>
      <c r="AF140" s="18"/>
    </row>
    <row r="141" spans="1:32" hidden="1" x14ac:dyDescent="0.25">
      <c r="A141" t="s">
        <v>241</v>
      </c>
      <c r="B141">
        <v>49441</v>
      </c>
      <c r="C141">
        <v>1</v>
      </c>
      <c r="D141">
        <v>1</v>
      </c>
      <c r="E141">
        <v>20211013</v>
      </c>
      <c r="F141" t="s">
        <v>240</v>
      </c>
      <c r="G141" t="s">
        <v>202</v>
      </c>
      <c r="H141" s="18">
        <v>1273.95</v>
      </c>
      <c r="I141" s="18">
        <v>0</v>
      </c>
      <c r="J141" s="23">
        <v>0</v>
      </c>
      <c r="K141" s="18">
        <v>0</v>
      </c>
      <c r="L141" s="18">
        <v>0</v>
      </c>
      <c r="M141" s="18">
        <v>1273.95</v>
      </c>
      <c r="N141" s="18">
        <v>0</v>
      </c>
      <c r="O141" s="18">
        <v>0</v>
      </c>
      <c r="P141" s="18">
        <v>1</v>
      </c>
      <c r="Q141" s="18">
        <v>0</v>
      </c>
      <c r="R141" s="18">
        <v>0</v>
      </c>
      <c r="S141" s="18">
        <v>0</v>
      </c>
      <c r="T141" s="18">
        <v>0</v>
      </c>
      <c r="U141" s="18">
        <v>0</v>
      </c>
      <c r="V141" s="18">
        <v>0</v>
      </c>
      <c r="W141" s="18">
        <v>0</v>
      </c>
      <c r="X141" s="18">
        <v>1</v>
      </c>
      <c r="Y141" s="18">
        <v>1273.95</v>
      </c>
      <c r="Z141" s="18">
        <v>0</v>
      </c>
      <c r="AA141" s="18"/>
      <c r="AB141" s="18"/>
      <c r="AC141" s="18"/>
      <c r="AD141" s="18"/>
      <c r="AF141" s="18"/>
    </row>
    <row r="142" spans="1:32" hidden="1" x14ac:dyDescent="0.25">
      <c r="A142" t="s">
        <v>241</v>
      </c>
      <c r="B142">
        <v>49442</v>
      </c>
      <c r="C142">
        <v>1</v>
      </c>
      <c r="D142">
        <v>1</v>
      </c>
      <c r="E142">
        <v>20211013</v>
      </c>
      <c r="F142" t="s">
        <v>240</v>
      </c>
      <c r="G142" t="s">
        <v>202</v>
      </c>
      <c r="H142" s="18">
        <v>1273.95</v>
      </c>
      <c r="I142" s="18">
        <v>0</v>
      </c>
      <c r="J142" s="23">
        <v>0</v>
      </c>
      <c r="K142" s="18">
        <v>0</v>
      </c>
      <c r="L142" s="18">
        <v>0</v>
      </c>
      <c r="M142" s="18">
        <v>1273.95</v>
      </c>
      <c r="N142" s="18">
        <v>0</v>
      </c>
      <c r="O142" s="18">
        <v>0</v>
      </c>
      <c r="P142" s="18">
        <v>1</v>
      </c>
      <c r="Q142" s="18">
        <v>0</v>
      </c>
      <c r="R142" s="18">
        <v>0</v>
      </c>
      <c r="S142" s="18">
        <v>0</v>
      </c>
      <c r="T142" s="18">
        <v>0</v>
      </c>
      <c r="U142" s="18">
        <v>0</v>
      </c>
      <c r="V142" s="18">
        <v>0</v>
      </c>
      <c r="W142" s="18">
        <v>0</v>
      </c>
      <c r="X142" s="18">
        <v>1</v>
      </c>
      <c r="Y142" s="18">
        <v>1273.95</v>
      </c>
      <c r="Z142" s="18">
        <v>0</v>
      </c>
      <c r="AA142" s="18"/>
      <c r="AB142" s="18"/>
      <c r="AC142" s="18"/>
      <c r="AD142" s="18"/>
      <c r="AF142" s="18"/>
    </row>
    <row r="143" spans="1:32" hidden="1" x14ac:dyDescent="0.25">
      <c r="A143" t="s">
        <v>241</v>
      </c>
      <c r="B143">
        <v>49447</v>
      </c>
      <c r="C143">
        <v>1</v>
      </c>
      <c r="D143">
        <v>1</v>
      </c>
      <c r="E143">
        <v>20211013</v>
      </c>
      <c r="F143" t="s">
        <v>240</v>
      </c>
      <c r="G143" t="s">
        <v>202</v>
      </c>
      <c r="H143" s="18">
        <v>1273.95</v>
      </c>
      <c r="I143" s="18">
        <v>0</v>
      </c>
      <c r="J143" s="23">
        <v>0</v>
      </c>
      <c r="K143" s="18">
        <v>0</v>
      </c>
      <c r="L143" s="18">
        <v>0</v>
      </c>
      <c r="M143" s="18">
        <v>1273.95</v>
      </c>
      <c r="N143" s="18">
        <v>0</v>
      </c>
      <c r="O143" s="18">
        <v>0</v>
      </c>
      <c r="P143" s="18">
        <v>1</v>
      </c>
      <c r="Q143" s="18">
        <v>0</v>
      </c>
      <c r="R143" s="18">
        <v>0</v>
      </c>
      <c r="S143" s="18">
        <v>0</v>
      </c>
      <c r="T143" s="18">
        <v>0</v>
      </c>
      <c r="U143" s="18">
        <v>0</v>
      </c>
      <c r="V143" s="18">
        <v>0</v>
      </c>
      <c r="W143" s="18">
        <v>0</v>
      </c>
      <c r="X143" s="18">
        <v>1</v>
      </c>
      <c r="Y143" s="18">
        <v>1273.95</v>
      </c>
      <c r="Z143" s="18">
        <v>0</v>
      </c>
      <c r="AA143" s="18"/>
      <c r="AB143" s="18"/>
      <c r="AC143" s="21"/>
      <c r="AD143" s="18"/>
      <c r="AF143" s="18"/>
    </row>
    <row r="144" spans="1:32" x14ac:dyDescent="0.25">
      <c r="A144" t="s">
        <v>242</v>
      </c>
      <c r="B144">
        <v>800</v>
      </c>
      <c r="C144">
        <v>2</v>
      </c>
      <c r="D144">
        <v>1</v>
      </c>
      <c r="E144">
        <v>20211014</v>
      </c>
      <c r="F144">
        <v>20211014</v>
      </c>
      <c r="G144" t="s">
        <v>202</v>
      </c>
      <c r="H144" s="18">
        <v>1094.0999999999999</v>
      </c>
      <c r="I144" s="18">
        <v>43.76</v>
      </c>
      <c r="J144" s="23">
        <v>0</v>
      </c>
      <c r="K144" s="18">
        <v>0</v>
      </c>
      <c r="L144" s="18">
        <v>0</v>
      </c>
      <c r="M144" s="18">
        <v>1094.0999999999999</v>
      </c>
      <c r="N144" s="18">
        <v>18.05</v>
      </c>
      <c r="O144" s="18">
        <v>83.15</v>
      </c>
      <c r="P144" s="18">
        <v>1</v>
      </c>
      <c r="Q144" s="18">
        <v>43.76</v>
      </c>
      <c r="R144" s="18">
        <v>0</v>
      </c>
      <c r="S144" s="18">
        <v>0</v>
      </c>
      <c r="T144" s="18">
        <v>0</v>
      </c>
      <c r="U144" s="18">
        <v>0</v>
      </c>
      <c r="V144" s="18">
        <v>0</v>
      </c>
      <c r="W144" s="18">
        <v>0</v>
      </c>
      <c r="X144" s="18">
        <v>1</v>
      </c>
      <c r="Y144" s="18">
        <v>1094.0999999999999</v>
      </c>
      <c r="Z144" s="18">
        <v>0</v>
      </c>
      <c r="AA144" s="18"/>
      <c r="AB144" s="18"/>
      <c r="AC144" s="18"/>
      <c r="AD144" s="18"/>
      <c r="AF144" s="18"/>
    </row>
    <row r="145" spans="1:32" hidden="1" x14ac:dyDescent="0.25">
      <c r="A145" t="s">
        <v>241</v>
      </c>
      <c r="B145">
        <v>49466</v>
      </c>
      <c r="C145">
        <v>1</v>
      </c>
      <c r="D145">
        <v>1</v>
      </c>
      <c r="E145">
        <v>20211014</v>
      </c>
      <c r="F145" t="s">
        <v>240</v>
      </c>
      <c r="G145" t="s">
        <v>202</v>
      </c>
      <c r="H145" s="18">
        <v>1553.6</v>
      </c>
      <c r="I145" s="18">
        <v>279.64999999999998</v>
      </c>
      <c r="J145" s="23">
        <v>0</v>
      </c>
      <c r="K145" s="18">
        <v>0</v>
      </c>
      <c r="L145" s="18">
        <v>0</v>
      </c>
      <c r="M145" s="18">
        <v>1273.95</v>
      </c>
      <c r="N145" s="18">
        <v>25.63</v>
      </c>
      <c r="O145" s="18">
        <v>118.07</v>
      </c>
      <c r="P145" s="18">
        <v>1</v>
      </c>
      <c r="Q145" s="18">
        <v>0</v>
      </c>
      <c r="R145" s="18">
        <v>0</v>
      </c>
      <c r="S145" s="18">
        <v>0</v>
      </c>
      <c r="T145" s="18">
        <v>0</v>
      </c>
      <c r="U145" s="18">
        <v>0</v>
      </c>
      <c r="V145" s="18">
        <v>0</v>
      </c>
      <c r="W145" s="18">
        <v>0</v>
      </c>
      <c r="X145" s="18">
        <v>1</v>
      </c>
      <c r="Y145" s="18">
        <v>1273.95</v>
      </c>
      <c r="Z145" s="18">
        <v>0</v>
      </c>
      <c r="AA145" s="18"/>
      <c r="AB145" s="18"/>
      <c r="AC145" s="18"/>
      <c r="AD145" s="18"/>
      <c r="AF145" s="18"/>
    </row>
    <row r="146" spans="1:32" hidden="1" x14ac:dyDescent="0.25">
      <c r="A146" t="s">
        <v>241</v>
      </c>
      <c r="B146">
        <v>49473</v>
      </c>
      <c r="C146">
        <v>1</v>
      </c>
      <c r="D146">
        <v>1</v>
      </c>
      <c r="E146">
        <v>20211015</v>
      </c>
      <c r="F146" t="s">
        <v>240</v>
      </c>
      <c r="G146" t="s">
        <v>213</v>
      </c>
      <c r="H146" s="18">
        <v>115.24</v>
      </c>
      <c r="I146" s="18">
        <v>20.74</v>
      </c>
      <c r="J146" s="23">
        <v>0</v>
      </c>
      <c r="K146" s="18">
        <v>0</v>
      </c>
      <c r="L146" s="18">
        <v>0</v>
      </c>
      <c r="M146" s="18">
        <v>94.5</v>
      </c>
      <c r="N146" s="18">
        <v>1.9</v>
      </c>
      <c r="O146" s="18">
        <v>8.76</v>
      </c>
      <c r="P146" s="18">
        <v>1</v>
      </c>
      <c r="Q146" s="18">
        <v>0</v>
      </c>
      <c r="R146" s="18">
        <v>0</v>
      </c>
      <c r="S146" s="18">
        <v>0</v>
      </c>
      <c r="T146" s="18">
        <v>0</v>
      </c>
      <c r="U146" s="18">
        <v>0</v>
      </c>
      <c r="V146" s="18">
        <v>0</v>
      </c>
      <c r="W146" s="18">
        <v>0</v>
      </c>
      <c r="X146" s="18">
        <v>1</v>
      </c>
      <c r="Y146" s="18">
        <v>94.496799999999993</v>
      </c>
      <c r="Z146" s="18">
        <v>0</v>
      </c>
      <c r="AA146" s="18"/>
      <c r="AB146" s="18"/>
      <c r="AC146" s="18"/>
      <c r="AD146" s="18"/>
      <c r="AF146" s="18"/>
    </row>
    <row r="147" spans="1:32" hidden="1" x14ac:dyDescent="0.25">
      <c r="A147" t="s">
        <v>241</v>
      </c>
      <c r="B147">
        <v>49481</v>
      </c>
      <c r="C147">
        <v>1</v>
      </c>
      <c r="D147">
        <v>1</v>
      </c>
      <c r="E147">
        <v>20211015</v>
      </c>
      <c r="F147" t="s">
        <v>240</v>
      </c>
      <c r="G147" t="s">
        <v>202</v>
      </c>
      <c r="H147" s="18">
        <v>1414.02</v>
      </c>
      <c r="I147" s="18">
        <v>254.52</v>
      </c>
      <c r="J147" s="23">
        <v>0</v>
      </c>
      <c r="K147" s="18">
        <v>0</v>
      </c>
      <c r="L147" s="18">
        <v>0</v>
      </c>
      <c r="M147" s="18">
        <v>1159.5</v>
      </c>
      <c r="N147" s="18">
        <v>23.33</v>
      </c>
      <c r="O147" s="18">
        <v>107.47</v>
      </c>
      <c r="P147" s="18">
        <v>1</v>
      </c>
      <c r="Q147" s="18">
        <v>0</v>
      </c>
      <c r="R147" s="18">
        <v>0</v>
      </c>
      <c r="S147" s="18">
        <v>0</v>
      </c>
      <c r="T147" s="18">
        <v>0</v>
      </c>
      <c r="U147" s="18">
        <v>0</v>
      </c>
      <c r="V147" s="18">
        <v>0</v>
      </c>
      <c r="W147" s="18">
        <v>0</v>
      </c>
      <c r="X147" s="18">
        <v>1</v>
      </c>
      <c r="Y147" s="18">
        <v>1159.5</v>
      </c>
      <c r="Z147" s="18">
        <v>0</v>
      </c>
      <c r="AA147" s="18"/>
      <c r="AB147" s="18"/>
      <c r="AC147" s="18"/>
      <c r="AD147" s="18"/>
      <c r="AF147" s="18"/>
    </row>
    <row r="148" spans="1:32" hidden="1" x14ac:dyDescent="0.25">
      <c r="A148" t="s">
        <v>241</v>
      </c>
      <c r="B148">
        <v>49488</v>
      </c>
      <c r="C148">
        <v>1</v>
      </c>
      <c r="D148">
        <v>1</v>
      </c>
      <c r="E148">
        <v>20211016</v>
      </c>
      <c r="F148" t="s">
        <v>240</v>
      </c>
      <c r="G148" t="s">
        <v>202</v>
      </c>
      <c r="H148" s="18">
        <v>1480.49</v>
      </c>
      <c r="I148" s="18">
        <v>266.49</v>
      </c>
      <c r="J148" s="23">
        <v>0</v>
      </c>
      <c r="K148" s="18">
        <v>0</v>
      </c>
      <c r="L148" s="18">
        <v>0</v>
      </c>
      <c r="M148" s="18">
        <v>1214</v>
      </c>
      <c r="N148" s="18">
        <v>24.43</v>
      </c>
      <c r="O148" s="18">
        <v>112.52</v>
      </c>
      <c r="P148" s="18">
        <v>1</v>
      </c>
      <c r="Q148" s="18">
        <v>0</v>
      </c>
      <c r="R148" s="18">
        <v>0</v>
      </c>
      <c r="S148" s="18">
        <v>0</v>
      </c>
      <c r="T148" s="18">
        <v>0</v>
      </c>
      <c r="U148" s="18">
        <v>0</v>
      </c>
      <c r="V148" s="18">
        <v>0</v>
      </c>
      <c r="W148" s="18">
        <v>0</v>
      </c>
      <c r="X148" s="18">
        <v>1</v>
      </c>
      <c r="Y148" s="18">
        <v>1214</v>
      </c>
      <c r="Z148" s="18">
        <v>0</v>
      </c>
      <c r="AA148" s="18"/>
      <c r="AB148" s="18"/>
      <c r="AC148" s="18"/>
      <c r="AD148" s="18"/>
      <c r="AF148" s="18"/>
    </row>
    <row r="149" spans="1:32" hidden="1" x14ac:dyDescent="0.25">
      <c r="A149" t="s">
        <v>241</v>
      </c>
      <c r="B149">
        <v>49490</v>
      </c>
      <c r="C149">
        <v>1</v>
      </c>
      <c r="D149">
        <v>1</v>
      </c>
      <c r="E149">
        <v>20211016</v>
      </c>
      <c r="F149" t="s">
        <v>240</v>
      </c>
      <c r="G149" t="s">
        <v>202</v>
      </c>
      <c r="H149" s="18">
        <v>231.02</v>
      </c>
      <c r="I149" s="18">
        <v>41.58</v>
      </c>
      <c r="J149" s="23">
        <v>0</v>
      </c>
      <c r="K149" s="18">
        <v>0</v>
      </c>
      <c r="L149" s="18">
        <v>0</v>
      </c>
      <c r="M149" s="18">
        <v>189.44</v>
      </c>
      <c r="N149" s="18">
        <v>3.81</v>
      </c>
      <c r="O149" s="18">
        <v>17.559999999999999</v>
      </c>
      <c r="P149" s="18">
        <v>1</v>
      </c>
      <c r="Q149" s="18">
        <v>0</v>
      </c>
      <c r="R149" s="18">
        <v>0</v>
      </c>
      <c r="S149" s="18">
        <v>0</v>
      </c>
      <c r="T149" s="18">
        <v>0</v>
      </c>
      <c r="U149" s="18">
        <v>0</v>
      </c>
      <c r="V149" s="18">
        <v>0</v>
      </c>
      <c r="W149" s="18">
        <v>0</v>
      </c>
      <c r="X149" s="18">
        <v>1</v>
      </c>
      <c r="Y149" s="18">
        <v>189.44</v>
      </c>
      <c r="Z149" s="18">
        <v>0</v>
      </c>
      <c r="AA149" s="18"/>
      <c r="AB149" s="18"/>
      <c r="AC149" s="18"/>
      <c r="AD149" s="18"/>
      <c r="AF149" s="18"/>
    </row>
    <row r="150" spans="1:32" hidden="1" x14ac:dyDescent="0.25">
      <c r="A150" t="s">
        <v>241</v>
      </c>
      <c r="B150">
        <v>49491</v>
      </c>
      <c r="C150">
        <v>1</v>
      </c>
      <c r="D150">
        <v>1</v>
      </c>
      <c r="E150">
        <v>20211016</v>
      </c>
      <c r="F150" t="s">
        <v>240</v>
      </c>
      <c r="G150" t="s">
        <v>202</v>
      </c>
      <c r="H150" s="18">
        <v>533.29</v>
      </c>
      <c r="I150" s="18">
        <v>95.99</v>
      </c>
      <c r="J150" s="23">
        <v>0</v>
      </c>
      <c r="K150" s="18">
        <v>0</v>
      </c>
      <c r="L150" s="18">
        <v>0</v>
      </c>
      <c r="M150" s="18">
        <v>437.3</v>
      </c>
      <c r="N150" s="18">
        <v>8.8000000000000007</v>
      </c>
      <c r="O150" s="18">
        <v>40.53</v>
      </c>
      <c r="P150" s="18">
        <v>1</v>
      </c>
      <c r="Q150" s="18">
        <v>0</v>
      </c>
      <c r="R150" s="18">
        <v>0</v>
      </c>
      <c r="S150" s="18">
        <v>0</v>
      </c>
      <c r="T150" s="18">
        <v>0</v>
      </c>
      <c r="U150" s="18">
        <v>0</v>
      </c>
      <c r="V150" s="18">
        <v>0</v>
      </c>
      <c r="W150" s="18">
        <v>0</v>
      </c>
      <c r="X150" s="18">
        <v>1</v>
      </c>
      <c r="Y150" s="18">
        <v>437.3</v>
      </c>
      <c r="Z150" s="18">
        <v>0</v>
      </c>
      <c r="AA150" s="18"/>
      <c r="AB150" s="18"/>
      <c r="AC150" s="18"/>
      <c r="AD150" s="18"/>
      <c r="AF150" s="18"/>
    </row>
    <row r="151" spans="1:32" hidden="1" x14ac:dyDescent="0.25">
      <c r="A151" t="s">
        <v>241</v>
      </c>
      <c r="B151">
        <v>49492</v>
      </c>
      <c r="C151">
        <v>1</v>
      </c>
      <c r="D151">
        <v>1</v>
      </c>
      <c r="E151">
        <v>20211016</v>
      </c>
      <c r="F151" t="s">
        <v>240</v>
      </c>
      <c r="G151" t="s">
        <v>202</v>
      </c>
      <c r="H151" s="18">
        <v>231.02</v>
      </c>
      <c r="I151" s="18">
        <v>41.58</v>
      </c>
      <c r="J151" s="23">
        <v>0</v>
      </c>
      <c r="K151" s="18">
        <v>0</v>
      </c>
      <c r="L151" s="18">
        <v>0</v>
      </c>
      <c r="M151" s="18">
        <v>189.44</v>
      </c>
      <c r="N151" s="18">
        <v>3.81</v>
      </c>
      <c r="O151" s="18">
        <v>17.559999999999999</v>
      </c>
      <c r="P151" s="18">
        <v>1</v>
      </c>
      <c r="Q151" s="18">
        <v>0</v>
      </c>
      <c r="R151" s="18">
        <v>0</v>
      </c>
      <c r="S151" s="18">
        <v>0</v>
      </c>
      <c r="T151" s="18">
        <v>0</v>
      </c>
      <c r="U151" s="18">
        <v>0</v>
      </c>
      <c r="V151" s="18">
        <v>0</v>
      </c>
      <c r="W151" s="18">
        <v>0</v>
      </c>
      <c r="X151" s="18">
        <v>1</v>
      </c>
      <c r="Y151" s="18">
        <v>189.44</v>
      </c>
      <c r="Z151" s="18">
        <v>0</v>
      </c>
      <c r="AA151" s="18"/>
      <c r="AB151" s="18"/>
      <c r="AC151" s="18"/>
      <c r="AD151" s="18"/>
      <c r="AF151" s="18"/>
    </row>
    <row r="152" spans="1:32" hidden="1" x14ac:dyDescent="0.25">
      <c r="A152" t="s">
        <v>241</v>
      </c>
      <c r="B152">
        <v>49493</v>
      </c>
      <c r="C152">
        <v>1</v>
      </c>
      <c r="D152">
        <v>1</v>
      </c>
      <c r="E152">
        <v>20211016</v>
      </c>
      <c r="F152" t="s">
        <v>240</v>
      </c>
      <c r="G152" t="s">
        <v>202</v>
      </c>
      <c r="H152" s="18">
        <v>255.27</v>
      </c>
      <c r="I152" s="18">
        <v>45.95</v>
      </c>
      <c r="J152" s="23">
        <v>0</v>
      </c>
      <c r="K152" s="18">
        <v>0</v>
      </c>
      <c r="L152" s="18">
        <v>0</v>
      </c>
      <c r="M152" s="18">
        <v>209.32</v>
      </c>
      <c r="N152" s="18">
        <v>4.21</v>
      </c>
      <c r="O152" s="18">
        <v>19.399999999999999</v>
      </c>
      <c r="P152" s="18">
        <v>1</v>
      </c>
      <c r="Q152" s="18">
        <v>0</v>
      </c>
      <c r="R152" s="18">
        <v>0</v>
      </c>
      <c r="S152" s="18">
        <v>0</v>
      </c>
      <c r="T152" s="18">
        <v>0</v>
      </c>
      <c r="U152" s="18">
        <v>0</v>
      </c>
      <c r="V152" s="18">
        <v>0</v>
      </c>
      <c r="W152" s="18">
        <v>0</v>
      </c>
      <c r="X152" s="18">
        <v>1</v>
      </c>
      <c r="Y152" s="18">
        <v>209.32</v>
      </c>
      <c r="Z152" s="18">
        <v>0</v>
      </c>
      <c r="AA152" s="18"/>
      <c r="AB152" s="18"/>
      <c r="AC152" s="18"/>
      <c r="AD152" s="18"/>
      <c r="AF152" s="18"/>
    </row>
    <row r="153" spans="1:32" hidden="1" x14ac:dyDescent="0.25">
      <c r="A153" t="s">
        <v>241</v>
      </c>
      <c r="B153">
        <v>49494</v>
      </c>
      <c r="C153">
        <v>1</v>
      </c>
      <c r="D153">
        <v>1</v>
      </c>
      <c r="E153">
        <v>20211016</v>
      </c>
      <c r="F153" t="s">
        <v>240</v>
      </c>
      <c r="G153" t="s">
        <v>202</v>
      </c>
      <c r="H153" s="18">
        <v>157.94999999999999</v>
      </c>
      <c r="I153" s="18">
        <v>28.43</v>
      </c>
      <c r="J153" s="23">
        <v>0</v>
      </c>
      <c r="K153" s="18">
        <v>0</v>
      </c>
      <c r="L153" s="18">
        <v>0</v>
      </c>
      <c r="M153" s="18">
        <v>129.52000000000001</v>
      </c>
      <c r="N153" s="18">
        <v>2.61</v>
      </c>
      <c r="O153" s="18">
        <v>12</v>
      </c>
      <c r="P153" s="18">
        <v>1</v>
      </c>
      <c r="Q153" s="18">
        <v>0</v>
      </c>
      <c r="R153" s="18">
        <v>0</v>
      </c>
      <c r="S153" s="18">
        <v>0</v>
      </c>
      <c r="T153" s="18">
        <v>0</v>
      </c>
      <c r="U153" s="18">
        <v>0</v>
      </c>
      <c r="V153" s="18">
        <v>0</v>
      </c>
      <c r="W153" s="18">
        <v>0</v>
      </c>
      <c r="X153" s="18">
        <v>1</v>
      </c>
      <c r="Y153" s="18">
        <v>129.52000000000001</v>
      </c>
      <c r="Z153" s="18">
        <v>0</v>
      </c>
      <c r="AA153" s="18"/>
      <c r="AB153" s="18"/>
      <c r="AC153" s="18"/>
      <c r="AD153" s="18"/>
      <c r="AF153" s="18"/>
    </row>
    <row r="154" spans="1:32" hidden="1" x14ac:dyDescent="0.25">
      <c r="A154" t="s">
        <v>241</v>
      </c>
      <c r="B154">
        <v>49495</v>
      </c>
      <c r="C154">
        <v>1</v>
      </c>
      <c r="D154">
        <v>1</v>
      </c>
      <c r="E154">
        <v>20211016</v>
      </c>
      <c r="F154" t="s">
        <v>240</v>
      </c>
      <c r="G154" t="s">
        <v>202</v>
      </c>
      <c r="H154" s="18">
        <v>5.46</v>
      </c>
      <c r="I154" s="18">
        <v>0.98</v>
      </c>
      <c r="J154" s="23">
        <v>0</v>
      </c>
      <c r="K154" s="18">
        <v>0</v>
      </c>
      <c r="L154" s="18">
        <v>0</v>
      </c>
      <c r="M154" s="18">
        <v>4.4800000000000004</v>
      </c>
      <c r="N154" s="18">
        <v>0.09</v>
      </c>
      <c r="O154" s="18">
        <v>0.41</v>
      </c>
      <c r="P154" s="18">
        <v>1</v>
      </c>
      <c r="Q154" s="18">
        <v>0</v>
      </c>
      <c r="R154" s="18">
        <v>0</v>
      </c>
      <c r="S154" s="18">
        <v>0</v>
      </c>
      <c r="T154" s="18">
        <v>0</v>
      </c>
      <c r="U154" s="18">
        <v>0</v>
      </c>
      <c r="V154" s="18">
        <v>0</v>
      </c>
      <c r="W154" s="18">
        <v>0</v>
      </c>
      <c r="X154" s="18">
        <v>1</v>
      </c>
      <c r="Y154" s="18">
        <v>4.4800000000000004</v>
      </c>
      <c r="Z154" s="18">
        <v>0</v>
      </c>
      <c r="AA154" s="18"/>
      <c r="AB154" s="18"/>
      <c r="AC154" s="18"/>
      <c r="AD154" s="18"/>
      <c r="AF154" s="18"/>
    </row>
    <row r="155" spans="1:32" hidden="1" x14ac:dyDescent="0.25">
      <c r="A155" t="s">
        <v>241</v>
      </c>
      <c r="B155">
        <v>49497</v>
      </c>
      <c r="C155">
        <v>1</v>
      </c>
      <c r="D155">
        <v>1</v>
      </c>
      <c r="E155">
        <v>20211016</v>
      </c>
      <c r="F155" t="s">
        <v>240</v>
      </c>
      <c r="G155" t="s">
        <v>202</v>
      </c>
      <c r="H155" s="18">
        <v>902.94</v>
      </c>
      <c r="I155" s="18">
        <v>162.53</v>
      </c>
      <c r="J155" s="23">
        <v>0</v>
      </c>
      <c r="K155" s="18">
        <v>0</v>
      </c>
      <c r="L155" s="18">
        <v>0</v>
      </c>
      <c r="M155" s="18">
        <v>740.41</v>
      </c>
      <c r="N155" s="18">
        <v>14.9</v>
      </c>
      <c r="O155" s="18">
        <v>68.62</v>
      </c>
      <c r="P155" s="18">
        <v>1</v>
      </c>
      <c r="Q155" s="18">
        <v>0</v>
      </c>
      <c r="R155" s="18">
        <v>0</v>
      </c>
      <c r="S155" s="18">
        <v>0</v>
      </c>
      <c r="T155" s="18">
        <v>0</v>
      </c>
      <c r="U155" s="18">
        <v>0</v>
      </c>
      <c r="V155" s="18">
        <v>0</v>
      </c>
      <c r="W155" s="18">
        <v>0</v>
      </c>
      <c r="X155" s="18">
        <v>1</v>
      </c>
      <c r="Y155" s="18">
        <v>740.41</v>
      </c>
      <c r="Z155" s="18">
        <v>0</v>
      </c>
      <c r="AA155" s="18"/>
      <c r="AB155" s="18"/>
      <c r="AC155" s="18"/>
      <c r="AD155" s="18"/>
      <c r="AF155" s="18"/>
    </row>
    <row r="156" spans="1:32" hidden="1" x14ac:dyDescent="0.25">
      <c r="A156" t="s">
        <v>241</v>
      </c>
      <c r="B156">
        <v>49498</v>
      </c>
      <c r="C156">
        <v>1</v>
      </c>
      <c r="D156">
        <v>1</v>
      </c>
      <c r="E156">
        <v>20211016</v>
      </c>
      <c r="F156" t="s">
        <v>240</v>
      </c>
      <c r="G156" t="s">
        <v>202</v>
      </c>
      <c r="H156" s="18">
        <v>2.6</v>
      </c>
      <c r="I156" s="18">
        <v>0.47</v>
      </c>
      <c r="J156" s="23">
        <v>0</v>
      </c>
      <c r="K156" s="18">
        <v>0</v>
      </c>
      <c r="L156" s="18">
        <v>0</v>
      </c>
      <c r="M156" s="18">
        <v>2.13</v>
      </c>
      <c r="N156" s="18">
        <v>0.04</v>
      </c>
      <c r="O156" s="18">
        <v>0.2</v>
      </c>
      <c r="P156" s="18">
        <v>1</v>
      </c>
      <c r="Q156" s="18">
        <v>0</v>
      </c>
      <c r="R156" s="18">
        <v>0</v>
      </c>
      <c r="S156" s="18">
        <v>0</v>
      </c>
      <c r="T156" s="18">
        <v>0</v>
      </c>
      <c r="U156" s="18">
        <v>0</v>
      </c>
      <c r="V156" s="18">
        <v>0</v>
      </c>
      <c r="W156" s="18">
        <v>0</v>
      </c>
      <c r="X156" s="18">
        <v>1</v>
      </c>
      <c r="Y156" s="18">
        <v>2.13</v>
      </c>
      <c r="Z156" s="18">
        <v>0</v>
      </c>
      <c r="AA156" s="18"/>
      <c r="AB156" s="18"/>
      <c r="AC156" s="18"/>
      <c r="AD156" s="18"/>
      <c r="AF156" s="18"/>
    </row>
    <row r="157" spans="1:32" hidden="1" x14ac:dyDescent="0.25">
      <c r="A157" t="s">
        <v>241</v>
      </c>
      <c r="B157">
        <v>49499</v>
      </c>
      <c r="C157">
        <v>1</v>
      </c>
      <c r="D157">
        <v>1</v>
      </c>
      <c r="E157">
        <v>20211016</v>
      </c>
      <c r="F157" t="s">
        <v>240</v>
      </c>
      <c r="G157" t="s">
        <v>202</v>
      </c>
      <c r="H157" s="18">
        <v>18.54</v>
      </c>
      <c r="I157" s="18">
        <v>3.34</v>
      </c>
      <c r="J157" s="23">
        <v>0</v>
      </c>
      <c r="K157" s="18">
        <v>0</v>
      </c>
      <c r="L157" s="18">
        <v>0</v>
      </c>
      <c r="M157" s="18">
        <v>15.2</v>
      </c>
      <c r="N157" s="18">
        <v>0.31</v>
      </c>
      <c r="O157" s="18">
        <v>1.41</v>
      </c>
      <c r="P157" s="18">
        <v>1</v>
      </c>
      <c r="Q157" s="18">
        <v>0</v>
      </c>
      <c r="R157" s="18">
        <v>0</v>
      </c>
      <c r="S157" s="18">
        <v>0</v>
      </c>
      <c r="T157" s="18">
        <v>0</v>
      </c>
      <c r="U157" s="18">
        <v>0</v>
      </c>
      <c r="V157" s="18">
        <v>0</v>
      </c>
      <c r="W157" s="18">
        <v>0</v>
      </c>
      <c r="X157" s="18">
        <v>1</v>
      </c>
      <c r="Y157" s="18">
        <v>15.2</v>
      </c>
      <c r="Z157" s="18">
        <v>0</v>
      </c>
      <c r="AA157" s="18"/>
      <c r="AB157" s="18"/>
      <c r="AC157" s="18"/>
      <c r="AD157" s="18"/>
      <c r="AF157" s="18"/>
    </row>
    <row r="158" spans="1:32" hidden="1" x14ac:dyDescent="0.25">
      <c r="A158" t="s">
        <v>241</v>
      </c>
      <c r="B158">
        <v>49500</v>
      </c>
      <c r="C158">
        <v>1</v>
      </c>
      <c r="D158">
        <v>1</v>
      </c>
      <c r="E158">
        <v>20211016</v>
      </c>
      <c r="F158" t="s">
        <v>240</v>
      </c>
      <c r="G158" t="s">
        <v>202</v>
      </c>
      <c r="H158" s="18">
        <v>554.33000000000004</v>
      </c>
      <c r="I158" s="18">
        <v>99.78</v>
      </c>
      <c r="J158" s="23">
        <v>0</v>
      </c>
      <c r="K158" s="18">
        <v>0</v>
      </c>
      <c r="L158" s="18">
        <v>0</v>
      </c>
      <c r="M158" s="18">
        <v>454.55</v>
      </c>
      <c r="N158" s="18">
        <v>9.15</v>
      </c>
      <c r="O158" s="18">
        <v>42.13</v>
      </c>
      <c r="P158" s="18">
        <v>1</v>
      </c>
      <c r="Q158" s="18">
        <v>0</v>
      </c>
      <c r="R158" s="18">
        <v>0</v>
      </c>
      <c r="S158" s="18">
        <v>0</v>
      </c>
      <c r="T158" s="18">
        <v>0</v>
      </c>
      <c r="U158" s="18">
        <v>0</v>
      </c>
      <c r="V158" s="18">
        <v>0</v>
      </c>
      <c r="W158" s="18">
        <v>0</v>
      </c>
      <c r="X158" s="18">
        <v>1</v>
      </c>
      <c r="Y158" s="18">
        <v>454.55</v>
      </c>
      <c r="Z158" s="18">
        <v>0</v>
      </c>
      <c r="AA158" s="18"/>
      <c r="AB158" s="18"/>
      <c r="AC158" s="18"/>
      <c r="AD158" s="18"/>
      <c r="AF158" s="18"/>
    </row>
    <row r="159" spans="1:32" hidden="1" x14ac:dyDescent="0.25">
      <c r="A159" t="s">
        <v>241</v>
      </c>
      <c r="B159">
        <v>49501</v>
      </c>
      <c r="C159">
        <v>1</v>
      </c>
      <c r="D159">
        <v>1</v>
      </c>
      <c r="E159">
        <v>20211016</v>
      </c>
      <c r="F159" t="s">
        <v>240</v>
      </c>
      <c r="G159" t="s">
        <v>202</v>
      </c>
      <c r="H159" s="18">
        <v>2.09</v>
      </c>
      <c r="I159" s="18">
        <v>0.38</v>
      </c>
      <c r="J159" s="23">
        <v>0</v>
      </c>
      <c r="K159" s="18">
        <v>0</v>
      </c>
      <c r="L159" s="18">
        <v>0</v>
      </c>
      <c r="M159" s="18">
        <v>1.71</v>
      </c>
      <c r="N159" s="18">
        <v>0.03</v>
      </c>
      <c r="O159" s="18">
        <v>0.16</v>
      </c>
      <c r="P159" s="18">
        <v>1</v>
      </c>
      <c r="Q159" s="18">
        <v>0</v>
      </c>
      <c r="R159" s="18">
        <v>0</v>
      </c>
      <c r="S159" s="18">
        <v>0</v>
      </c>
      <c r="T159" s="18">
        <v>0</v>
      </c>
      <c r="U159" s="18">
        <v>0</v>
      </c>
      <c r="V159" s="18">
        <v>0</v>
      </c>
      <c r="W159" s="18">
        <v>0</v>
      </c>
      <c r="X159" s="18">
        <v>1</v>
      </c>
      <c r="Y159" s="18">
        <v>1.71</v>
      </c>
      <c r="Z159" s="18">
        <v>0</v>
      </c>
      <c r="AA159" s="18"/>
      <c r="AB159" s="18"/>
      <c r="AC159" s="21"/>
      <c r="AD159" s="18"/>
      <c r="AF159" s="18"/>
    </row>
    <row r="160" spans="1:32" x14ac:dyDescent="0.25">
      <c r="A160" t="s">
        <v>242</v>
      </c>
      <c r="B160">
        <v>805</v>
      </c>
      <c r="C160">
        <v>2</v>
      </c>
      <c r="D160">
        <v>1</v>
      </c>
      <c r="E160">
        <v>20211018</v>
      </c>
      <c r="F160">
        <v>20211018</v>
      </c>
      <c r="G160" t="s">
        <v>202</v>
      </c>
      <c r="H160" s="18">
        <v>1094.0999999999999</v>
      </c>
      <c r="I160" s="18">
        <v>43.76</v>
      </c>
      <c r="J160" s="23">
        <v>0</v>
      </c>
      <c r="K160" s="18">
        <v>0</v>
      </c>
      <c r="L160" s="18">
        <v>0</v>
      </c>
      <c r="M160" s="18">
        <v>1094.0999999999999</v>
      </c>
      <c r="N160" s="18">
        <v>18.05</v>
      </c>
      <c r="O160" s="18">
        <v>83.15</v>
      </c>
      <c r="P160" s="18">
        <v>1</v>
      </c>
      <c r="Q160" s="18">
        <v>43.76</v>
      </c>
      <c r="R160" s="18">
        <v>0</v>
      </c>
      <c r="S160" s="18">
        <v>0</v>
      </c>
      <c r="T160" s="18">
        <v>0</v>
      </c>
      <c r="U160" s="18">
        <v>0</v>
      </c>
      <c r="V160" s="18">
        <v>0</v>
      </c>
      <c r="W160" s="18">
        <v>0</v>
      </c>
      <c r="X160" s="18">
        <v>1</v>
      </c>
      <c r="Y160" s="18">
        <v>1094.0999999999999</v>
      </c>
      <c r="Z160" s="18">
        <v>0</v>
      </c>
      <c r="AA160" s="18"/>
      <c r="AB160" s="18"/>
      <c r="AC160" s="21"/>
      <c r="AD160" s="18"/>
      <c r="AF160" s="18"/>
    </row>
    <row r="161" spans="1:32" x14ac:dyDescent="0.25">
      <c r="A161" t="s">
        <v>242</v>
      </c>
      <c r="B161">
        <v>807</v>
      </c>
      <c r="C161">
        <v>2</v>
      </c>
      <c r="D161">
        <v>1</v>
      </c>
      <c r="E161">
        <v>20211018</v>
      </c>
      <c r="F161">
        <v>20211019</v>
      </c>
      <c r="G161" t="s">
        <v>202</v>
      </c>
      <c r="H161" s="18">
        <v>1094.0999999999999</v>
      </c>
      <c r="I161" s="18">
        <v>43.76</v>
      </c>
      <c r="J161" s="23">
        <v>0</v>
      </c>
      <c r="K161" s="18">
        <v>0</v>
      </c>
      <c r="L161" s="18">
        <v>0</v>
      </c>
      <c r="M161" s="18">
        <v>1094.0999999999999</v>
      </c>
      <c r="N161" s="18">
        <v>18.05</v>
      </c>
      <c r="O161" s="18">
        <v>83.15</v>
      </c>
      <c r="P161" s="18">
        <v>1</v>
      </c>
      <c r="Q161" s="18">
        <v>43.76</v>
      </c>
      <c r="R161" s="18">
        <v>0</v>
      </c>
      <c r="S161" s="18">
        <v>0</v>
      </c>
      <c r="T161" s="18">
        <v>0</v>
      </c>
      <c r="U161" s="18">
        <v>0</v>
      </c>
      <c r="V161" s="18">
        <v>0</v>
      </c>
      <c r="W161" s="18">
        <v>0</v>
      </c>
      <c r="X161" s="18">
        <v>1</v>
      </c>
      <c r="Y161" s="18">
        <v>1094.0999999999999</v>
      </c>
      <c r="Z161" s="18">
        <v>0</v>
      </c>
      <c r="AA161" s="18"/>
      <c r="AB161" s="18"/>
      <c r="AC161" s="21"/>
      <c r="AD161" s="18"/>
      <c r="AF161" s="18"/>
    </row>
    <row r="162" spans="1:32" x14ac:dyDescent="0.25">
      <c r="A162" t="s">
        <v>242</v>
      </c>
      <c r="B162">
        <v>808</v>
      </c>
      <c r="C162">
        <v>2</v>
      </c>
      <c r="D162">
        <v>1</v>
      </c>
      <c r="E162">
        <v>20211019</v>
      </c>
      <c r="F162">
        <v>20211019</v>
      </c>
      <c r="G162" t="s">
        <v>202</v>
      </c>
      <c r="H162" s="18">
        <v>1094.0999999999999</v>
      </c>
      <c r="I162" s="18">
        <v>43.76</v>
      </c>
      <c r="J162" s="23">
        <v>0</v>
      </c>
      <c r="K162" s="18">
        <v>0</v>
      </c>
      <c r="L162" s="18">
        <v>0</v>
      </c>
      <c r="M162" s="18">
        <v>1094.0999999999999</v>
      </c>
      <c r="N162" s="18">
        <v>18.05</v>
      </c>
      <c r="O162" s="18">
        <v>83.15</v>
      </c>
      <c r="P162" s="18">
        <v>1</v>
      </c>
      <c r="Q162" s="18">
        <v>43.76</v>
      </c>
      <c r="R162" s="18">
        <v>0</v>
      </c>
      <c r="S162" s="18">
        <v>0</v>
      </c>
      <c r="T162" s="18">
        <v>0</v>
      </c>
      <c r="U162" s="18">
        <v>0</v>
      </c>
      <c r="V162" s="18">
        <v>0</v>
      </c>
      <c r="W162" s="18">
        <v>0</v>
      </c>
      <c r="X162" s="18">
        <v>1</v>
      </c>
      <c r="Y162" s="18">
        <v>1094.0999999999999</v>
      </c>
      <c r="Z162" s="18">
        <v>0</v>
      </c>
      <c r="AA162" s="18"/>
      <c r="AB162" s="18"/>
      <c r="AC162" s="21"/>
      <c r="AD162" s="18"/>
      <c r="AF162" s="18"/>
    </row>
    <row r="163" spans="1:32" x14ac:dyDescent="0.25">
      <c r="A163" t="s">
        <v>242</v>
      </c>
      <c r="B163">
        <v>809</v>
      </c>
      <c r="C163">
        <v>2</v>
      </c>
      <c r="D163">
        <v>1</v>
      </c>
      <c r="E163">
        <v>20211019</v>
      </c>
      <c r="F163">
        <v>20211019</v>
      </c>
      <c r="G163" t="s">
        <v>202</v>
      </c>
      <c r="H163" s="18">
        <v>1094.0999999999999</v>
      </c>
      <c r="I163" s="18">
        <v>43.76</v>
      </c>
      <c r="J163" s="23">
        <v>0</v>
      </c>
      <c r="K163" s="18">
        <v>0</v>
      </c>
      <c r="L163" s="18">
        <v>0</v>
      </c>
      <c r="M163" s="18">
        <v>1094.0999999999999</v>
      </c>
      <c r="N163" s="18">
        <v>18.05</v>
      </c>
      <c r="O163" s="18">
        <v>83.15</v>
      </c>
      <c r="P163" s="18">
        <v>1</v>
      </c>
      <c r="Q163" s="18">
        <v>43.76</v>
      </c>
      <c r="R163" s="18">
        <v>0</v>
      </c>
      <c r="S163" s="18">
        <v>0</v>
      </c>
      <c r="T163" s="18">
        <v>0</v>
      </c>
      <c r="U163" s="18">
        <v>0</v>
      </c>
      <c r="V163" s="18">
        <v>0</v>
      </c>
      <c r="W163" s="18">
        <v>0</v>
      </c>
      <c r="X163" s="18">
        <v>1</v>
      </c>
      <c r="Y163" s="18">
        <v>1094.0999999999999</v>
      </c>
      <c r="Z163" s="18">
        <v>0</v>
      </c>
      <c r="AA163" s="18"/>
      <c r="AB163" s="18"/>
      <c r="AC163" s="18"/>
      <c r="AD163" s="18"/>
      <c r="AF163" s="18"/>
    </row>
    <row r="164" spans="1:32" hidden="1" x14ac:dyDescent="0.25">
      <c r="A164" t="s">
        <v>241</v>
      </c>
      <c r="B164">
        <v>49552</v>
      </c>
      <c r="C164">
        <v>1</v>
      </c>
      <c r="D164">
        <v>1</v>
      </c>
      <c r="E164">
        <v>20211020</v>
      </c>
      <c r="F164" t="s">
        <v>240</v>
      </c>
      <c r="G164" t="s">
        <v>202</v>
      </c>
      <c r="H164" s="18">
        <v>1553.6</v>
      </c>
      <c r="I164" s="18">
        <v>279.64999999999998</v>
      </c>
      <c r="J164" s="23">
        <v>0</v>
      </c>
      <c r="K164" s="18">
        <v>0</v>
      </c>
      <c r="L164" s="18">
        <v>0</v>
      </c>
      <c r="M164" s="18">
        <v>1273.95</v>
      </c>
      <c r="N164" s="18">
        <v>25.63</v>
      </c>
      <c r="O164" s="18">
        <v>118.07</v>
      </c>
      <c r="P164" s="18">
        <v>1</v>
      </c>
      <c r="Q164" s="18">
        <v>0</v>
      </c>
      <c r="R164" s="18">
        <v>0</v>
      </c>
      <c r="S164" s="18">
        <v>0</v>
      </c>
      <c r="T164" s="18">
        <v>0</v>
      </c>
      <c r="U164" s="18">
        <v>0</v>
      </c>
      <c r="V164" s="18">
        <v>0</v>
      </c>
      <c r="W164" s="18">
        <v>0</v>
      </c>
      <c r="X164" s="18">
        <v>1</v>
      </c>
      <c r="Y164" s="18">
        <v>1273.95</v>
      </c>
      <c r="Z164" s="18">
        <v>0</v>
      </c>
      <c r="AA164" s="18"/>
      <c r="AB164" s="18"/>
      <c r="AC164" s="21"/>
      <c r="AD164" s="18"/>
      <c r="AF164" s="18"/>
    </row>
    <row r="165" spans="1:32" x14ac:dyDescent="0.25">
      <c r="A165" t="s">
        <v>242</v>
      </c>
      <c r="B165">
        <v>818</v>
      </c>
      <c r="C165">
        <v>2</v>
      </c>
      <c r="D165">
        <v>1</v>
      </c>
      <c r="E165">
        <v>20211021</v>
      </c>
      <c r="F165">
        <v>20211021</v>
      </c>
      <c r="G165" t="s">
        <v>202</v>
      </c>
      <c r="H165" s="18">
        <v>1094.0999999999999</v>
      </c>
      <c r="I165" s="18">
        <v>43.76</v>
      </c>
      <c r="J165" s="23">
        <v>0</v>
      </c>
      <c r="K165" s="18">
        <v>0</v>
      </c>
      <c r="L165" s="18">
        <v>0</v>
      </c>
      <c r="M165" s="18">
        <v>1094.0999999999999</v>
      </c>
      <c r="N165" s="18">
        <v>18.05</v>
      </c>
      <c r="O165" s="18">
        <v>83.15</v>
      </c>
      <c r="P165" s="18">
        <v>1</v>
      </c>
      <c r="Q165" s="18">
        <v>43.76</v>
      </c>
      <c r="R165" s="18">
        <v>0</v>
      </c>
      <c r="S165" s="18">
        <v>0</v>
      </c>
      <c r="T165" s="18">
        <v>0</v>
      </c>
      <c r="U165" s="18">
        <v>0</v>
      </c>
      <c r="V165" s="18">
        <v>0</v>
      </c>
      <c r="W165" s="18">
        <v>0</v>
      </c>
      <c r="X165" s="18">
        <v>1</v>
      </c>
      <c r="Y165" s="18">
        <v>1094.0999999999999</v>
      </c>
      <c r="Z165" s="18">
        <v>0</v>
      </c>
      <c r="AA165" s="18"/>
      <c r="AB165" s="18"/>
      <c r="AC165" s="21"/>
      <c r="AD165" s="18"/>
      <c r="AF165" s="18"/>
    </row>
    <row r="166" spans="1:32" x14ac:dyDescent="0.25">
      <c r="A166" t="s">
        <v>242</v>
      </c>
      <c r="B166">
        <v>819</v>
      </c>
      <c r="C166">
        <v>2</v>
      </c>
      <c r="D166">
        <v>1</v>
      </c>
      <c r="E166">
        <v>20211021</v>
      </c>
      <c r="F166">
        <v>20211021</v>
      </c>
      <c r="G166" t="s">
        <v>202</v>
      </c>
      <c r="H166" s="18">
        <v>1094.0999999999999</v>
      </c>
      <c r="I166" s="18">
        <v>43.76</v>
      </c>
      <c r="J166" s="23">
        <v>0</v>
      </c>
      <c r="K166" s="18">
        <v>0</v>
      </c>
      <c r="L166" s="18">
        <v>0</v>
      </c>
      <c r="M166" s="18">
        <v>1094.0999999999999</v>
      </c>
      <c r="N166" s="18">
        <v>18.05</v>
      </c>
      <c r="O166" s="18">
        <v>83.15</v>
      </c>
      <c r="P166" s="18">
        <v>1</v>
      </c>
      <c r="Q166" s="18">
        <v>43.76</v>
      </c>
      <c r="R166" s="18">
        <v>0</v>
      </c>
      <c r="S166" s="18">
        <v>0</v>
      </c>
      <c r="T166" s="18">
        <v>0</v>
      </c>
      <c r="U166" s="18">
        <v>0</v>
      </c>
      <c r="V166" s="18">
        <v>0</v>
      </c>
      <c r="W166" s="18">
        <v>0</v>
      </c>
      <c r="X166" s="18">
        <v>1</v>
      </c>
      <c r="Y166" s="18">
        <v>1094.0999999999999</v>
      </c>
      <c r="Z166" s="18">
        <v>0</v>
      </c>
      <c r="AA166" s="18"/>
      <c r="AB166" s="18"/>
      <c r="AC166" s="18"/>
      <c r="AD166" s="18"/>
      <c r="AF166" s="18"/>
    </row>
    <row r="167" spans="1:32" hidden="1" x14ac:dyDescent="0.25">
      <c r="A167" t="s">
        <v>241</v>
      </c>
      <c r="B167">
        <v>49583</v>
      </c>
      <c r="C167">
        <v>1</v>
      </c>
      <c r="D167">
        <v>1</v>
      </c>
      <c r="E167">
        <v>20211021</v>
      </c>
      <c r="F167" t="s">
        <v>240</v>
      </c>
      <c r="G167" t="s">
        <v>202</v>
      </c>
      <c r="H167" s="18">
        <v>1553.6</v>
      </c>
      <c r="I167" s="18">
        <v>279.64999999999998</v>
      </c>
      <c r="J167" s="23">
        <v>0</v>
      </c>
      <c r="K167" s="18">
        <v>0</v>
      </c>
      <c r="L167" s="18">
        <v>0</v>
      </c>
      <c r="M167" s="18">
        <v>1273.95</v>
      </c>
      <c r="N167" s="18">
        <v>25.63</v>
      </c>
      <c r="O167" s="18">
        <v>118.07</v>
      </c>
      <c r="P167" s="18">
        <v>1</v>
      </c>
      <c r="Q167" s="18">
        <v>0</v>
      </c>
      <c r="R167" s="18">
        <v>0</v>
      </c>
      <c r="S167" s="18">
        <v>0</v>
      </c>
      <c r="T167" s="18">
        <v>0</v>
      </c>
      <c r="U167" s="18">
        <v>0</v>
      </c>
      <c r="V167" s="18">
        <v>0</v>
      </c>
      <c r="W167" s="18">
        <v>0</v>
      </c>
      <c r="X167" s="18">
        <v>1</v>
      </c>
      <c r="Y167" s="18">
        <v>1273.95</v>
      </c>
      <c r="Z167" s="18">
        <v>0</v>
      </c>
      <c r="AA167" s="18"/>
      <c r="AB167" s="18"/>
      <c r="AC167" s="18"/>
      <c r="AD167" s="18"/>
      <c r="AF167" s="18"/>
    </row>
    <row r="168" spans="1:32" hidden="1" x14ac:dyDescent="0.25">
      <c r="A168" t="s">
        <v>241</v>
      </c>
      <c r="B168">
        <v>49584</v>
      </c>
      <c r="C168">
        <v>1</v>
      </c>
      <c r="D168">
        <v>1</v>
      </c>
      <c r="E168">
        <v>20211021</v>
      </c>
      <c r="F168" t="s">
        <v>240</v>
      </c>
      <c r="G168" t="s">
        <v>202</v>
      </c>
      <c r="H168" s="18">
        <v>1553.6</v>
      </c>
      <c r="I168" s="18">
        <v>279.64999999999998</v>
      </c>
      <c r="J168" s="23">
        <v>0</v>
      </c>
      <c r="K168" s="18">
        <v>0</v>
      </c>
      <c r="L168" s="18">
        <v>0</v>
      </c>
      <c r="M168" s="18">
        <v>1273.95</v>
      </c>
      <c r="N168" s="18">
        <v>25.63</v>
      </c>
      <c r="O168" s="18">
        <v>118.07</v>
      </c>
      <c r="P168" s="18">
        <v>1</v>
      </c>
      <c r="Q168" s="18">
        <v>0</v>
      </c>
      <c r="R168" s="18">
        <v>0</v>
      </c>
      <c r="S168" s="18">
        <v>0</v>
      </c>
      <c r="T168" s="18">
        <v>0</v>
      </c>
      <c r="U168" s="18">
        <v>0</v>
      </c>
      <c r="V168" s="18">
        <v>0</v>
      </c>
      <c r="W168" s="18">
        <v>0</v>
      </c>
      <c r="X168" s="18">
        <v>1</v>
      </c>
      <c r="Y168" s="18">
        <v>1273.95</v>
      </c>
      <c r="Z168" s="18">
        <v>0</v>
      </c>
      <c r="AA168" s="18"/>
      <c r="AB168" s="18"/>
      <c r="AC168" s="18"/>
      <c r="AD168" s="18"/>
      <c r="AF168" s="18"/>
    </row>
    <row r="169" spans="1:32" hidden="1" x14ac:dyDescent="0.25">
      <c r="A169" t="s">
        <v>241</v>
      </c>
      <c r="B169">
        <v>49585</v>
      </c>
      <c r="C169">
        <v>1</v>
      </c>
      <c r="D169">
        <v>1</v>
      </c>
      <c r="E169">
        <v>20211021</v>
      </c>
      <c r="F169" t="s">
        <v>240</v>
      </c>
      <c r="G169" t="s">
        <v>202</v>
      </c>
      <c r="H169" s="18">
        <v>1553.6</v>
      </c>
      <c r="I169" s="18">
        <v>279.64999999999998</v>
      </c>
      <c r="J169" s="23">
        <v>0</v>
      </c>
      <c r="K169" s="18">
        <v>0</v>
      </c>
      <c r="L169" s="18">
        <v>0</v>
      </c>
      <c r="M169" s="18">
        <v>1273.95</v>
      </c>
      <c r="N169" s="18">
        <v>25.63</v>
      </c>
      <c r="O169" s="18">
        <v>118.07</v>
      </c>
      <c r="P169" s="18">
        <v>1</v>
      </c>
      <c r="Q169" s="18">
        <v>0</v>
      </c>
      <c r="R169" s="18">
        <v>0</v>
      </c>
      <c r="S169" s="18">
        <v>0</v>
      </c>
      <c r="T169" s="18">
        <v>0</v>
      </c>
      <c r="U169" s="18">
        <v>0</v>
      </c>
      <c r="V169" s="18">
        <v>0</v>
      </c>
      <c r="W169" s="18">
        <v>0</v>
      </c>
      <c r="X169" s="18">
        <v>1</v>
      </c>
      <c r="Y169" s="18">
        <v>1273.95</v>
      </c>
      <c r="Z169" s="18">
        <v>0</v>
      </c>
      <c r="AA169" s="18"/>
      <c r="AB169" s="18"/>
      <c r="AC169" s="21"/>
      <c r="AD169" s="18"/>
      <c r="AF169" s="18"/>
    </row>
    <row r="170" spans="1:32" x14ac:dyDescent="0.25">
      <c r="A170" t="s">
        <v>242</v>
      </c>
      <c r="B170">
        <v>830</v>
      </c>
      <c r="C170">
        <v>2</v>
      </c>
      <c r="D170">
        <v>1</v>
      </c>
      <c r="E170">
        <v>20211022</v>
      </c>
      <c r="F170">
        <v>20211023</v>
      </c>
      <c r="G170" t="s">
        <v>202</v>
      </c>
      <c r="H170" s="18">
        <v>1094.0999999999999</v>
      </c>
      <c r="I170" s="18">
        <v>43.76</v>
      </c>
      <c r="J170" s="23">
        <v>0</v>
      </c>
      <c r="K170" s="18">
        <v>0</v>
      </c>
      <c r="L170" s="18">
        <v>0</v>
      </c>
      <c r="M170" s="18">
        <v>1094.0999999999999</v>
      </c>
      <c r="N170" s="18">
        <v>18.05</v>
      </c>
      <c r="O170" s="18">
        <v>83.15</v>
      </c>
      <c r="P170" s="18">
        <v>1</v>
      </c>
      <c r="Q170" s="18">
        <v>43.76</v>
      </c>
      <c r="R170" s="18">
        <v>0</v>
      </c>
      <c r="S170" s="18">
        <v>0</v>
      </c>
      <c r="T170" s="18">
        <v>0</v>
      </c>
      <c r="U170" s="18">
        <v>0</v>
      </c>
      <c r="V170" s="18">
        <v>0</v>
      </c>
      <c r="W170" s="18">
        <v>0</v>
      </c>
      <c r="X170" s="18">
        <v>1</v>
      </c>
      <c r="Y170" s="18">
        <v>1094.0999999999999</v>
      </c>
      <c r="Z170" s="18">
        <v>0</v>
      </c>
      <c r="AA170" s="18"/>
      <c r="AB170" s="18"/>
      <c r="AC170" s="21"/>
      <c r="AD170" s="18"/>
      <c r="AF170" s="18"/>
    </row>
    <row r="171" spans="1:32" x14ac:dyDescent="0.25">
      <c r="A171" t="s">
        <v>242</v>
      </c>
      <c r="B171">
        <v>831</v>
      </c>
      <c r="C171">
        <v>2</v>
      </c>
      <c r="D171">
        <v>1</v>
      </c>
      <c r="E171">
        <v>20211022</v>
      </c>
      <c r="F171">
        <v>20211023</v>
      </c>
      <c r="G171" t="s">
        <v>202</v>
      </c>
      <c r="H171" s="18">
        <v>1094.0999999999999</v>
      </c>
      <c r="I171" s="18">
        <v>43.76</v>
      </c>
      <c r="J171" s="23">
        <v>0</v>
      </c>
      <c r="K171" s="18">
        <v>0</v>
      </c>
      <c r="L171" s="18">
        <v>0</v>
      </c>
      <c r="M171" s="18">
        <v>1094.0999999999999</v>
      </c>
      <c r="N171" s="18">
        <v>18.05</v>
      </c>
      <c r="O171" s="18">
        <v>83.15</v>
      </c>
      <c r="P171" s="18">
        <v>1</v>
      </c>
      <c r="Q171" s="18">
        <v>43.76</v>
      </c>
      <c r="R171" s="18">
        <v>0</v>
      </c>
      <c r="S171" s="18">
        <v>0</v>
      </c>
      <c r="T171" s="18">
        <v>0</v>
      </c>
      <c r="U171" s="18">
        <v>0</v>
      </c>
      <c r="V171" s="18">
        <v>0</v>
      </c>
      <c r="W171" s="18">
        <v>0</v>
      </c>
      <c r="X171" s="18">
        <v>1</v>
      </c>
      <c r="Y171" s="18">
        <v>1094.0999999999999</v>
      </c>
      <c r="Z171" s="18">
        <v>0</v>
      </c>
      <c r="AA171" s="18"/>
      <c r="AB171" s="18"/>
      <c r="AC171" s="21"/>
      <c r="AD171" s="18"/>
      <c r="AF171" s="18"/>
    </row>
    <row r="172" spans="1:32" x14ac:dyDescent="0.25">
      <c r="A172" t="s">
        <v>242</v>
      </c>
      <c r="B172">
        <v>832</v>
      </c>
      <c r="C172">
        <v>2</v>
      </c>
      <c r="D172">
        <v>1</v>
      </c>
      <c r="E172">
        <v>20211022</v>
      </c>
      <c r="F172">
        <v>20211023</v>
      </c>
      <c r="G172" t="s">
        <v>202</v>
      </c>
      <c r="H172" s="18">
        <v>1094.0999999999999</v>
      </c>
      <c r="I172" s="18">
        <v>43.76</v>
      </c>
      <c r="J172" s="23">
        <v>0</v>
      </c>
      <c r="K172" s="18">
        <v>0</v>
      </c>
      <c r="L172" s="18">
        <v>0</v>
      </c>
      <c r="M172" s="18">
        <v>1094.0999999999999</v>
      </c>
      <c r="N172" s="18">
        <v>18.05</v>
      </c>
      <c r="O172" s="18">
        <v>83.15</v>
      </c>
      <c r="P172" s="18">
        <v>1</v>
      </c>
      <c r="Q172" s="18">
        <v>43.76</v>
      </c>
      <c r="R172" s="18">
        <v>0</v>
      </c>
      <c r="S172" s="18">
        <v>0</v>
      </c>
      <c r="T172" s="18">
        <v>0</v>
      </c>
      <c r="U172" s="18">
        <v>0</v>
      </c>
      <c r="V172" s="18">
        <v>0</v>
      </c>
      <c r="W172" s="18">
        <v>0</v>
      </c>
      <c r="X172" s="18">
        <v>1</v>
      </c>
      <c r="Y172" s="18">
        <v>1094.0999999999999</v>
      </c>
      <c r="Z172" s="18">
        <v>0</v>
      </c>
      <c r="AA172" s="18"/>
      <c r="AB172" s="18"/>
      <c r="AC172" s="18"/>
      <c r="AD172" s="18"/>
      <c r="AF172" s="18"/>
    </row>
    <row r="173" spans="1:32" hidden="1" x14ac:dyDescent="0.25">
      <c r="A173" t="s">
        <v>241</v>
      </c>
      <c r="B173">
        <v>49608</v>
      </c>
      <c r="C173">
        <v>1</v>
      </c>
      <c r="D173">
        <v>1</v>
      </c>
      <c r="E173">
        <v>20211022</v>
      </c>
      <c r="F173" t="s">
        <v>240</v>
      </c>
      <c r="G173" t="s">
        <v>202</v>
      </c>
      <c r="H173" s="18">
        <v>1553.6</v>
      </c>
      <c r="I173" s="18">
        <v>279.64999999999998</v>
      </c>
      <c r="J173" s="23">
        <v>0</v>
      </c>
      <c r="K173" s="18">
        <v>0</v>
      </c>
      <c r="L173" s="18">
        <v>0</v>
      </c>
      <c r="M173" s="18">
        <v>1273.95</v>
      </c>
      <c r="N173" s="18">
        <v>25.63</v>
      </c>
      <c r="O173" s="18">
        <v>118.07</v>
      </c>
      <c r="P173" s="18">
        <v>1</v>
      </c>
      <c r="Q173" s="18">
        <v>0</v>
      </c>
      <c r="R173" s="18">
        <v>0</v>
      </c>
      <c r="S173" s="18">
        <v>0</v>
      </c>
      <c r="T173" s="18">
        <v>0</v>
      </c>
      <c r="U173" s="18">
        <v>0</v>
      </c>
      <c r="V173" s="18">
        <v>0</v>
      </c>
      <c r="W173" s="18">
        <v>0</v>
      </c>
      <c r="X173" s="18">
        <v>1</v>
      </c>
      <c r="Y173" s="18">
        <v>1273.95</v>
      </c>
      <c r="Z173" s="18">
        <v>0</v>
      </c>
      <c r="AA173" s="18"/>
      <c r="AB173" s="18"/>
      <c r="AC173" s="18"/>
      <c r="AD173" s="18"/>
      <c r="AF173" s="18"/>
    </row>
    <row r="174" spans="1:32" hidden="1" x14ac:dyDescent="0.25">
      <c r="A174" t="s">
        <v>241</v>
      </c>
      <c r="B174">
        <v>49609</v>
      </c>
      <c r="C174">
        <v>1</v>
      </c>
      <c r="D174">
        <v>1</v>
      </c>
      <c r="E174">
        <v>20211022</v>
      </c>
      <c r="F174" t="s">
        <v>240</v>
      </c>
      <c r="G174" t="s">
        <v>202</v>
      </c>
      <c r="H174" s="18">
        <v>1553.6</v>
      </c>
      <c r="I174" s="18">
        <v>279.64999999999998</v>
      </c>
      <c r="J174" s="23">
        <v>0</v>
      </c>
      <c r="K174" s="18">
        <v>0</v>
      </c>
      <c r="L174" s="18">
        <v>0</v>
      </c>
      <c r="M174" s="18">
        <v>1273.95</v>
      </c>
      <c r="N174" s="18">
        <v>25.63</v>
      </c>
      <c r="O174" s="18">
        <v>118.07</v>
      </c>
      <c r="P174" s="18">
        <v>1</v>
      </c>
      <c r="Q174" s="18">
        <v>0</v>
      </c>
      <c r="R174" s="18">
        <v>0</v>
      </c>
      <c r="S174" s="18">
        <v>0</v>
      </c>
      <c r="T174" s="18">
        <v>0</v>
      </c>
      <c r="U174" s="18">
        <v>0</v>
      </c>
      <c r="V174" s="18">
        <v>0</v>
      </c>
      <c r="W174" s="18">
        <v>0</v>
      </c>
      <c r="X174" s="18">
        <v>1</v>
      </c>
      <c r="Y174" s="18">
        <v>1273.95</v>
      </c>
      <c r="Z174" s="18">
        <v>0</v>
      </c>
      <c r="AA174" s="18"/>
      <c r="AB174" s="18"/>
      <c r="AC174" s="18"/>
      <c r="AD174" s="18"/>
      <c r="AF174" s="18"/>
    </row>
    <row r="175" spans="1:32" hidden="1" x14ac:dyDescent="0.25">
      <c r="A175" t="s">
        <v>241</v>
      </c>
      <c r="B175">
        <v>49610</v>
      </c>
      <c r="C175">
        <v>1</v>
      </c>
      <c r="D175">
        <v>1</v>
      </c>
      <c r="E175">
        <v>20211022</v>
      </c>
      <c r="F175" t="s">
        <v>240</v>
      </c>
      <c r="G175" t="s">
        <v>202</v>
      </c>
      <c r="H175" s="18">
        <v>1480.49</v>
      </c>
      <c r="I175" s="18">
        <v>266.49</v>
      </c>
      <c r="J175" s="23">
        <v>0</v>
      </c>
      <c r="K175" s="18">
        <v>0</v>
      </c>
      <c r="L175" s="18">
        <v>0</v>
      </c>
      <c r="M175" s="18">
        <v>1214</v>
      </c>
      <c r="N175" s="18">
        <v>24.43</v>
      </c>
      <c r="O175" s="18">
        <v>112.52</v>
      </c>
      <c r="P175" s="18">
        <v>1</v>
      </c>
      <c r="Q175" s="18">
        <v>0</v>
      </c>
      <c r="R175" s="18">
        <v>0</v>
      </c>
      <c r="S175" s="18">
        <v>0</v>
      </c>
      <c r="T175" s="18">
        <v>0</v>
      </c>
      <c r="U175" s="18">
        <v>0</v>
      </c>
      <c r="V175" s="18">
        <v>0</v>
      </c>
      <c r="W175" s="18">
        <v>0</v>
      </c>
      <c r="X175" s="18">
        <v>1</v>
      </c>
      <c r="Y175" s="18">
        <v>1214</v>
      </c>
      <c r="Z175" s="18">
        <v>0</v>
      </c>
      <c r="AA175" s="18"/>
      <c r="AB175" s="18"/>
      <c r="AC175" s="21"/>
      <c r="AD175" s="18"/>
      <c r="AF175" s="18"/>
    </row>
    <row r="176" spans="1:32" x14ac:dyDescent="0.25">
      <c r="A176" t="s">
        <v>242</v>
      </c>
      <c r="B176">
        <v>833</v>
      </c>
      <c r="C176">
        <v>2</v>
      </c>
      <c r="D176">
        <v>1</v>
      </c>
      <c r="E176">
        <v>20211023</v>
      </c>
      <c r="F176">
        <v>20211023</v>
      </c>
      <c r="G176" t="s">
        <v>202</v>
      </c>
      <c r="H176" s="18">
        <v>1094.0999999999999</v>
      </c>
      <c r="I176" s="18">
        <v>43.76</v>
      </c>
      <c r="J176" s="23">
        <v>0</v>
      </c>
      <c r="K176" s="18">
        <v>0</v>
      </c>
      <c r="L176" s="18">
        <v>0</v>
      </c>
      <c r="M176" s="18">
        <v>1094.0999999999999</v>
      </c>
      <c r="N176" s="18">
        <v>18.05</v>
      </c>
      <c r="O176" s="18">
        <v>83.15</v>
      </c>
      <c r="P176" s="18">
        <v>1</v>
      </c>
      <c r="Q176" s="18">
        <v>43.76</v>
      </c>
      <c r="R176" s="18">
        <v>0</v>
      </c>
      <c r="S176" s="18">
        <v>0</v>
      </c>
      <c r="T176" s="18">
        <v>0</v>
      </c>
      <c r="U176" s="18">
        <v>0</v>
      </c>
      <c r="V176" s="18">
        <v>0</v>
      </c>
      <c r="W176" s="18">
        <v>0</v>
      </c>
      <c r="X176" s="18">
        <v>1</v>
      </c>
      <c r="Y176" s="18">
        <v>1094.0999999999999</v>
      </c>
      <c r="Z176" s="18">
        <v>0</v>
      </c>
      <c r="AA176" s="18"/>
      <c r="AB176" s="18"/>
      <c r="AC176" s="21"/>
      <c r="AD176" s="18"/>
      <c r="AF176" s="18"/>
    </row>
    <row r="177" spans="1:32" x14ac:dyDescent="0.25">
      <c r="A177" t="s">
        <v>242</v>
      </c>
      <c r="B177">
        <v>834</v>
      </c>
      <c r="C177">
        <v>2</v>
      </c>
      <c r="D177">
        <v>1</v>
      </c>
      <c r="E177">
        <v>20211025</v>
      </c>
      <c r="F177">
        <v>20211025</v>
      </c>
      <c r="G177" t="s">
        <v>202</v>
      </c>
      <c r="H177" s="18">
        <v>1094.0999999999999</v>
      </c>
      <c r="I177" s="18">
        <v>43.76</v>
      </c>
      <c r="J177" s="23">
        <v>0</v>
      </c>
      <c r="K177" s="18">
        <v>0</v>
      </c>
      <c r="L177" s="18">
        <v>0</v>
      </c>
      <c r="M177" s="18">
        <v>1094.0999999999999</v>
      </c>
      <c r="N177" s="18">
        <v>18.05</v>
      </c>
      <c r="O177" s="18">
        <v>83.15</v>
      </c>
      <c r="P177" s="18">
        <v>1</v>
      </c>
      <c r="Q177" s="18">
        <v>43.76</v>
      </c>
      <c r="R177" s="18">
        <v>0</v>
      </c>
      <c r="S177" s="18">
        <v>0</v>
      </c>
      <c r="T177" s="18">
        <v>0</v>
      </c>
      <c r="U177" s="18">
        <v>0</v>
      </c>
      <c r="V177" s="18">
        <v>0</v>
      </c>
      <c r="W177" s="18">
        <v>0</v>
      </c>
      <c r="X177" s="18">
        <v>1</v>
      </c>
      <c r="Y177" s="18">
        <v>1094.0999999999999</v>
      </c>
      <c r="Z177" s="18">
        <v>0</v>
      </c>
      <c r="AA177" s="18"/>
      <c r="AB177" s="18"/>
      <c r="AC177" s="21"/>
      <c r="AD177" s="18"/>
      <c r="AF177" s="18"/>
    </row>
    <row r="178" spans="1:32" x14ac:dyDescent="0.25">
      <c r="A178" t="s">
        <v>242</v>
      </c>
      <c r="B178">
        <v>835</v>
      </c>
      <c r="C178">
        <v>2</v>
      </c>
      <c r="D178">
        <v>1</v>
      </c>
      <c r="E178">
        <v>20211025</v>
      </c>
      <c r="F178">
        <v>20211025</v>
      </c>
      <c r="G178" t="s">
        <v>202</v>
      </c>
      <c r="H178" s="18">
        <v>1094.0999999999999</v>
      </c>
      <c r="I178" s="18">
        <v>43.76</v>
      </c>
      <c r="J178" s="23">
        <v>0</v>
      </c>
      <c r="K178" s="18">
        <v>0</v>
      </c>
      <c r="L178" s="18">
        <v>0</v>
      </c>
      <c r="M178" s="18">
        <v>1094.0999999999999</v>
      </c>
      <c r="N178" s="18">
        <v>18.05</v>
      </c>
      <c r="O178" s="18">
        <v>83.15</v>
      </c>
      <c r="P178" s="18">
        <v>1</v>
      </c>
      <c r="Q178" s="18">
        <v>43.76</v>
      </c>
      <c r="R178" s="18">
        <v>0</v>
      </c>
      <c r="S178" s="18">
        <v>0</v>
      </c>
      <c r="T178" s="18">
        <v>0</v>
      </c>
      <c r="U178" s="18">
        <v>0</v>
      </c>
      <c r="V178" s="18">
        <v>0</v>
      </c>
      <c r="W178" s="18">
        <v>0</v>
      </c>
      <c r="X178" s="18">
        <v>1</v>
      </c>
      <c r="Y178" s="18">
        <v>1094.0999999999999</v>
      </c>
      <c r="Z178" s="18">
        <v>0</v>
      </c>
      <c r="AA178" s="18"/>
      <c r="AB178" s="18"/>
      <c r="AC178" s="21"/>
      <c r="AD178" s="18"/>
      <c r="AF178" s="18"/>
    </row>
    <row r="179" spans="1:32" x14ac:dyDescent="0.25">
      <c r="A179" t="s">
        <v>242</v>
      </c>
      <c r="B179">
        <v>836</v>
      </c>
      <c r="C179">
        <v>2</v>
      </c>
      <c r="D179">
        <v>1</v>
      </c>
      <c r="E179">
        <v>20211025</v>
      </c>
      <c r="F179">
        <v>20211025</v>
      </c>
      <c r="G179" t="s">
        <v>202</v>
      </c>
      <c r="H179" s="18">
        <v>996</v>
      </c>
      <c r="I179" s="18">
        <v>39.840000000000003</v>
      </c>
      <c r="J179" s="23">
        <v>0</v>
      </c>
      <c r="K179" s="18">
        <v>0</v>
      </c>
      <c r="L179" s="18">
        <v>0</v>
      </c>
      <c r="M179" s="18">
        <v>996</v>
      </c>
      <c r="N179" s="18">
        <v>16.43</v>
      </c>
      <c r="O179" s="18">
        <v>75.7</v>
      </c>
      <c r="P179" s="18">
        <v>1</v>
      </c>
      <c r="Q179" s="18">
        <v>39.840000000000003</v>
      </c>
      <c r="R179" s="18">
        <v>0</v>
      </c>
      <c r="S179" s="18">
        <v>0</v>
      </c>
      <c r="T179" s="18">
        <v>0</v>
      </c>
      <c r="U179" s="18">
        <v>0</v>
      </c>
      <c r="V179" s="18">
        <v>0</v>
      </c>
      <c r="W179" s="18">
        <v>0</v>
      </c>
      <c r="X179" s="18">
        <v>1</v>
      </c>
      <c r="Y179" s="18">
        <v>996</v>
      </c>
      <c r="Z179" s="18">
        <v>0</v>
      </c>
      <c r="AA179" s="18"/>
      <c r="AB179" s="18"/>
      <c r="AC179" s="18"/>
      <c r="AD179" s="18"/>
      <c r="AF179" s="18"/>
    </row>
    <row r="180" spans="1:32" hidden="1" x14ac:dyDescent="0.25">
      <c r="A180" t="s">
        <v>241</v>
      </c>
      <c r="B180">
        <v>49637</v>
      </c>
      <c r="C180">
        <v>1</v>
      </c>
      <c r="D180">
        <v>1</v>
      </c>
      <c r="E180">
        <v>20211026</v>
      </c>
      <c r="F180" t="s">
        <v>240</v>
      </c>
      <c r="G180" t="s">
        <v>213</v>
      </c>
      <c r="H180" s="18">
        <v>782.52</v>
      </c>
      <c r="I180" s="18">
        <v>140.85</v>
      </c>
      <c r="J180" s="23">
        <v>0</v>
      </c>
      <c r="K180" s="18">
        <v>0</v>
      </c>
      <c r="L180" s="18">
        <v>0</v>
      </c>
      <c r="M180" s="18">
        <v>641.66999999999996</v>
      </c>
      <c r="N180" s="18">
        <v>12.91</v>
      </c>
      <c r="O180" s="18">
        <v>59.47</v>
      </c>
      <c r="P180" s="18">
        <v>1</v>
      </c>
      <c r="Q180" s="18">
        <v>0</v>
      </c>
      <c r="R180" s="18">
        <v>0</v>
      </c>
      <c r="S180" s="18">
        <v>0</v>
      </c>
      <c r="T180" s="18">
        <v>0</v>
      </c>
      <c r="U180" s="18">
        <v>0</v>
      </c>
      <c r="V180" s="18">
        <v>0</v>
      </c>
      <c r="W180" s="18">
        <v>0</v>
      </c>
      <c r="X180" s="18">
        <v>1</v>
      </c>
      <c r="Y180" s="18">
        <v>641.66639999999995</v>
      </c>
      <c r="Z180" s="18">
        <v>0</v>
      </c>
      <c r="AA180" s="18"/>
      <c r="AB180" s="18"/>
      <c r="AC180" s="21"/>
      <c r="AD180" s="18"/>
      <c r="AF180" s="18"/>
    </row>
    <row r="181" spans="1:32" x14ac:dyDescent="0.25">
      <c r="A181" t="s">
        <v>242</v>
      </c>
      <c r="B181">
        <v>883</v>
      </c>
      <c r="C181">
        <v>2</v>
      </c>
      <c r="D181">
        <v>1</v>
      </c>
      <c r="E181">
        <v>20211027</v>
      </c>
      <c r="F181">
        <v>20211027</v>
      </c>
      <c r="G181" t="s">
        <v>202</v>
      </c>
      <c r="H181" s="18">
        <v>996</v>
      </c>
      <c r="I181" s="18">
        <v>39.840000000000003</v>
      </c>
      <c r="J181" s="23">
        <v>0</v>
      </c>
      <c r="K181" s="18">
        <v>0</v>
      </c>
      <c r="L181" s="18">
        <v>0</v>
      </c>
      <c r="M181" s="18">
        <v>996</v>
      </c>
      <c r="N181" s="18">
        <v>16.43</v>
      </c>
      <c r="O181" s="18">
        <v>75.7</v>
      </c>
      <c r="P181" s="18">
        <v>1</v>
      </c>
      <c r="Q181" s="18">
        <v>39.840000000000003</v>
      </c>
      <c r="R181" s="18">
        <v>0</v>
      </c>
      <c r="S181" s="18">
        <v>0</v>
      </c>
      <c r="T181" s="18">
        <v>0</v>
      </c>
      <c r="U181" s="18">
        <v>0</v>
      </c>
      <c r="V181" s="18">
        <v>0</v>
      </c>
      <c r="W181" s="18">
        <v>0</v>
      </c>
      <c r="X181" s="18">
        <v>1</v>
      </c>
      <c r="Y181" s="18">
        <v>996</v>
      </c>
      <c r="Z181" s="18">
        <v>0</v>
      </c>
      <c r="AA181" s="18"/>
      <c r="AB181" s="18"/>
      <c r="AC181" s="21"/>
      <c r="AD181" s="18"/>
      <c r="AF181" s="18"/>
    </row>
    <row r="182" spans="1:32" x14ac:dyDescent="0.25">
      <c r="A182" t="s">
        <v>242</v>
      </c>
      <c r="B182">
        <v>887</v>
      </c>
      <c r="C182">
        <v>2</v>
      </c>
      <c r="D182">
        <v>1</v>
      </c>
      <c r="E182">
        <v>20211027</v>
      </c>
      <c r="F182">
        <v>20211027</v>
      </c>
      <c r="G182" t="s">
        <v>202</v>
      </c>
      <c r="H182" s="18">
        <v>1094.0999999999999</v>
      </c>
      <c r="I182" s="18">
        <v>43.76</v>
      </c>
      <c r="J182" s="23">
        <v>0</v>
      </c>
      <c r="K182" s="18">
        <v>0</v>
      </c>
      <c r="L182" s="18">
        <v>0</v>
      </c>
      <c r="M182" s="18">
        <v>1094.0999999999999</v>
      </c>
      <c r="N182" s="18">
        <v>18.05</v>
      </c>
      <c r="O182" s="18">
        <v>83.15</v>
      </c>
      <c r="P182" s="18">
        <v>1</v>
      </c>
      <c r="Q182" s="18">
        <v>43.76</v>
      </c>
      <c r="R182" s="18">
        <v>0</v>
      </c>
      <c r="S182" s="18">
        <v>0</v>
      </c>
      <c r="T182" s="18">
        <v>0</v>
      </c>
      <c r="U182" s="18">
        <v>0</v>
      </c>
      <c r="V182" s="18">
        <v>0</v>
      </c>
      <c r="W182" s="18">
        <v>0</v>
      </c>
      <c r="X182" s="18">
        <v>1</v>
      </c>
      <c r="Y182" s="18">
        <v>1094.0999999999999</v>
      </c>
      <c r="Z182" s="18">
        <v>0</v>
      </c>
      <c r="AA182" s="18"/>
      <c r="AB182" s="18"/>
      <c r="AC182" s="21"/>
      <c r="AD182" s="18"/>
      <c r="AF182" s="18"/>
    </row>
    <row r="183" spans="1:32" x14ac:dyDescent="0.25">
      <c r="A183" t="s">
        <v>242</v>
      </c>
      <c r="B183">
        <v>888</v>
      </c>
      <c r="C183">
        <v>2</v>
      </c>
      <c r="D183">
        <v>1</v>
      </c>
      <c r="E183">
        <v>20211027</v>
      </c>
      <c r="F183">
        <v>20211027</v>
      </c>
      <c r="G183" t="s">
        <v>202</v>
      </c>
      <c r="H183" s="18">
        <v>1094.0999999999999</v>
      </c>
      <c r="I183" s="18">
        <v>43.76</v>
      </c>
      <c r="J183" s="23">
        <v>0</v>
      </c>
      <c r="K183" s="18">
        <v>0</v>
      </c>
      <c r="L183" s="18">
        <v>0</v>
      </c>
      <c r="M183" s="18">
        <v>1094.0999999999999</v>
      </c>
      <c r="N183" s="18">
        <v>18.05</v>
      </c>
      <c r="O183" s="18">
        <v>83.15</v>
      </c>
      <c r="P183" s="18">
        <v>1</v>
      </c>
      <c r="Q183" s="18">
        <v>43.76</v>
      </c>
      <c r="R183" s="18">
        <v>0</v>
      </c>
      <c r="S183" s="18">
        <v>0</v>
      </c>
      <c r="T183" s="18">
        <v>0</v>
      </c>
      <c r="U183" s="18">
        <v>0</v>
      </c>
      <c r="V183" s="18">
        <v>0</v>
      </c>
      <c r="W183" s="18">
        <v>0</v>
      </c>
      <c r="X183" s="18">
        <v>1</v>
      </c>
      <c r="Y183" s="18">
        <v>1094.0999999999999</v>
      </c>
      <c r="Z183" s="18">
        <v>0</v>
      </c>
      <c r="AA183" s="18"/>
      <c r="AB183" s="18"/>
      <c r="AC183" s="21"/>
      <c r="AD183" s="18"/>
      <c r="AF183" s="18"/>
    </row>
    <row r="184" spans="1:32" x14ac:dyDescent="0.25">
      <c r="A184" t="s">
        <v>242</v>
      </c>
      <c r="B184">
        <v>902</v>
      </c>
      <c r="C184">
        <v>2</v>
      </c>
      <c r="D184">
        <v>1</v>
      </c>
      <c r="E184">
        <v>20211028</v>
      </c>
      <c r="F184">
        <v>20211029</v>
      </c>
      <c r="G184" t="s">
        <v>202</v>
      </c>
      <c r="H184" s="18">
        <v>1094.0999999999999</v>
      </c>
      <c r="I184" s="18">
        <v>43.76</v>
      </c>
      <c r="J184" s="23">
        <v>0</v>
      </c>
      <c r="K184" s="18">
        <v>0</v>
      </c>
      <c r="L184" s="18">
        <v>0</v>
      </c>
      <c r="M184" s="18">
        <v>1094.0999999999999</v>
      </c>
      <c r="N184" s="18">
        <v>18.05</v>
      </c>
      <c r="O184" s="18">
        <v>83.15</v>
      </c>
      <c r="P184" s="18">
        <v>1</v>
      </c>
      <c r="Q184" s="18">
        <v>43.76</v>
      </c>
      <c r="R184" s="18">
        <v>0</v>
      </c>
      <c r="S184" s="18">
        <v>0</v>
      </c>
      <c r="T184" s="18">
        <v>0</v>
      </c>
      <c r="U184" s="18">
        <v>0</v>
      </c>
      <c r="V184" s="18">
        <v>0</v>
      </c>
      <c r="W184" s="18">
        <v>0</v>
      </c>
      <c r="X184" s="18">
        <v>1</v>
      </c>
      <c r="Y184" s="18">
        <v>1094.0999999999999</v>
      </c>
      <c r="Z184" s="18">
        <v>0</v>
      </c>
      <c r="AA184" s="18"/>
      <c r="AB184" s="18"/>
      <c r="AC184" s="21"/>
      <c r="AD184" s="18"/>
      <c r="AF184" s="18"/>
    </row>
    <row r="185" spans="1:32" x14ac:dyDescent="0.25">
      <c r="A185" t="s">
        <v>242</v>
      </c>
      <c r="B185">
        <v>903</v>
      </c>
      <c r="C185">
        <v>2</v>
      </c>
      <c r="D185">
        <v>1</v>
      </c>
      <c r="E185">
        <v>20211028</v>
      </c>
      <c r="F185">
        <v>20211029</v>
      </c>
      <c r="G185" t="s">
        <v>202</v>
      </c>
      <c r="H185" s="18">
        <v>1094.0999999999999</v>
      </c>
      <c r="I185" s="18">
        <v>43.76</v>
      </c>
      <c r="J185" s="23">
        <v>0</v>
      </c>
      <c r="K185" s="18">
        <v>0</v>
      </c>
      <c r="L185" s="18">
        <v>0</v>
      </c>
      <c r="M185" s="18">
        <v>1094.0999999999999</v>
      </c>
      <c r="N185" s="18">
        <v>18.05</v>
      </c>
      <c r="O185" s="18">
        <v>83.15</v>
      </c>
      <c r="P185" s="18">
        <v>1</v>
      </c>
      <c r="Q185" s="18">
        <v>43.76</v>
      </c>
      <c r="R185" s="18">
        <v>0</v>
      </c>
      <c r="S185" s="18">
        <v>0</v>
      </c>
      <c r="T185" s="18">
        <v>0</v>
      </c>
      <c r="U185" s="18">
        <v>0</v>
      </c>
      <c r="V185" s="18">
        <v>0</v>
      </c>
      <c r="W185" s="18">
        <v>0</v>
      </c>
      <c r="X185" s="18">
        <v>1</v>
      </c>
      <c r="Y185" s="18">
        <v>1094.0999999999999</v>
      </c>
      <c r="Z185" s="18">
        <v>0</v>
      </c>
      <c r="AA185" s="18"/>
      <c r="AB185" s="18"/>
      <c r="AC185" s="21"/>
      <c r="AD185" s="18"/>
      <c r="AF185" s="18"/>
    </row>
    <row r="186" spans="1:32" x14ac:dyDescent="0.25">
      <c r="A186" t="s">
        <v>242</v>
      </c>
      <c r="B186">
        <v>904</v>
      </c>
      <c r="C186">
        <v>2</v>
      </c>
      <c r="D186">
        <v>1</v>
      </c>
      <c r="E186">
        <v>20211028</v>
      </c>
      <c r="F186">
        <v>20211029</v>
      </c>
      <c r="G186" t="s">
        <v>202</v>
      </c>
      <c r="H186" s="18">
        <v>1094.0999999999999</v>
      </c>
      <c r="I186" s="18">
        <v>43.76</v>
      </c>
      <c r="J186" s="23">
        <v>0</v>
      </c>
      <c r="K186" s="18">
        <v>0</v>
      </c>
      <c r="L186" s="18">
        <v>0</v>
      </c>
      <c r="M186" s="18">
        <v>1094.0999999999999</v>
      </c>
      <c r="N186" s="18">
        <v>18.05</v>
      </c>
      <c r="O186" s="18">
        <v>83.15</v>
      </c>
      <c r="P186" s="18">
        <v>1</v>
      </c>
      <c r="Q186" s="18">
        <v>43.76</v>
      </c>
      <c r="R186" s="18">
        <v>0</v>
      </c>
      <c r="S186" s="18">
        <v>0</v>
      </c>
      <c r="T186" s="18">
        <v>0</v>
      </c>
      <c r="U186" s="18">
        <v>0</v>
      </c>
      <c r="V186" s="18">
        <v>0</v>
      </c>
      <c r="W186" s="18">
        <v>0</v>
      </c>
      <c r="X186" s="18">
        <v>1</v>
      </c>
      <c r="Y186" s="18">
        <v>1094.0999999999999</v>
      </c>
      <c r="Z186" s="18">
        <v>0</v>
      </c>
      <c r="AA186" s="18"/>
      <c r="AB186" s="18"/>
      <c r="AC186" s="18"/>
      <c r="AD186" s="18"/>
      <c r="AF186" s="18"/>
    </row>
    <row r="187" spans="1:32" hidden="1" x14ac:dyDescent="0.25">
      <c r="A187" t="s">
        <v>241</v>
      </c>
      <c r="B187">
        <v>49684</v>
      </c>
      <c r="C187">
        <v>1</v>
      </c>
      <c r="D187">
        <v>1</v>
      </c>
      <c r="E187">
        <v>20211028</v>
      </c>
      <c r="F187" t="s">
        <v>240</v>
      </c>
      <c r="G187" t="s">
        <v>213</v>
      </c>
      <c r="H187" s="18">
        <v>2856.2</v>
      </c>
      <c r="I187" s="18">
        <v>514.12</v>
      </c>
      <c r="J187" s="23">
        <v>0</v>
      </c>
      <c r="K187" s="18">
        <v>0</v>
      </c>
      <c r="L187" s="18">
        <v>0</v>
      </c>
      <c r="M187" s="18">
        <v>2342.08</v>
      </c>
      <c r="N187" s="18">
        <v>47.13</v>
      </c>
      <c r="O187" s="18">
        <v>217.07</v>
      </c>
      <c r="P187" s="18">
        <v>1</v>
      </c>
      <c r="Q187" s="18">
        <v>0</v>
      </c>
      <c r="R187" s="18">
        <v>0</v>
      </c>
      <c r="S187" s="18">
        <v>0</v>
      </c>
      <c r="T187" s="18">
        <v>0</v>
      </c>
      <c r="U187" s="18">
        <v>0</v>
      </c>
      <c r="V187" s="18">
        <v>0</v>
      </c>
      <c r="W187" s="18">
        <v>0</v>
      </c>
      <c r="X187" s="18">
        <v>1</v>
      </c>
      <c r="Y187" s="18">
        <v>2342.0839999999998</v>
      </c>
      <c r="Z187" s="18">
        <v>0</v>
      </c>
      <c r="AA187" s="18"/>
      <c r="AB187" s="18"/>
      <c r="AC187" s="18"/>
      <c r="AD187" s="18"/>
      <c r="AF187" s="18"/>
    </row>
    <row r="188" spans="1:32" hidden="1" x14ac:dyDescent="0.25">
      <c r="A188" t="s">
        <v>241</v>
      </c>
      <c r="B188">
        <v>49685</v>
      </c>
      <c r="C188">
        <v>1</v>
      </c>
      <c r="D188">
        <v>1</v>
      </c>
      <c r="E188">
        <v>20211028</v>
      </c>
      <c r="F188" t="s">
        <v>240</v>
      </c>
      <c r="G188" t="s">
        <v>213</v>
      </c>
      <c r="H188" s="18">
        <v>2850.61</v>
      </c>
      <c r="I188" s="18">
        <v>513.11</v>
      </c>
      <c r="J188" s="23">
        <v>0</v>
      </c>
      <c r="K188" s="18">
        <v>0</v>
      </c>
      <c r="L188" s="18">
        <v>0</v>
      </c>
      <c r="M188" s="18">
        <v>2337.5</v>
      </c>
      <c r="N188" s="18">
        <v>47.04</v>
      </c>
      <c r="O188" s="18">
        <v>216.65</v>
      </c>
      <c r="P188" s="18">
        <v>1</v>
      </c>
      <c r="Q188" s="18">
        <v>0</v>
      </c>
      <c r="R188" s="18">
        <v>0</v>
      </c>
      <c r="S188" s="18">
        <v>0</v>
      </c>
      <c r="T188" s="18">
        <v>0</v>
      </c>
      <c r="U188" s="18">
        <v>0</v>
      </c>
      <c r="V188" s="18">
        <v>0</v>
      </c>
      <c r="W188" s="18">
        <v>0</v>
      </c>
      <c r="X188" s="18">
        <v>1</v>
      </c>
      <c r="Y188" s="18">
        <v>2337.5001999999999</v>
      </c>
      <c r="Z188" s="18">
        <v>0</v>
      </c>
      <c r="AA188" s="18"/>
      <c r="AB188" s="18"/>
      <c r="AC188" s="18"/>
      <c r="AD188" s="18"/>
      <c r="AF188" s="18"/>
    </row>
    <row r="189" spans="1:32" hidden="1" x14ac:dyDescent="0.25">
      <c r="A189" t="s">
        <v>241</v>
      </c>
      <c r="B189">
        <v>49687</v>
      </c>
      <c r="C189">
        <v>1</v>
      </c>
      <c r="D189">
        <v>1</v>
      </c>
      <c r="E189">
        <v>20211028</v>
      </c>
      <c r="F189" t="s">
        <v>240</v>
      </c>
      <c r="G189" t="s">
        <v>213</v>
      </c>
      <c r="H189" s="18">
        <v>2895.33</v>
      </c>
      <c r="I189" s="18">
        <v>521.16</v>
      </c>
      <c r="J189" s="23">
        <v>0</v>
      </c>
      <c r="K189" s="18">
        <v>0</v>
      </c>
      <c r="L189" s="18">
        <v>0</v>
      </c>
      <c r="M189" s="18">
        <v>2374.17</v>
      </c>
      <c r="N189" s="18">
        <v>47.77</v>
      </c>
      <c r="O189" s="18">
        <v>220.05</v>
      </c>
      <c r="P189" s="18">
        <v>1</v>
      </c>
      <c r="Q189" s="18">
        <v>0</v>
      </c>
      <c r="R189" s="18">
        <v>0</v>
      </c>
      <c r="S189" s="18">
        <v>0</v>
      </c>
      <c r="T189" s="18">
        <v>0</v>
      </c>
      <c r="U189" s="18">
        <v>0</v>
      </c>
      <c r="V189" s="18">
        <v>0</v>
      </c>
      <c r="W189" s="18">
        <v>0</v>
      </c>
      <c r="X189" s="18">
        <v>1</v>
      </c>
      <c r="Y189" s="18">
        <v>2374.1705999999999</v>
      </c>
      <c r="Z189" s="18">
        <v>0</v>
      </c>
      <c r="AA189" s="18"/>
      <c r="AB189" s="18"/>
      <c r="AC189" s="18"/>
      <c r="AD189" s="18"/>
      <c r="AF189" s="18"/>
    </row>
    <row r="190" spans="1:32" hidden="1" x14ac:dyDescent="0.25">
      <c r="A190" t="s">
        <v>241</v>
      </c>
      <c r="B190">
        <v>49688</v>
      </c>
      <c r="C190">
        <v>1</v>
      </c>
      <c r="D190">
        <v>1</v>
      </c>
      <c r="E190">
        <v>20211028</v>
      </c>
      <c r="F190" t="s">
        <v>240</v>
      </c>
      <c r="G190" t="s">
        <v>213</v>
      </c>
      <c r="H190" s="18">
        <v>1262.0899999999999</v>
      </c>
      <c r="I190" s="18">
        <v>227.18</v>
      </c>
      <c r="J190" s="23">
        <v>0</v>
      </c>
      <c r="K190" s="18">
        <v>0</v>
      </c>
      <c r="L190" s="18">
        <v>0</v>
      </c>
      <c r="M190" s="18">
        <v>1034.9100000000001</v>
      </c>
      <c r="N190" s="18">
        <v>20.82</v>
      </c>
      <c r="O190" s="18">
        <v>95.92</v>
      </c>
      <c r="P190" s="18">
        <v>1</v>
      </c>
      <c r="Q190" s="18">
        <v>0</v>
      </c>
      <c r="R190" s="18">
        <v>0</v>
      </c>
      <c r="S190" s="18">
        <v>0</v>
      </c>
      <c r="T190" s="18">
        <v>0</v>
      </c>
      <c r="U190" s="18">
        <v>0</v>
      </c>
      <c r="V190" s="18">
        <v>0</v>
      </c>
      <c r="W190" s="18">
        <v>0</v>
      </c>
      <c r="X190" s="18">
        <v>1</v>
      </c>
      <c r="Y190" s="18">
        <v>1034.9138</v>
      </c>
      <c r="Z190" s="18">
        <v>0</v>
      </c>
      <c r="AA190" s="18"/>
      <c r="AB190" s="18"/>
      <c r="AC190" s="18"/>
      <c r="AD190" s="18"/>
      <c r="AF190" s="18"/>
    </row>
    <row r="191" spans="1:32" hidden="1" x14ac:dyDescent="0.25">
      <c r="A191" t="s">
        <v>241</v>
      </c>
      <c r="B191">
        <v>49690</v>
      </c>
      <c r="C191">
        <v>1</v>
      </c>
      <c r="D191">
        <v>1</v>
      </c>
      <c r="E191">
        <v>20211028</v>
      </c>
      <c r="F191" t="s">
        <v>240</v>
      </c>
      <c r="G191" t="s">
        <v>213</v>
      </c>
      <c r="H191" s="18">
        <v>1464.43</v>
      </c>
      <c r="I191" s="18">
        <v>263.60000000000002</v>
      </c>
      <c r="J191" s="23">
        <v>0</v>
      </c>
      <c r="K191" s="18">
        <v>0</v>
      </c>
      <c r="L191" s="18">
        <v>0</v>
      </c>
      <c r="M191" s="18">
        <v>1200.83</v>
      </c>
      <c r="N191" s="18">
        <v>24.16</v>
      </c>
      <c r="O191" s="18">
        <v>111.3</v>
      </c>
      <c r="P191" s="18">
        <v>1</v>
      </c>
      <c r="Q191" s="18">
        <v>0</v>
      </c>
      <c r="R191" s="18">
        <v>0</v>
      </c>
      <c r="S191" s="18">
        <v>0</v>
      </c>
      <c r="T191" s="18">
        <v>0</v>
      </c>
      <c r="U191" s="18">
        <v>0</v>
      </c>
      <c r="V191" s="18">
        <v>0</v>
      </c>
      <c r="W191" s="18">
        <v>0</v>
      </c>
      <c r="X191" s="18">
        <v>1</v>
      </c>
      <c r="Y191" s="18">
        <v>1200.8326</v>
      </c>
      <c r="Z191" s="18">
        <v>0</v>
      </c>
      <c r="AA191" s="18"/>
      <c r="AB191" s="18"/>
      <c r="AC191" s="18"/>
      <c r="AD191" s="18"/>
      <c r="AF191" s="18"/>
    </row>
    <row r="192" spans="1:32" hidden="1" x14ac:dyDescent="0.25">
      <c r="A192" t="s">
        <v>241</v>
      </c>
      <c r="B192">
        <v>49691</v>
      </c>
      <c r="C192">
        <v>1</v>
      </c>
      <c r="D192">
        <v>1</v>
      </c>
      <c r="E192">
        <v>20211028</v>
      </c>
      <c r="F192" t="s">
        <v>240</v>
      </c>
      <c r="G192" t="s">
        <v>213</v>
      </c>
      <c r="H192" s="18">
        <v>67.069999999999993</v>
      </c>
      <c r="I192" s="18">
        <v>12.07</v>
      </c>
      <c r="J192" s="23">
        <v>0</v>
      </c>
      <c r="K192" s="18">
        <v>0</v>
      </c>
      <c r="L192" s="18">
        <v>0</v>
      </c>
      <c r="M192" s="18">
        <v>55</v>
      </c>
      <c r="N192" s="18">
        <v>1.1100000000000001</v>
      </c>
      <c r="O192" s="18">
        <v>5.0999999999999996</v>
      </c>
      <c r="P192" s="18">
        <v>1</v>
      </c>
      <c r="Q192" s="18">
        <v>0</v>
      </c>
      <c r="R192" s="18">
        <v>0</v>
      </c>
      <c r="S192" s="18">
        <v>0</v>
      </c>
      <c r="T192" s="18">
        <v>0</v>
      </c>
      <c r="U192" s="18">
        <v>0</v>
      </c>
      <c r="V192" s="18">
        <v>0</v>
      </c>
      <c r="W192" s="18">
        <v>0</v>
      </c>
      <c r="X192" s="18">
        <v>1</v>
      </c>
      <c r="Y192" s="18">
        <v>54.997399999999999</v>
      </c>
      <c r="Z192" s="18">
        <v>0</v>
      </c>
      <c r="AA192" s="18"/>
      <c r="AB192" s="18"/>
      <c r="AC192" s="18"/>
      <c r="AD192" s="18"/>
      <c r="AF192" s="18"/>
    </row>
    <row r="193" spans="1:32" hidden="1" x14ac:dyDescent="0.25">
      <c r="A193" t="s">
        <v>241</v>
      </c>
      <c r="B193">
        <v>49692</v>
      </c>
      <c r="C193">
        <v>1</v>
      </c>
      <c r="D193">
        <v>1</v>
      </c>
      <c r="E193">
        <v>20211028</v>
      </c>
      <c r="F193" t="s">
        <v>240</v>
      </c>
      <c r="G193" t="s">
        <v>213</v>
      </c>
      <c r="H193" s="18">
        <v>67.069999999999993</v>
      </c>
      <c r="I193" s="18">
        <v>12.07</v>
      </c>
      <c r="J193" s="23">
        <v>0</v>
      </c>
      <c r="K193" s="18">
        <v>0</v>
      </c>
      <c r="L193" s="18">
        <v>0</v>
      </c>
      <c r="M193" s="18">
        <v>55</v>
      </c>
      <c r="N193" s="18">
        <v>1.1100000000000001</v>
      </c>
      <c r="O193" s="18">
        <v>5.0999999999999996</v>
      </c>
      <c r="P193" s="18">
        <v>1</v>
      </c>
      <c r="Q193" s="18">
        <v>0</v>
      </c>
      <c r="R193" s="18">
        <v>0</v>
      </c>
      <c r="S193" s="18">
        <v>0</v>
      </c>
      <c r="T193" s="18">
        <v>0</v>
      </c>
      <c r="U193" s="18">
        <v>0</v>
      </c>
      <c r="V193" s="18">
        <v>0</v>
      </c>
      <c r="W193" s="18">
        <v>0</v>
      </c>
      <c r="X193" s="18">
        <v>1</v>
      </c>
      <c r="Y193" s="18">
        <v>54.997399999999999</v>
      </c>
      <c r="Z193" s="18">
        <v>0</v>
      </c>
      <c r="AA193" s="18"/>
      <c r="AB193" s="18"/>
      <c r="AC193" s="18"/>
      <c r="AD193" s="18"/>
      <c r="AF193" s="18"/>
    </row>
    <row r="194" spans="1:32" hidden="1" x14ac:dyDescent="0.25">
      <c r="A194" t="s">
        <v>241</v>
      </c>
      <c r="B194">
        <v>49693</v>
      </c>
      <c r="C194">
        <v>1</v>
      </c>
      <c r="D194">
        <v>1</v>
      </c>
      <c r="E194">
        <v>20211028</v>
      </c>
      <c r="F194" t="s">
        <v>240</v>
      </c>
      <c r="G194" t="s">
        <v>213</v>
      </c>
      <c r="H194" s="18">
        <v>1810.98</v>
      </c>
      <c r="I194" s="18">
        <v>325.98</v>
      </c>
      <c r="J194" s="23">
        <v>0</v>
      </c>
      <c r="K194" s="18">
        <v>0</v>
      </c>
      <c r="L194" s="18">
        <v>0</v>
      </c>
      <c r="M194" s="18">
        <v>1485</v>
      </c>
      <c r="N194" s="18">
        <v>29.88</v>
      </c>
      <c r="O194" s="18">
        <v>137.63</v>
      </c>
      <c r="P194" s="18">
        <v>1</v>
      </c>
      <c r="Q194" s="18">
        <v>0</v>
      </c>
      <c r="R194" s="18">
        <v>0</v>
      </c>
      <c r="S194" s="18">
        <v>0</v>
      </c>
      <c r="T194" s="18">
        <v>0</v>
      </c>
      <c r="U194" s="18">
        <v>0</v>
      </c>
      <c r="V194" s="18">
        <v>0</v>
      </c>
      <c r="W194" s="18">
        <v>0</v>
      </c>
      <c r="X194" s="18">
        <v>1</v>
      </c>
      <c r="Y194" s="18">
        <v>1485.0036</v>
      </c>
      <c r="Z194" s="18">
        <v>0</v>
      </c>
      <c r="AA194" s="18"/>
      <c r="AB194" s="18"/>
      <c r="AC194" s="18"/>
      <c r="AD194" s="18"/>
      <c r="AF194" s="18"/>
    </row>
    <row r="195" spans="1:32" hidden="1" x14ac:dyDescent="0.25">
      <c r="A195" t="s">
        <v>241</v>
      </c>
      <c r="B195">
        <v>49728</v>
      </c>
      <c r="C195">
        <v>1</v>
      </c>
      <c r="D195">
        <v>1</v>
      </c>
      <c r="E195">
        <v>20211030</v>
      </c>
      <c r="F195" t="s">
        <v>240</v>
      </c>
      <c r="G195" t="s">
        <v>202</v>
      </c>
      <c r="H195" s="18">
        <v>13.59</v>
      </c>
      <c r="I195" s="18">
        <v>2.4500000000000002</v>
      </c>
      <c r="J195" s="23">
        <v>0</v>
      </c>
      <c r="K195" s="18">
        <v>0</v>
      </c>
      <c r="L195" s="18">
        <v>0</v>
      </c>
      <c r="M195" s="18">
        <v>11.14</v>
      </c>
      <c r="N195" s="18">
        <v>0.22</v>
      </c>
      <c r="O195" s="18">
        <v>1.03</v>
      </c>
      <c r="P195" s="18">
        <v>1</v>
      </c>
      <c r="Q195" s="18">
        <v>0</v>
      </c>
      <c r="R195" s="18">
        <v>0</v>
      </c>
      <c r="S195" s="18">
        <v>0</v>
      </c>
      <c r="T195" s="18">
        <v>0</v>
      </c>
      <c r="U195" s="18">
        <v>0</v>
      </c>
      <c r="V195" s="18">
        <v>0</v>
      </c>
      <c r="W195" s="18">
        <v>0</v>
      </c>
      <c r="X195" s="18">
        <v>1</v>
      </c>
      <c r="Y195" s="18">
        <v>11.14</v>
      </c>
      <c r="Z195" s="18">
        <v>0</v>
      </c>
      <c r="AA195" s="18"/>
      <c r="AB195" s="18"/>
      <c r="AC195" s="18"/>
      <c r="AD195" s="18"/>
      <c r="AF195" s="18"/>
    </row>
    <row r="196" spans="1:32" hidden="1" x14ac:dyDescent="0.25">
      <c r="A196" t="s">
        <v>241</v>
      </c>
      <c r="B196">
        <v>49729</v>
      </c>
      <c r="C196">
        <v>1</v>
      </c>
      <c r="D196">
        <v>1</v>
      </c>
      <c r="E196">
        <v>20211030</v>
      </c>
      <c r="F196" t="s">
        <v>240</v>
      </c>
      <c r="G196" t="s">
        <v>202</v>
      </c>
      <c r="H196" s="18">
        <v>663.55</v>
      </c>
      <c r="I196" s="18">
        <v>119.44</v>
      </c>
      <c r="J196" s="23">
        <v>0</v>
      </c>
      <c r="K196" s="18">
        <v>0</v>
      </c>
      <c r="L196" s="18">
        <v>0</v>
      </c>
      <c r="M196" s="18">
        <v>544.11</v>
      </c>
      <c r="N196" s="18">
        <v>10.95</v>
      </c>
      <c r="O196" s="18">
        <v>50.43</v>
      </c>
      <c r="P196" s="18">
        <v>1</v>
      </c>
      <c r="Q196" s="18">
        <v>0</v>
      </c>
      <c r="R196" s="18">
        <v>0</v>
      </c>
      <c r="S196" s="18">
        <v>0</v>
      </c>
      <c r="T196" s="18">
        <v>0</v>
      </c>
      <c r="U196" s="18">
        <v>0</v>
      </c>
      <c r="V196" s="18">
        <v>0</v>
      </c>
      <c r="W196" s="18">
        <v>0</v>
      </c>
      <c r="X196" s="18">
        <v>1</v>
      </c>
      <c r="Y196" s="18">
        <v>544.11</v>
      </c>
      <c r="Z196" s="18">
        <v>0</v>
      </c>
      <c r="AA196" s="18"/>
      <c r="AB196" s="18"/>
      <c r="AC196" s="18"/>
      <c r="AD196" s="18"/>
      <c r="AF196" s="18"/>
    </row>
    <row r="197" spans="1:32" hidden="1" x14ac:dyDescent="0.25">
      <c r="A197" t="s">
        <v>241</v>
      </c>
      <c r="B197">
        <v>49730</v>
      </c>
      <c r="C197">
        <v>1</v>
      </c>
      <c r="D197">
        <v>1</v>
      </c>
      <c r="E197">
        <v>20211030</v>
      </c>
      <c r="F197" t="s">
        <v>240</v>
      </c>
      <c r="G197" t="s">
        <v>202</v>
      </c>
      <c r="H197" s="18">
        <v>0.76</v>
      </c>
      <c r="I197" s="18">
        <v>0.14000000000000001</v>
      </c>
      <c r="J197" s="23">
        <v>0</v>
      </c>
      <c r="K197" s="18">
        <v>0</v>
      </c>
      <c r="L197" s="18">
        <v>0</v>
      </c>
      <c r="M197" s="18">
        <v>0.62</v>
      </c>
      <c r="N197" s="18">
        <v>0.01</v>
      </c>
      <c r="O197" s="18">
        <v>0.06</v>
      </c>
      <c r="P197" s="18">
        <v>1</v>
      </c>
      <c r="Q197" s="18">
        <v>0</v>
      </c>
      <c r="R197" s="18">
        <v>0</v>
      </c>
      <c r="S197" s="18">
        <v>0</v>
      </c>
      <c r="T197" s="18">
        <v>0</v>
      </c>
      <c r="U197" s="18">
        <v>0</v>
      </c>
      <c r="V197" s="18">
        <v>0</v>
      </c>
      <c r="W197" s="18">
        <v>0</v>
      </c>
      <c r="X197" s="18">
        <v>1</v>
      </c>
      <c r="Y197" s="18">
        <v>0.62</v>
      </c>
      <c r="Z197" s="18">
        <v>0</v>
      </c>
      <c r="AA197" s="18"/>
      <c r="AB197" s="18"/>
      <c r="AC197" s="18"/>
      <c r="AD197" s="18"/>
      <c r="AF197" s="18"/>
    </row>
    <row r="198" spans="1:32" hidden="1" x14ac:dyDescent="0.25">
      <c r="A198" t="s">
        <v>241</v>
      </c>
      <c r="B198">
        <v>49731</v>
      </c>
      <c r="C198">
        <v>1</v>
      </c>
      <c r="D198">
        <v>1</v>
      </c>
      <c r="E198">
        <v>20211030</v>
      </c>
      <c r="F198" t="s">
        <v>240</v>
      </c>
      <c r="G198" t="s">
        <v>202</v>
      </c>
      <c r="H198" s="18">
        <v>6.01</v>
      </c>
      <c r="I198" s="18">
        <v>1.08</v>
      </c>
      <c r="J198" s="23">
        <v>0</v>
      </c>
      <c r="K198" s="18">
        <v>0</v>
      </c>
      <c r="L198" s="18">
        <v>0</v>
      </c>
      <c r="M198" s="18">
        <v>4.93</v>
      </c>
      <c r="N198" s="18">
        <v>0.1</v>
      </c>
      <c r="O198" s="18">
        <v>0.46</v>
      </c>
      <c r="P198" s="18">
        <v>1</v>
      </c>
      <c r="Q198" s="18">
        <v>0</v>
      </c>
      <c r="R198" s="18">
        <v>0</v>
      </c>
      <c r="S198" s="18">
        <v>0</v>
      </c>
      <c r="T198" s="18">
        <v>0</v>
      </c>
      <c r="U198" s="18">
        <v>0</v>
      </c>
      <c r="V198" s="18">
        <v>0</v>
      </c>
      <c r="W198" s="18">
        <v>0</v>
      </c>
      <c r="X198" s="18">
        <v>1</v>
      </c>
      <c r="Y198" s="18">
        <v>4.93</v>
      </c>
      <c r="Z198" s="18">
        <v>0</v>
      </c>
      <c r="AA198" s="18"/>
      <c r="AB198" s="18"/>
      <c r="AC198" s="18"/>
      <c r="AD198" s="18"/>
      <c r="AF198" s="18"/>
    </row>
    <row r="199" spans="1:32" hidden="1" x14ac:dyDescent="0.25">
      <c r="A199" t="s">
        <v>241</v>
      </c>
      <c r="B199">
        <v>49732</v>
      </c>
      <c r="C199">
        <v>1</v>
      </c>
      <c r="D199">
        <v>1</v>
      </c>
      <c r="E199">
        <v>20211030</v>
      </c>
      <c r="F199" t="s">
        <v>240</v>
      </c>
      <c r="G199" t="s">
        <v>202</v>
      </c>
      <c r="H199" s="18">
        <v>46.23</v>
      </c>
      <c r="I199" s="18">
        <v>8.32</v>
      </c>
      <c r="J199" s="23">
        <v>0</v>
      </c>
      <c r="K199" s="18">
        <v>0</v>
      </c>
      <c r="L199" s="18">
        <v>0</v>
      </c>
      <c r="M199" s="18">
        <v>37.909999999999997</v>
      </c>
      <c r="N199" s="18">
        <v>0.76</v>
      </c>
      <c r="O199" s="18">
        <v>3.51</v>
      </c>
      <c r="P199" s="18">
        <v>1</v>
      </c>
      <c r="Q199" s="18">
        <v>0</v>
      </c>
      <c r="R199" s="18">
        <v>0</v>
      </c>
      <c r="S199" s="18">
        <v>0</v>
      </c>
      <c r="T199" s="18">
        <v>0</v>
      </c>
      <c r="U199" s="18">
        <v>0</v>
      </c>
      <c r="V199" s="18">
        <v>0</v>
      </c>
      <c r="W199" s="18">
        <v>0</v>
      </c>
      <c r="X199" s="18">
        <v>1</v>
      </c>
      <c r="Y199" s="18">
        <v>37.909999999999997</v>
      </c>
      <c r="Z199" s="18">
        <v>0</v>
      </c>
      <c r="AA199" s="18"/>
      <c r="AB199" s="18"/>
      <c r="AC199" s="18"/>
      <c r="AD199" s="18"/>
      <c r="AF199" s="18"/>
    </row>
    <row r="200" spans="1:32" hidden="1" x14ac:dyDescent="0.25">
      <c r="A200" t="s">
        <v>241</v>
      </c>
      <c r="B200">
        <v>49733</v>
      </c>
      <c r="C200">
        <v>1</v>
      </c>
      <c r="D200">
        <v>1</v>
      </c>
      <c r="E200">
        <v>20211030</v>
      </c>
      <c r="F200" t="s">
        <v>240</v>
      </c>
      <c r="G200" t="s">
        <v>202</v>
      </c>
      <c r="H200" s="18">
        <v>382.01</v>
      </c>
      <c r="I200" s="18">
        <v>68.760000000000005</v>
      </c>
      <c r="J200" s="23">
        <v>0</v>
      </c>
      <c r="K200" s="18">
        <v>0</v>
      </c>
      <c r="L200" s="18">
        <v>0</v>
      </c>
      <c r="M200" s="18">
        <v>313.25</v>
      </c>
      <c r="N200" s="18">
        <v>6.3</v>
      </c>
      <c r="O200" s="18">
        <v>29.03</v>
      </c>
      <c r="P200" s="18">
        <v>1</v>
      </c>
      <c r="Q200" s="18">
        <v>0</v>
      </c>
      <c r="R200" s="18">
        <v>0</v>
      </c>
      <c r="S200" s="18">
        <v>0</v>
      </c>
      <c r="T200" s="18">
        <v>0</v>
      </c>
      <c r="U200" s="18">
        <v>0</v>
      </c>
      <c r="V200" s="18">
        <v>0</v>
      </c>
      <c r="W200" s="18">
        <v>0</v>
      </c>
      <c r="X200" s="18">
        <v>1</v>
      </c>
      <c r="Y200" s="18">
        <v>313.25</v>
      </c>
      <c r="Z200" s="18">
        <v>0</v>
      </c>
      <c r="AA200" s="18"/>
      <c r="AB200" s="18"/>
      <c r="AC200" s="18"/>
      <c r="AD200" s="18"/>
      <c r="AF200" s="18"/>
    </row>
    <row r="201" spans="1:32" hidden="1" x14ac:dyDescent="0.25">
      <c r="A201" t="s">
        <v>241</v>
      </c>
      <c r="B201">
        <v>49734</v>
      </c>
      <c r="C201">
        <v>1</v>
      </c>
      <c r="D201">
        <v>1</v>
      </c>
      <c r="E201">
        <v>20211030</v>
      </c>
      <c r="F201" t="s">
        <v>240</v>
      </c>
      <c r="G201" t="s">
        <v>202</v>
      </c>
      <c r="H201" s="18">
        <v>338.71</v>
      </c>
      <c r="I201" s="18">
        <v>60.97</v>
      </c>
      <c r="J201" s="23">
        <v>0</v>
      </c>
      <c r="K201" s="18">
        <v>0</v>
      </c>
      <c r="L201" s="18">
        <v>0</v>
      </c>
      <c r="M201" s="18">
        <v>277.74</v>
      </c>
      <c r="N201" s="18">
        <v>5.59</v>
      </c>
      <c r="O201" s="18">
        <v>25.74</v>
      </c>
      <c r="P201" s="18">
        <v>1</v>
      </c>
      <c r="Q201" s="18">
        <v>0</v>
      </c>
      <c r="R201" s="18">
        <v>0</v>
      </c>
      <c r="S201" s="18">
        <v>0</v>
      </c>
      <c r="T201" s="18">
        <v>0</v>
      </c>
      <c r="U201" s="18">
        <v>0</v>
      </c>
      <c r="V201" s="18">
        <v>0</v>
      </c>
      <c r="W201" s="18">
        <v>0</v>
      </c>
      <c r="X201" s="18">
        <v>1</v>
      </c>
      <c r="Y201" s="18">
        <v>277.74</v>
      </c>
      <c r="Z201" s="18">
        <v>0</v>
      </c>
      <c r="AA201" s="18"/>
      <c r="AB201" s="18"/>
      <c r="AC201" s="18"/>
      <c r="AD201" s="18"/>
      <c r="AF201" s="18"/>
    </row>
    <row r="202" spans="1:32" hidden="1" x14ac:dyDescent="0.25">
      <c r="A202" t="s">
        <v>241</v>
      </c>
      <c r="B202">
        <v>49735</v>
      </c>
      <c r="C202">
        <v>1</v>
      </c>
      <c r="D202">
        <v>1</v>
      </c>
      <c r="E202">
        <v>20211030</v>
      </c>
      <c r="F202" t="s">
        <v>240</v>
      </c>
      <c r="G202" t="s">
        <v>202</v>
      </c>
      <c r="H202" s="18">
        <v>11.33</v>
      </c>
      <c r="I202" s="18">
        <v>2.04</v>
      </c>
      <c r="J202" s="23">
        <v>0</v>
      </c>
      <c r="K202" s="18">
        <v>0</v>
      </c>
      <c r="L202" s="18">
        <v>0</v>
      </c>
      <c r="M202" s="18">
        <v>9.2899999999999991</v>
      </c>
      <c r="N202" s="18">
        <v>0.19</v>
      </c>
      <c r="O202" s="18">
        <v>0.86</v>
      </c>
      <c r="P202" s="18">
        <v>1</v>
      </c>
      <c r="Q202" s="18">
        <v>0</v>
      </c>
      <c r="R202" s="18">
        <v>0</v>
      </c>
      <c r="S202" s="18">
        <v>0</v>
      </c>
      <c r="T202" s="18">
        <v>0</v>
      </c>
      <c r="U202" s="18">
        <v>0</v>
      </c>
      <c r="V202" s="18">
        <v>0</v>
      </c>
      <c r="W202" s="18">
        <v>0</v>
      </c>
      <c r="X202" s="18">
        <v>1</v>
      </c>
      <c r="Y202" s="18">
        <v>9.2899999999999991</v>
      </c>
      <c r="Z202" s="18">
        <v>0</v>
      </c>
      <c r="AA202" s="18"/>
      <c r="AB202" s="18"/>
      <c r="AC202" s="18"/>
      <c r="AD202" s="18"/>
      <c r="AF202" s="18"/>
    </row>
    <row r="203" spans="1:32" hidden="1" x14ac:dyDescent="0.25">
      <c r="A203" t="s">
        <v>241</v>
      </c>
      <c r="B203">
        <v>49736</v>
      </c>
      <c r="C203">
        <v>1</v>
      </c>
      <c r="D203">
        <v>1</v>
      </c>
      <c r="E203">
        <v>20211030</v>
      </c>
      <c r="F203" t="s">
        <v>240</v>
      </c>
      <c r="G203" t="s">
        <v>202</v>
      </c>
      <c r="H203" s="18">
        <v>18.3</v>
      </c>
      <c r="I203" s="18">
        <v>3.29</v>
      </c>
      <c r="J203" s="23">
        <v>0</v>
      </c>
      <c r="K203" s="18">
        <v>0</v>
      </c>
      <c r="L203" s="18">
        <v>0</v>
      </c>
      <c r="M203" s="18">
        <v>15.01</v>
      </c>
      <c r="N203" s="18">
        <v>0.3</v>
      </c>
      <c r="O203" s="18">
        <v>1.39</v>
      </c>
      <c r="P203" s="18">
        <v>1</v>
      </c>
      <c r="Q203" s="18">
        <v>0</v>
      </c>
      <c r="R203" s="18">
        <v>0</v>
      </c>
      <c r="S203" s="18">
        <v>0</v>
      </c>
      <c r="T203" s="18">
        <v>0</v>
      </c>
      <c r="U203" s="18">
        <v>0</v>
      </c>
      <c r="V203" s="18">
        <v>0</v>
      </c>
      <c r="W203" s="18">
        <v>0</v>
      </c>
      <c r="X203" s="18">
        <v>1</v>
      </c>
      <c r="Y203" s="18">
        <v>15.01</v>
      </c>
      <c r="Z203" s="18">
        <v>0</v>
      </c>
      <c r="AA203" s="19"/>
      <c r="AB203" s="19"/>
      <c r="AC203" s="22"/>
      <c r="AD203" s="19"/>
      <c r="AF203" s="19"/>
    </row>
    <row r="204" spans="1:32" x14ac:dyDescent="0.25">
      <c r="A204" t="s">
        <v>184</v>
      </c>
      <c r="H204" s="18">
        <f>SUBTOTAL(109,Tabela4[VL_FATURAMENTO_TOTAL])</f>
        <v>30480.709999999985</v>
      </c>
      <c r="I204" s="18">
        <f>SUBTOTAL(109,Tabela4[VL_ICMS_FATURAMENTO])</f>
        <v>1446.8899999999999</v>
      </c>
      <c r="J204" s="18">
        <f>SUBTOTAL(109,Tabela4[VL_IPI_FATURAMENTO])</f>
        <v>0</v>
      </c>
      <c r="K204" s="18">
        <f>SUBTOTAL(109,Tabela4[VL_FRETE_NF])</f>
        <v>0</v>
      </c>
      <c r="L204" s="18">
        <f>SUBTOTAL(109,Tabela4[VL_DESPESA])</f>
        <v>0</v>
      </c>
      <c r="M204" s="18">
        <f>SUBTOTAL(109,Tabela4[VL_FATURAMENTO_MERCADORIA])</f>
        <v>30187.899999999987</v>
      </c>
      <c r="N204" s="18">
        <f>SUBTOTAL(109,Tabela4[VL_PIS_FATURAMENTO])</f>
        <v>502.85000000000025</v>
      </c>
      <c r="O204" s="18">
        <f>SUBTOTAL(109,Tabela4[VL_COFINS_FATURAMENTO])</f>
        <v>2316.5300000000011</v>
      </c>
      <c r="P204" s="18">
        <f>SUBTOTAL(109,Tabela4[QTD_FATURADA_ITEM])</f>
        <v>28</v>
      </c>
      <c r="Q204" s="18">
        <f>SUBTOTAL(109,Tabela4[VL_ISS_FATURAMENTO])</f>
        <v>1154.08</v>
      </c>
      <c r="R204" s="18">
        <f>SUBTOTAL(109,Tabela4[VL_ICMS_SUBST_FATURAMENTO])</f>
        <v>0</v>
      </c>
      <c r="S204" s="18">
        <f>SUBTOTAL(109,Tabela4[VL_DESCONTO_FATURAMENTO])</f>
        <v>0</v>
      </c>
      <c r="T204" s="18">
        <f>SUBTOTAL(109,Tabela4[VL_IRF_FATURAMENTO])</f>
        <v>0</v>
      </c>
      <c r="U204" s="18">
        <f>SUBTOTAL(109,Tabela4[VL_INSS_FATURAMENTO])</f>
        <v>0</v>
      </c>
      <c r="V204" s="18">
        <f>SUBTOTAL(109,Tabela4[PESO_LIQUIDO])</f>
        <v>0</v>
      </c>
      <c r="W204" s="18">
        <f>SUBTOTAL(109,Tabela4[PESO_BRUTO])</f>
        <v>0</v>
      </c>
      <c r="X204" s="18">
        <f>SUBTOTAL(109,Tabela4[QTD])</f>
        <v>28</v>
      </c>
      <c r="Y204" s="18">
        <f>SUBTOTAL(109,Tabela4[VL_UNITARIO])</f>
        <v>30187.899999999987</v>
      </c>
      <c r="Z204" s="18">
        <f>SUBTOTAL(109,Tabela4[VL_SEGURO])</f>
        <v>0</v>
      </c>
    </row>
  </sheetData>
  <pageMargins left="0" right="0" top="0" bottom="0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1. $ Faturamento bruto</vt:lpstr>
      <vt:lpstr>Analitico - Itens</vt:lpstr>
      <vt:lpstr>'1. $ Faturamento bruto'!Titulos_de_impressao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cp:lastPrinted>2021-11-24T16:54:37Z</cp:lastPrinted>
  <dcterms:created xsi:type="dcterms:W3CDTF">2021-11-23T18:01:53Z</dcterms:created>
  <dcterms:modified xsi:type="dcterms:W3CDTF">2021-11-29T19:53:00Z</dcterms:modified>
</cp:coreProperties>
</file>