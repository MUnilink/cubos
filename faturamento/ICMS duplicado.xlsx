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0" yWindow="0" windowWidth="20490" windowHeight="7635"/>
  </bookViews>
  <sheets>
    <sheet name="1. TESTE (COM) Descrição dos..." sheetId="1" r:id="rId1"/>
  </sheets>
  <definedNames>
    <definedName name="_xlnm.Print_Titles" localSheetId="0">'1. TESTE (COM) Descrição dos...'!$A:$E,'1. TESTE (COM) Descrição dos...'!$1:$1</definedName>
  </definedNames>
  <calcPr calcId="152511"/>
</workbook>
</file>

<file path=xl/calcChain.xml><?xml version="1.0" encoding="utf-8"?>
<calcChain xmlns="http://schemas.openxmlformats.org/spreadsheetml/2006/main">
  <c r="K47" i="1" l="1"/>
  <c r="K48" i="1"/>
  <c r="K8" i="1"/>
  <c r="K17" i="1"/>
  <c r="K41" i="1"/>
  <c r="K42" i="1"/>
  <c r="K49" i="1"/>
  <c r="K53" i="1"/>
  <c r="K57" i="1"/>
  <c r="K15" i="1"/>
  <c r="K20" i="1"/>
  <c r="K31" i="1"/>
  <c r="K43" i="1"/>
  <c r="K44" i="1"/>
  <c r="K45" i="1"/>
  <c r="K46" i="1"/>
  <c r="K50" i="1"/>
  <c r="K51" i="1"/>
  <c r="K52" i="1"/>
  <c r="K54" i="1"/>
  <c r="K55" i="1"/>
  <c r="K56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3" i="1"/>
  <c r="K74" i="1"/>
  <c r="K2" i="1"/>
  <c r="K3" i="1"/>
  <c r="K4" i="1"/>
  <c r="K5" i="1"/>
  <c r="K6" i="1"/>
  <c r="K7" i="1"/>
  <c r="K9" i="1"/>
  <c r="K10" i="1"/>
  <c r="K11" i="1"/>
  <c r="K12" i="1"/>
  <c r="K13" i="1"/>
  <c r="K14" i="1"/>
  <c r="K18" i="1"/>
  <c r="K19" i="1"/>
  <c r="K21" i="1"/>
  <c r="K22" i="1"/>
  <c r="K23" i="1"/>
  <c r="K24" i="1"/>
  <c r="K25" i="1"/>
  <c r="K26" i="1"/>
  <c r="K27" i="1"/>
  <c r="K28" i="1"/>
  <c r="K29" i="1"/>
  <c r="K30" i="1"/>
  <c r="K32" i="1"/>
  <c r="K33" i="1"/>
  <c r="K34" i="1"/>
  <c r="K35" i="1"/>
  <c r="K36" i="1"/>
  <c r="K37" i="1"/>
  <c r="K38" i="1"/>
  <c r="K39" i="1"/>
  <c r="K40" i="1"/>
  <c r="K71" i="1"/>
  <c r="K72" i="1"/>
  <c r="K16" i="1"/>
  <c r="K75" i="1"/>
  <c r="K76" i="1"/>
  <c r="K77" i="1"/>
  <c r="K79" i="1"/>
  <c r="K80" i="1"/>
  <c r="K81" i="1"/>
  <c r="K82" i="1"/>
  <c r="K83" i="1"/>
  <c r="K84" i="1"/>
  <c r="K85" i="1"/>
  <c r="K86" i="1"/>
  <c r="K87" i="1"/>
  <c r="K89" i="1"/>
  <c r="K90" i="1"/>
  <c r="K91" i="1"/>
  <c r="K93" i="1"/>
  <c r="K94" i="1"/>
  <c r="K95" i="1"/>
  <c r="K96" i="1"/>
  <c r="K97" i="1"/>
  <c r="K98" i="1"/>
  <c r="K99" i="1"/>
  <c r="K100" i="1"/>
  <c r="K101" i="1"/>
  <c r="K102" i="1"/>
  <c r="K103" i="1"/>
  <c r="K104" i="1"/>
  <c r="K78" i="1"/>
  <c r="K88" i="1"/>
  <c r="K92" i="1"/>
  <c r="K116" i="1"/>
  <c r="K117" i="1"/>
  <c r="K118" i="1"/>
  <c r="K119" i="1"/>
  <c r="K120" i="1"/>
  <c r="K121" i="1"/>
  <c r="K122" i="1"/>
  <c r="K123" i="1"/>
  <c r="K124" i="1"/>
  <c r="K125" i="1"/>
  <c r="K105" i="1"/>
  <c r="K106" i="1"/>
  <c r="K107" i="1"/>
  <c r="K108" i="1"/>
  <c r="K109" i="1"/>
  <c r="K110" i="1"/>
  <c r="K111" i="1"/>
  <c r="K112" i="1"/>
  <c r="K113" i="1"/>
  <c r="K114" i="1"/>
  <c r="K115" i="1"/>
  <c r="K126" i="1"/>
  <c r="K128" i="1"/>
  <c r="K129" i="1"/>
  <c r="K130" i="1"/>
  <c r="K131" i="1"/>
  <c r="K132" i="1"/>
  <c r="K133" i="1"/>
  <c r="K134" i="1"/>
  <c r="K135" i="1"/>
  <c r="K136" i="1"/>
  <c r="K137" i="1"/>
  <c r="K138" i="1"/>
  <c r="K127" i="1"/>
  <c r="K140" i="1"/>
  <c r="K141" i="1"/>
  <c r="K142" i="1"/>
  <c r="K144" i="1"/>
  <c r="K146" i="1"/>
  <c r="K148" i="1"/>
  <c r="K149" i="1"/>
  <c r="K150" i="1"/>
  <c r="K151" i="1"/>
  <c r="K152" i="1"/>
  <c r="K153" i="1"/>
  <c r="K155" i="1"/>
  <c r="K156" i="1"/>
  <c r="K157" i="1"/>
  <c r="K158" i="1"/>
  <c r="K159" i="1"/>
  <c r="K160" i="1"/>
  <c r="K162" i="1"/>
  <c r="K163" i="1"/>
  <c r="K164" i="1"/>
  <c r="K165" i="1"/>
  <c r="K139" i="1"/>
  <c r="K143" i="1"/>
  <c r="K145" i="1"/>
  <c r="K147" i="1"/>
  <c r="K154" i="1"/>
  <c r="K161" i="1"/>
  <c r="K166" i="1"/>
  <c r="K168" i="1"/>
  <c r="K169" i="1"/>
  <c r="K170" i="1"/>
  <c r="K171" i="1"/>
  <c r="K172" i="1"/>
  <c r="K173" i="1"/>
  <c r="K174" i="1"/>
  <c r="K175" i="1"/>
  <c r="K176" i="1"/>
  <c r="K177" i="1"/>
  <c r="K179" i="1"/>
  <c r="K180" i="1"/>
  <c r="K181" i="1"/>
  <c r="K182" i="1"/>
  <c r="K183" i="1"/>
  <c r="K184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7" i="1"/>
  <c r="K208" i="1"/>
  <c r="K209" i="1"/>
  <c r="K210" i="1"/>
  <c r="K211" i="1"/>
  <c r="K212" i="1"/>
  <c r="K213" i="1"/>
  <c r="K167" i="1"/>
  <c r="K185" i="1"/>
  <c r="K186" i="1"/>
  <c r="K204" i="1"/>
  <c r="K205" i="1"/>
  <c r="K206" i="1"/>
  <c r="K178" i="1"/>
  <c r="K187" i="1"/>
  <c r="K203" i="1"/>
  <c r="K214" i="1"/>
  <c r="K215" i="1"/>
  <c r="K216" i="1"/>
  <c r="K217" i="1"/>
  <c r="K218" i="1"/>
  <c r="K219" i="1"/>
  <c r="K220" i="1"/>
  <c r="K221" i="1"/>
  <c r="K227" i="1"/>
  <c r="K228" i="1"/>
  <c r="K229" i="1"/>
  <c r="K230" i="1"/>
  <c r="K231" i="1"/>
  <c r="K232" i="1"/>
  <c r="K233" i="1"/>
  <c r="K223" i="1"/>
  <c r="K224" i="1"/>
  <c r="K225" i="1"/>
  <c r="K226" i="1"/>
  <c r="K234" i="1"/>
  <c r="K222" i="1"/>
  <c r="K236" i="1"/>
  <c r="K237" i="1"/>
  <c r="K238" i="1"/>
  <c r="K239" i="1"/>
  <c r="K245" i="1"/>
  <c r="K246" i="1"/>
  <c r="K247" i="1"/>
  <c r="K248" i="1"/>
  <c r="K243" i="1"/>
  <c r="K244" i="1"/>
  <c r="K240" i="1"/>
  <c r="K241" i="1"/>
  <c r="K250" i="1"/>
  <c r="K235" i="1"/>
  <c r="K242" i="1"/>
  <c r="K249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6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284" i="1"/>
  <c r="K285" i="1"/>
  <c r="K287" i="1"/>
  <c r="K288" i="1"/>
  <c r="K301" i="1"/>
  <c r="K302" i="1"/>
  <c r="K303" i="1"/>
  <c r="K304" i="1"/>
  <c r="K305" i="1"/>
  <c r="K306" i="1"/>
  <c r="K307" i="1"/>
  <c r="K327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26" i="1"/>
  <c r="K328" i="1"/>
  <c r="K329" i="1"/>
  <c r="K330" i="1"/>
  <c r="K380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84" i="1"/>
  <c r="K385" i="1"/>
  <c r="K386" i="1"/>
  <c r="K387" i="1"/>
  <c r="K388" i="1"/>
  <c r="K389" i="1"/>
  <c r="K379" i="1"/>
  <c r="K381" i="1"/>
  <c r="K382" i="1"/>
  <c r="K383" i="1"/>
  <c r="K444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7" i="1"/>
  <c r="K438" i="1"/>
  <c r="K439" i="1"/>
  <c r="K440" i="1"/>
  <c r="K441" i="1"/>
  <c r="K442" i="1"/>
  <c r="K443" i="1"/>
  <c r="K390" i="1"/>
  <c r="K391" i="1"/>
  <c r="K416" i="1"/>
  <c r="K417" i="1"/>
  <c r="K435" i="1"/>
  <c r="K436" i="1"/>
  <c r="K445" i="1" l="1"/>
  <c r="E445" i="1"/>
  <c r="F445" i="1"/>
  <c r="G445" i="1"/>
  <c r="H445" i="1"/>
  <c r="I445" i="1"/>
  <c r="J445" i="1"/>
</calcChain>
</file>

<file path=xl/sharedStrings.xml><?xml version="1.0" encoding="utf-8"?>
<sst xmlns="http://schemas.openxmlformats.org/spreadsheetml/2006/main" count="2227" uniqueCount="477">
  <si>
    <t>Mês</t>
  </si>
  <si>
    <t>Cliente</t>
  </si>
  <si>
    <t>Loja</t>
  </si>
  <si>
    <t>Série</t>
  </si>
  <si>
    <t>Número</t>
  </si>
  <si>
    <t>$ Imposto ICMS do faturamento</t>
  </si>
  <si>
    <t>$ ICMS</t>
  </si>
  <si>
    <t>$ ICMS sem ISS</t>
  </si>
  <si>
    <t>$ ICMS por NF</t>
  </si>
  <si>
    <t>$ ISS</t>
  </si>
  <si>
    <t>Jan 2021</t>
  </si>
  <si>
    <t>ALIANCA NAVEGACAO E LOGISTICA LTDA.</t>
  </si>
  <si>
    <t>0001</t>
  </si>
  <si>
    <t>002</t>
  </si>
  <si>
    <t>000000172</t>
  </si>
  <si>
    <t>000000173</t>
  </si>
  <si>
    <t>0012</t>
  </si>
  <si>
    <t>000000113</t>
  </si>
  <si>
    <t>000000128</t>
  </si>
  <si>
    <t>000000165</t>
  </si>
  <si>
    <t>000000166</t>
  </si>
  <si>
    <t>000000187</t>
  </si>
  <si>
    <t>000000191</t>
  </si>
  <si>
    <t>000000199</t>
  </si>
  <si>
    <t>0018</t>
  </si>
  <si>
    <t>000000124</t>
  </si>
  <si>
    <t>000000135</t>
  </si>
  <si>
    <t>000000147</t>
  </si>
  <si>
    <t>000000168</t>
  </si>
  <si>
    <t>000000169</t>
  </si>
  <si>
    <t>000000170</t>
  </si>
  <si>
    <t>000000171</t>
  </si>
  <si>
    <t>000000188</t>
  </si>
  <si>
    <t>000000189</t>
  </si>
  <si>
    <t>000000190</t>
  </si>
  <si>
    <t>000000196</t>
  </si>
  <si>
    <t>000000197</t>
  </si>
  <si>
    <t>000000198</t>
  </si>
  <si>
    <t>000000200</t>
  </si>
  <si>
    <t>000000201</t>
  </si>
  <si>
    <t>000000203</t>
  </si>
  <si>
    <t>000000204</t>
  </si>
  <si>
    <t>000000205</t>
  </si>
  <si>
    <t>000000206</t>
  </si>
  <si>
    <t>000000207</t>
  </si>
  <si>
    <t>000000208</t>
  </si>
  <si>
    <t>000000209</t>
  </si>
  <si>
    <t>000000211</t>
  </si>
  <si>
    <t>000000213</t>
  </si>
  <si>
    <t>000000214</t>
  </si>
  <si>
    <t>000000215</t>
  </si>
  <si>
    <t>000000219</t>
  </si>
  <si>
    <t>000000220</t>
  </si>
  <si>
    <t>MERCOSUL LINE NAVEGACAO E LOGISTICA LTDA</t>
  </si>
  <si>
    <t>0003</t>
  </si>
  <si>
    <t>000000105</t>
  </si>
  <si>
    <t>000000107</t>
  </si>
  <si>
    <t>000000108</t>
  </si>
  <si>
    <t>000000109</t>
  </si>
  <si>
    <t>000000111</t>
  </si>
  <si>
    <t>000000112</t>
  </si>
  <si>
    <t>000000115</t>
  </si>
  <si>
    <t>000000116</t>
  </si>
  <si>
    <t>000000117</t>
  </si>
  <si>
    <t>000000119</t>
  </si>
  <si>
    <t>000000122</t>
  </si>
  <si>
    <t>000000123</t>
  </si>
  <si>
    <t>000000132</t>
  </si>
  <si>
    <t>000000134</t>
  </si>
  <si>
    <t>000000136</t>
  </si>
  <si>
    <t>000000137</t>
  </si>
  <si>
    <t>000000138</t>
  </si>
  <si>
    <t>000000139</t>
  </si>
  <si>
    <t>000000140</t>
  </si>
  <si>
    <t>000000141</t>
  </si>
  <si>
    <t>000000142</t>
  </si>
  <si>
    <t>000000143</t>
  </si>
  <si>
    <t>000000144</t>
  </si>
  <si>
    <t>000000145</t>
  </si>
  <si>
    <t>000000148</t>
  </si>
  <si>
    <t>000000149</t>
  </si>
  <si>
    <t>000000150</t>
  </si>
  <si>
    <t>000000151</t>
  </si>
  <si>
    <t>000000152</t>
  </si>
  <si>
    <t>000000153</t>
  </si>
  <si>
    <t>000000154</t>
  </si>
  <si>
    <t>000000159</t>
  </si>
  <si>
    <t>000000160</t>
  </si>
  <si>
    <t>000000216</t>
  </si>
  <si>
    <t>000000218</t>
  </si>
  <si>
    <t>PONTES INDUSTRIA DE CERA LTDA</t>
  </si>
  <si>
    <t>000000126</t>
  </si>
  <si>
    <t>Feb 2021</t>
  </si>
  <si>
    <t>000000222</t>
  </si>
  <si>
    <t>000000223</t>
  </si>
  <si>
    <t>000000224</t>
  </si>
  <si>
    <t>000000226</t>
  </si>
  <si>
    <t>000000227</t>
  </si>
  <si>
    <t>000000228</t>
  </si>
  <si>
    <t>000000229</t>
  </si>
  <si>
    <t>000000230</t>
  </si>
  <si>
    <t>000000231</t>
  </si>
  <si>
    <t>000000232</t>
  </si>
  <si>
    <t>000000233</t>
  </si>
  <si>
    <t>000000234</t>
  </si>
  <si>
    <t>000000236</t>
  </si>
  <si>
    <t>000000237</t>
  </si>
  <si>
    <t>000000238</t>
  </si>
  <si>
    <t>000000241</t>
  </si>
  <si>
    <t>000000242</t>
  </si>
  <si>
    <t>000000243</t>
  </si>
  <si>
    <t>000000244</t>
  </si>
  <si>
    <t>000000245</t>
  </si>
  <si>
    <t>000000247</t>
  </si>
  <si>
    <t>000000248</t>
  </si>
  <si>
    <t>000000249</t>
  </si>
  <si>
    <t>000000250</t>
  </si>
  <si>
    <t>000000251</t>
  </si>
  <si>
    <t>000000252</t>
  </si>
  <si>
    <t>000000253</t>
  </si>
  <si>
    <t>000000225</t>
  </si>
  <si>
    <t>000000235</t>
  </si>
  <si>
    <t>000000239</t>
  </si>
  <si>
    <t>Mar 2021</t>
  </si>
  <si>
    <t>000000317</t>
  </si>
  <si>
    <t>000000318</t>
  </si>
  <si>
    <t>000000319</t>
  </si>
  <si>
    <t>000000320</t>
  </si>
  <si>
    <t>000000321</t>
  </si>
  <si>
    <t>000000322</t>
  </si>
  <si>
    <t>000000325</t>
  </si>
  <si>
    <t>000000326</t>
  </si>
  <si>
    <t>000000327</t>
  </si>
  <si>
    <t>000000328</t>
  </si>
  <si>
    <t>000000301</t>
  </si>
  <si>
    <t>000000302</t>
  </si>
  <si>
    <t>000000303</t>
  </si>
  <si>
    <t>000000304</t>
  </si>
  <si>
    <t>000000306</t>
  </si>
  <si>
    <t>000000307</t>
  </si>
  <si>
    <t>000000308</t>
  </si>
  <si>
    <t>000000309</t>
  </si>
  <si>
    <t>000000310</t>
  </si>
  <si>
    <t>000000311</t>
  </si>
  <si>
    <t>000000316</t>
  </si>
  <si>
    <t>000000329</t>
  </si>
  <si>
    <t>000000339</t>
  </si>
  <si>
    <t>000000343</t>
  </si>
  <si>
    <t>000000354</t>
  </si>
  <si>
    <t>000000363</t>
  </si>
  <si>
    <t>000000365</t>
  </si>
  <si>
    <t>000000366</t>
  </si>
  <si>
    <t>000000367</t>
  </si>
  <si>
    <t>000000368</t>
  </si>
  <si>
    <t>000000369</t>
  </si>
  <si>
    <t>000000370</t>
  </si>
  <si>
    <t>000000377</t>
  </si>
  <si>
    <t>0007</t>
  </si>
  <si>
    <t>000000335</t>
  </si>
  <si>
    <t>Apr 2021</t>
  </si>
  <si>
    <t>000000384</t>
  </si>
  <si>
    <t>000000385</t>
  </si>
  <si>
    <t>000000386</t>
  </si>
  <si>
    <t>000000389</t>
  </si>
  <si>
    <t>000000391</t>
  </si>
  <si>
    <t>000000394</t>
  </si>
  <si>
    <t>000000395</t>
  </si>
  <si>
    <t>000000396</t>
  </si>
  <si>
    <t>000000397</t>
  </si>
  <si>
    <t>000000399</t>
  </si>
  <si>
    <t>000000400</t>
  </si>
  <si>
    <t>000000411</t>
  </si>
  <si>
    <t>000000416</t>
  </si>
  <si>
    <t>000000417</t>
  </si>
  <si>
    <t>000000420</t>
  </si>
  <si>
    <t>000000421</t>
  </si>
  <si>
    <t>000000422</t>
  </si>
  <si>
    <t>000000427</t>
  </si>
  <si>
    <t>000000428</t>
  </si>
  <si>
    <t>000000430</t>
  </si>
  <si>
    <t>000000431</t>
  </si>
  <si>
    <t>000000383</t>
  </si>
  <si>
    <t>000000388</t>
  </si>
  <si>
    <t>000000390</t>
  </si>
  <si>
    <t>000000392</t>
  </si>
  <si>
    <t>000000406</t>
  </si>
  <si>
    <t>000000424</t>
  </si>
  <si>
    <t>000000446</t>
  </si>
  <si>
    <t>May 2021</t>
  </si>
  <si>
    <t>000000453</t>
  </si>
  <si>
    <t>000000461</t>
  </si>
  <si>
    <t>000000462</t>
  </si>
  <si>
    <t>000000466</t>
  </si>
  <si>
    <t>000000467</t>
  </si>
  <si>
    <t>000000469</t>
  </si>
  <si>
    <t>000000470</t>
  </si>
  <si>
    <t>000000471</t>
  </si>
  <si>
    <t>000000472</t>
  </si>
  <si>
    <t>000000473</t>
  </si>
  <si>
    <t>000000475</t>
  </si>
  <si>
    <t>000000476</t>
  </si>
  <si>
    <t>000000477</t>
  </si>
  <si>
    <t>000000478</t>
  </si>
  <si>
    <t>000000479</t>
  </si>
  <si>
    <t>000000480</t>
  </si>
  <si>
    <t>000000487</t>
  </si>
  <si>
    <t>000000488</t>
  </si>
  <si>
    <t>000000489</t>
  </si>
  <si>
    <t>000000490</t>
  </si>
  <si>
    <t>000000492</t>
  </si>
  <si>
    <t>000000493</t>
  </si>
  <si>
    <t>000000497</t>
  </si>
  <si>
    <t>000000499</t>
  </si>
  <si>
    <t>000000500</t>
  </si>
  <si>
    <t>000000501</t>
  </si>
  <si>
    <t>000000502</t>
  </si>
  <si>
    <t>000000503</t>
  </si>
  <si>
    <t>000000506</t>
  </si>
  <si>
    <t>000000507</t>
  </si>
  <si>
    <t>000000508</t>
  </si>
  <si>
    <t>000000515</t>
  </si>
  <si>
    <t>000000516</t>
  </si>
  <si>
    <t>000000517</t>
  </si>
  <si>
    <t>000000518</t>
  </si>
  <si>
    <t>000000519</t>
  </si>
  <si>
    <t>000000520</t>
  </si>
  <si>
    <t>000000521</t>
  </si>
  <si>
    <t>000000450</t>
  </si>
  <si>
    <t>000000481</t>
  </si>
  <si>
    <t>000000483</t>
  </si>
  <si>
    <t>000000512</t>
  </si>
  <si>
    <t>000000513</t>
  </si>
  <si>
    <t>000000514</t>
  </si>
  <si>
    <t>000000474</t>
  </si>
  <si>
    <t>000000486</t>
  </si>
  <si>
    <t>000000509</t>
  </si>
  <si>
    <t>Jun 2021</t>
  </si>
  <si>
    <t>000000522</t>
  </si>
  <si>
    <t>000000523</t>
  </si>
  <si>
    <t>000000524</t>
  </si>
  <si>
    <t>000000527</t>
  </si>
  <si>
    <t>000000528</t>
  </si>
  <si>
    <t>000000529</t>
  </si>
  <si>
    <t>000000530</t>
  </si>
  <si>
    <t>000000531</t>
  </si>
  <si>
    <t>000000547</t>
  </si>
  <si>
    <t>000000548</t>
  </si>
  <si>
    <t>000000549</t>
  </si>
  <si>
    <t>000000550</t>
  </si>
  <si>
    <t>000000552</t>
  </si>
  <si>
    <t>000000553</t>
  </si>
  <si>
    <t>000000554</t>
  </si>
  <si>
    <t>000000542</t>
  </si>
  <si>
    <t>000000544</t>
  </si>
  <si>
    <t>000000545</t>
  </si>
  <si>
    <t>000000546</t>
  </si>
  <si>
    <t>PONTES INDUSTRIA DE CERA DO PIAUI LTDA</t>
  </si>
  <si>
    <t>000000572</t>
  </si>
  <si>
    <t>000000541</t>
  </si>
  <si>
    <t>Jul 2021</t>
  </si>
  <si>
    <t>000000575</t>
  </si>
  <si>
    <t>000000576</t>
  </si>
  <si>
    <t>000000577</t>
  </si>
  <si>
    <t>000000578</t>
  </si>
  <si>
    <t>000000615</t>
  </si>
  <si>
    <t>000000616</t>
  </si>
  <si>
    <t>000000617</t>
  </si>
  <si>
    <t>000000618</t>
  </si>
  <si>
    <t>000000613</t>
  </si>
  <si>
    <t>000000614</t>
  </si>
  <si>
    <t>000000579</t>
  </si>
  <si>
    <t>000000580</t>
  </si>
  <si>
    <t>000000634</t>
  </si>
  <si>
    <t>000000574</t>
  </si>
  <si>
    <t>000000607</t>
  </si>
  <si>
    <t>000000632</t>
  </si>
  <si>
    <t>Aug 2021</t>
  </si>
  <si>
    <t>000000636</t>
  </si>
  <si>
    <t>000000637</t>
  </si>
  <si>
    <t>000000639</t>
  </si>
  <si>
    <t>000000641</t>
  </si>
  <si>
    <t>000000642</t>
  </si>
  <si>
    <t>000000646</t>
  </si>
  <si>
    <t>000000647</t>
  </si>
  <si>
    <t>000000648</t>
  </si>
  <si>
    <t>000000649</t>
  </si>
  <si>
    <t>000000655</t>
  </si>
  <si>
    <t>000000656</t>
  </si>
  <si>
    <t>000000657</t>
  </si>
  <si>
    <t>000000658</t>
  </si>
  <si>
    <t>000000662</t>
  </si>
  <si>
    <t>000000663</t>
  </si>
  <si>
    <t>000000664</t>
  </si>
  <si>
    <t>000000665</t>
  </si>
  <si>
    <t>000000669</t>
  </si>
  <si>
    <t>000000670</t>
  </si>
  <si>
    <t>000000671</t>
  </si>
  <si>
    <t>000000672</t>
  </si>
  <si>
    <t>000000677</t>
  </si>
  <si>
    <t>000000678</t>
  </si>
  <si>
    <t>000000679</t>
  </si>
  <si>
    <t>000000680</t>
  </si>
  <si>
    <t>000000681</t>
  </si>
  <si>
    <t>000000689</t>
  </si>
  <si>
    <t>000000690</t>
  </si>
  <si>
    <t>000000691</t>
  </si>
  <si>
    <t>000000692</t>
  </si>
  <si>
    <t>000000698</t>
  </si>
  <si>
    <t>000000699</t>
  </si>
  <si>
    <t>Sep 2021</t>
  </si>
  <si>
    <t>000000705</t>
  </si>
  <si>
    <t>000000708</t>
  </si>
  <si>
    <t>000000717</t>
  </si>
  <si>
    <t>000000722</t>
  </si>
  <si>
    <t>000000723</t>
  </si>
  <si>
    <t>000000724</t>
  </si>
  <si>
    <t>000000725</t>
  </si>
  <si>
    <t>000000726</t>
  </si>
  <si>
    <t>000000727</t>
  </si>
  <si>
    <t>000000728</t>
  </si>
  <si>
    <t>000000729</t>
  </si>
  <si>
    <t>000000730</t>
  </si>
  <si>
    <t>000000731</t>
  </si>
  <si>
    <t>000000732</t>
  </si>
  <si>
    <t>000000742</t>
  </si>
  <si>
    <t>000000746</t>
  </si>
  <si>
    <t>000000747</t>
  </si>
  <si>
    <t>000000750</t>
  </si>
  <si>
    <t>000000751</t>
  </si>
  <si>
    <t>000000752</t>
  </si>
  <si>
    <t>000000753</t>
  </si>
  <si>
    <t>000000766</t>
  </si>
  <si>
    <t>000000767</t>
  </si>
  <si>
    <t>000000768</t>
  </si>
  <si>
    <t>000000769</t>
  </si>
  <si>
    <t>000000770</t>
  </si>
  <si>
    <t>000000772</t>
  </si>
  <si>
    <t>000000773</t>
  </si>
  <si>
    <t>000000774</t>
  </si>
  <si>
    <t>000000775</t>
  </si>
  <si>
    <t>000000776</t>
  </si>
  <si>
    <t>000000778</t>
  </si>
  <si>
    <t>000000706</t>
  </si>
  <si>
    <t>000000707</t>
  </si>
  <si>
    <t>000000709</t>
  </si>
  <si>
    <t>000000710</t>
  </si>
  <si>
    <t>000000734</t>
  </si>
  <si>
    <t>000000735</t>
  </si>
  <si>
    <t>000000736</t>
  </si>
  <si>
    <t>000000737</t>
  </si>
  <si>
    <t>000000738</t>
  </si>
  <si>
    <t>000000739</t>
  </si>
  <si>
    <t>000000740</t>
  </si>
  <si>
    <t>Oct 2021</t>
  </si>
  <si>
    <t>000000783</t>
  </si>
  <si>
    <t>000000787</t>
  </si>
  <si>
    <t>000000788</t>
  </si>
  <si>
    <t>000000789</t>
  </si>
  <si>
    <t>000000790</t>
  </si>
  <si>
    <t>000000791</t>
  </si>
  <si>
    <t>000000798</t>
  </si>
  <si>
    <t>000000800</t>
  </si>
  <si>
    <t>000000805</t>
  </si>
  <si>
    <t>000000807</t>
  </si>
  <si>
    <t>000000808</t>
  </si>
  <si>
    <t>000000809</t>
  </si>
  <si>
    <t>000000818</t>
  </si>
  <si>
    <t>000000819</t>
  </si>
  <si>
    <t>000000830</t>
  </si>
  <si>
    <t>000000831</t>
  </si>
  <si>
    <t>000000832</t>
  </si>
  <si>
    <t>000000833</t>
  </si>
  <si>
    <t>000000834</t>
  </si>
  <si>
    <t>000000835</t>
  </si>
  <si>
    <t>000000836</t>
  </si>
  <si>
    <t>000000883</t>
  </si>
  <si>
    <t>000000887</t>
  </si>
  <si>
    <t>000000888</t>
  </si>
  <si>
    <t>000000902</t>
  </si>
  <si>
    <t>000000903</t>
  </si>
  <si>
    <t>000000904</t>
  </si>
  <si>
    <t>000000782</t>
  </si>
  <si>
    <t>000000784</t>
  </si>
  <si>
    <t>000000785</t>
  </si>
  <si>
    <t>000000786</t>
  </si>
  <si>
    <t>Nov 2021</t>
  </si>
  <si>
    <t>000000985</t>
  </si>
  <si>
    <t>000000906</t>
  </si>
  <si>
    <t>000000907</t>
  </si>
  <si>
    <t>000000908</t>
  </si>
  <si>
    <t>000000919</t>
  </si>
  <si>
    <t>000000925</t>
  </si>
  <si>
    <t>000000951</t>
  </si>
  <si>
    <t>000000952</t>
  </si>
  <si>
    <t>000000953</t>
  </si>
  <si>
    <t>000000954</t>
  </si>
  <si>
    <t>000000955</t>
  </si>
  <si>
    <t>000000960</t>
  </si>
  <si>
    <t>000000961</t>
  </si>
  <si>
    <t>000000963</t>
  </si>
  <si>
    <t>000000964</t>
  </si>
  <si>
    <t>000000966</t>
  </si>
  <si>
    <t>000000968</t>
  </si>
  <si>
    <t>000000969</t>
  </si>
  <si>
    <t>000000970</t>
  </si>
  <si>
    <t>000000972</t>
  </si>
  <si>
    <t>000000977</t>
  </si>
  <si>
    <t>000000978</t>
  </si>
  <si>
    <t>000000979</t>
  </si>
  <si>
    <t>000000989</t>
  </si>
  <si>
    <t>000000990</t>
  </si>
  <si>
    <t>000000991</t>
  </si>
  <si>
    <t>000001001</t>
  </si>
  <si>
    <t>000001002</t>
  </si>
  <si>
    <t>000001037</t>
  </si>
  <si>
    <t>000000981</t>
  </si>
  <si>
    <t>000000986</t>
  </si>
  <si>
    <t>000000987</t>
  </si>
  <si>
    <t>000000988</t>
  </si>
  <si>
    <t>Dec 2021</t>
  </si>
  <si>
    <t>000001174</t>
  </si>
  <si>
    <t>000001056</t>
  </si>
  <si>
    <t>000001057</t>
  </si>
  <si>
    <t>000001058</t>
  </si>
  <si>
    <t>000001059</t>
  </si>
  <si>
    <t>000001065</t>
  </si>
  <si>
    <t>000001066</t>
  </si>
  <si>
    <t>000001070</t>
  </si>
  <si>
    <t>000001081</t>
  </si>
  <si>
    <t>000001084</t>
  </si>
  <si>
    <t>000001085</t>
  </si>
  <si>
    <t>000001086</t>
  </si>
  <si>
    <t>000001087</t>
  </si>
  <si>
    <t>000001088</t>
  </si>
  <si>
    <t>000001090</t>
  </si>
  <si>
    <t>000001091</t>
  </si>
  <si>
    <t>000001092</t>
  </si>
  <si>
    <t>000001095</t>
  </si>
  <si>
    <t>000001096</t>
  </si>
  <si>
    <t>000001097</t>
  </si>
  <si>
    <t>000001098</t>
  </si>
  <si>
    <t>000001099</t>
  </si>
  <si>
    <t>000001100</t>
  </si>
  <si>
    <t>000001101</t>
  </si>
  <si>
    <t>000001102</t>
  </si>
  <si>
    <t>000001111</t>
  </si>
  <si>
    <t>000001113</t>
  </si>
  <si>
    <t>000001114</t>
  </si>
  <si>
    <t>000001115</t>
  </si>
  <si>
    <t>000001116</t>
  </si>
  <si>
    <t>000001117</t>
  </si>
  <si>
    <t>000001118</t>
  </si>
  <si>
    <t>000001119</t>
  </si>
  <si>
    <t>000001120</t>
  </si>
  <si>
    <t>000001121</t>
  </si>
  <si>
    <t>000001122</t>
  </si>
  <si>
    <t>000001123</t>
  </si>
  <si>
    <t>000001124</t>
  </si>
  <si>
    <t>000001125</t>
  </si>
  <si>
    <t>000001126</t>
  </si>
  <si>
    <t>000001127</t>
  </si>
  <si>
    <t>000001128</t>
  </si>
  <si>
    <t>000001158</t>
  </si>
  <si>
    <t>000001159</t>
  </si>
  <si>
    <t>000001165</t>
  </si>
  <si>
    <t>000001166</t>
  </si>
  <si>
    <t>000001167</t>
  </si>
  <si>
    <t>000001168</t>
  </si>
  <si>
    <t>000001169</t>
  </si>
  <si>
    <t>000001054</t>
  </si>
  <si>
    <t>000001055</t>
  </si>
  <si>
    <t>000001103</t>
  </si>
  <si>
    <t>000001110</t>
  </si>
  <si>
    <t>000001134</t>
  </si>
  <si>
    <t>000001136</t>
  </si>
  <si>
    <t>Total</t>
  </si>
  <si>
    <t>ICMS igual ISS?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</si>
</sst>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6"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K445" totalsRowCount="1">
  <autoFilter ref="A1:K444"/>
  <sortState ref="A2:K444">
    <sortCondition ref="E1:E444"/>
  </sortState>
  <tableColumns count="11">
    <tableColumn id="1" name="Mês" totalsRowLabel="Total"/>
    <tableColumn id="2" name="Cliente"/>
    <tableColumn id="3" name="Loja"/>
    <tableColumn id="4" name="Série"/>
    <tableColumn id="5" name="Número" totalsRowFunction="count"/>
    <tableColumn id="6" name="$ Imposto ICMS do faturamento" totalsRowFunction="sum" totalsRowDxfId="5" dataCellStyle="Moeda"/>
    <tableColumn id="7" name="$ ICMS" totalsRowFunction="sum" totalsRowDxfId="4" dataCellStyle="Moeda"/>
    <tableColumn id="8" name="$ ICMS sem ISS" totalsRowFunction="sum" totalsRowDxfId="3" dataCellStyle="Moeda"/>
    <tableColumn id="9" name="$ ICMS por NF" totalsRowFunction="sum" totalsRowDxfId="2" dataCellStyle="Moeda"/>
    <tableColumn id="10" name="$ ISS" totalsRowFunction="sum" totalsRowDxfId="1" dataCellStyle="Moeda"/>
    <tableColumn id="11" name="ICMS igual ISS?" totalsRowFunction="sum" dataDxfId="0" dataCellStyle="Moeda">
      <calculatedColumnFormula>Tabela1[[#This Row],[$ Imposto ICMS do faturamento]]-Tabela1[[#This Row],[$ ISS]]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5"/>
  <sheetViews>
    <sheetView tabSelected="1" topLeftCell="A370" workbookViewId="0">
      <selection activeCell="E384" sqref="E384"/>
    </sheetView>
  </sheetViews>
  <sheetFormatPr defaultRowHeight="15" x14ac:dyDescent="0.25"/>
  <cols>
    <col min="1" max="5" width="17.5703125" customWidth="1"/>
    <col min="6" max="6" width="31.140625" customWidth="1"/>
    <col min="7" max="10" width="16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476</v>
      </c>
    </row>
    <row r="2" spans="1:11" x14ac:dyDescent="0.25">
      <c r="A2" t="s">
        <v>10</v>
      </c>
      <c r="B2" t="s">
        <v>53</v>
      </c>
      <c r="C2" t="s">
        <v>54</v>
      </c>
      <c r="D2" t="s">
        <v>13</v>
      </c>
      <c r="E2" t="s">
        <v>55</v>
      </c>
      <c r="F2" s="1">
        <v>35.799999999999997</v>
      </c>
      <c r="G2" s="1">
        <v>0</v>
      </c>
      <c r="H2" s="1">
        <v>0</v>
      </c>
      <c r="I2" s="1">
        <v>0</v>
      </c>
      <c r="J2" s="1">
        <v>35.799999999999997</v>
      </c>
      <c r="K2" s="1">
        <f>Tabela1[[#This Row],[$ Imposto ICMS do faturamento]]-Tabela1[[#This Row],[$ ISS]]</f>
        <v>0</v>
      </c>
    </row>
    <row r="3" spans="1:11" x14ac:dyDescent="0.25">
      <c r="A3" t="s">
        <v>10</v>
      </c>
      <c r="B3" t="s">
        <v>53</v>
      </c>
      <c r="C3" t="s">
        <v>54</v>
      </c>
      <c r="D3" t="s">
        <v>13</v>
      </c>
      <c r="E3" t="s">
        <v>56</v>
      </c>
      <c r="F3" s="1">
        <v>35.799999999999997</v>
      </c>
      <c r="G3" s="1">
        <v>0</v>
      </c>
      <c r="H3" s="1">
        <v>0</v>
      </c>
      <c r="I3" s="1">
        <v>0</v>
      </c>
      <c r="J3" s="1">
        <v>35.799999999999997</v>
      </c>
      <c r="K3" s="1">
        <f>Tabela1[[#This Row],[$ Imposto ICMS do faturamento]]-Tabela1[[#This Row],[$ ISS]]</f>
        <v>0</v>
      </c>
    </row>
    <row r="4" spans="1:11" x14ac:dyDescent="0.25">
      <c r="A4" t="s">
        <v>10</v>
      </c>
      <c r="B4" t="s">
        <v>53</v>
      </c>
      <c r="C4" t="s">
        <v>54</v>
      </c>
      <c r="D4" t="s">
        <v>13</v>
      </c>
      <c r="E4" t="s">
        <v>57</v>
      </c>
      <c r="F4" s="1">
        <v>35.799999999999997</v>
      </c>
      <c r="G4" s="1">
        <v>0</v>
      </c>
      <c r="H4" s="1">
        <v>0</v>
      </c>
      <c r="I4" s="1">
        <v>0</v>
      </c>
      <c r="J4" s="1">
        <v>35.799999999999997</v>
      </c>
      <c r="K4" s="1">
        <f>Tabela1[[#This Row],[$ Imposto ICMS do faturamento]]-Tabela1[[#This Row],[$ ISS]]</f>
        <v>0</v>
      </c>
    </row>
    <row r="5" spans="1:11" x14ac:dyDescent="0.25">
      <c r="A5" t="s">
        <v>10</v>
      </c>
      <c r="B5" t="s">
        <v>53</v>
      </c>
      <c r="C5" t="s">
        <v>54</v>
      </c>
      <c r="D5" t="s">
        <v>13</v>
      </c>
      <c r="E5" t="s">
        <v>58</v>
      </c>
      <c r="F5" s="1">
        <v>35.799999999999997</v>
      </c>
      <c r="G5" s="1">
        <v>0</v>
      </c>
      <c r="H5" s="1">
        <v>0</v>
      </c>
      <c r="I5" s="1">
        <v>0</v>
      </c>
      <c r="J5" s="1">
        <v>35.799999999999997</v>
      </c>
      <c r="K5" s="1">
        <f>Tabela1[[#This Row],[$ Imposto ICMS do faturamento]]-Tabela1[[#This Row],[$ ISS]]</f>
        <v>0</v>
      </c>
    </row>
    <row r="6" spans="1:11" x14ac:dyDescent="0.25">
      <c r="A6" t="s">
        <v>10</v>
      </c>
      <c r="B6" t="s">
        <v>53</v>
      </c>
      <c r="C6" t="s">
        <v>54</v>
      </c>
      <c r="D6" t="s">
        <v>13</v>
      </c>
      <c r="E6" t="s">
        <v>59</v>
      </c>
      <c r="F6" s="1">
        <v>35.799999999999997</v>
      </c>
      <c r="G6" s="1">
        <v>0</v>
      </c>
      <c r="H6" s="1">
        <v>0</v>
      </c>
      <c r="I6" s="1">
        <v>0</v>
      </c>
      <c r="J6" s="1">
        <v>35.799999999999997</v>
      </c>
      <c r="K6" s="1">
        <f>Tabela1[[#This Row],[$ Imposto ICMS do faturamento]]-Tabela1[[#This Row],[$ ISS]]</f>
        <v>0</v>
      </c>
    </row>
    <row r="7" spans="1:11" x14ac:dyDescent="0.25">
      <c r="A7" t="s">
        <v>10</v>
      </c>
      <c r="B7" t="s">
        <v>53</v>
      </c>
      <c r="C7" t="s">
        <v>54</v>
      </c>
      <c r="D7" t="s">
        <v>13</v>
      </c>
      <c r="E7" t="s">
        <v>60</v>
      </c>
      <c r="F7" s="1">
        <v>35.799999999999997</v>
      </c>
      <c r="G7" s="1">
        <v>0</v>
      </c>
      <c r="H7" s="1">
        <v>0</v>
      </c>
      <c r="I7" s="1">
        <v>0</v>
      </c>
      <c r="J7" s="1">
        <v>35.799999999999997</v>
      </c>
      <c r="K7" s="1">
        <f>Tabela1[[#This Row],[$ Imposto ICMS do faturamento]]-Tabela1[[#This Row],[$ ISS]]</f>
        <v>0</v>
      </c>
    </row>
    <row r="8" spans="1:11" x14ac:dyDescent="0.25">
      <c r="A8" t="s">
        <v>10</v>
      </c>
      <c r="B8" t="s">
        <v>11</v>
      </c>
      <c r="C8" t="s">
        <v>16</v>
      </c>
      <c r="D8" t="s">
        <v>13</v>
      </c>
      <c r="E8" t="s">
        <v>17</v>
      </c>
      <c r="F8" s="1">
        <v>32.4</v>
      </c>
      <c r="G8" s="1">
        <v>0</v>
      </c>
      <c r="H8" s="1">
        <v>0</v>
      </c>
      <c r="I8" s="1">
        <v>0</v>
      </c>
      <c r="J8" s="1">
        <v>32.4</v>
      </c>
      <c r="K8" s="1">
        <f>Tabela1[[#This Row],[$ Imposto ICMS do faturamento]]-Tabela1[[#This Row],[$ ISS]]</f>
        <v>0</v>
      </c>
    </row>
    <row r="9" spans="1:11" x14ac:dyDescent="0.25">
      <c r="A9" t="s">
        <v>10</v>
      </c>
      <c r="B9" t="s">
        <v>53</v>
      </c>
      <c r="C9" t="s">
        <v>54</v>
      </c>
      <c r="D9" t="s">
        <v>13</v>
      </c>
      <c r="E9" t="s">
        <v>61</v>
      </c>
      <c r="F9" s="1">
        <v>35.799999999999997</v>
      </c>
      <c r="G9" s="1">
        <v>0</v>
      </c>
      <c r="H9" s="1">
        <v>0</v>
      </c>
      <c r="I9" s="1">
        <v>0</v>
      </c>
      <c r="J9" s="1">
        <v>35.799999999999997</v>
      </c>
      <c r="K9" s="1">
        <f>Tabela1[[#This Row],[$ Imposto ICMS do faturamento]]-Tabela1[[#This Row],[$ ISS]]</f>
        <v>0</v>
      </c>
    </row>
    <row r="10" spans="1:11" x14ac:dyDescent="0.25">
      <c r="A10" t="s">
        <v>10</v>
      </c>
      <c r="B10" t="s">
        <v>53</v>
      </c>
      <c r="C10" t="s">
        <v>54</v>
      </c>
      <c r="D10" t="s">
        <v>13</v>
      </c>
      <c r="E10" t="s">
        <v>62</v>
      </c>
      <c r="F10" s="1">
        <v>35.799999999999997</v>
      </c>
      <c r="G10" s="1">
        <v>0</v>
      </c>
      <c r="H10" s="1">
        <v>0</v>
      </c>
      <c r="I10" s="1">
        <v>0</v>
      </c>
      <c r="J10" s="1">
        <v>35.799999999999997</v>
      </c>
      <c r="K10" s="1">
        <f>Tabela1[[#This Row],[$ Imposto ICMS do faturamento]]-Tabela1[[#This Row],[$ ISS]]</f>
        <v>0</v>
      </c>
    </row>
    <row r="11" spans="1:11" x14ac:dyDescent="0.25">
      <c r="A11" t="s">
        <v>10</v>
      </c>
      <c r="B11" t="s">
        <v>53</v>
      </c>
      <c r="C11" t="s">
        <v>54</v>
      </c>
      <c r="D11" t="s">
        <v>13</v>
      </c>
      <c r="E11" t="s">
        <v>63</v>
      </c>
      <c r="F11" s="1">
        <v>35.799999999999997</v>
      </c>
      <c r="G11" s="1">
        <v>0</v>
      </c>
      <c r="H11" s="1">
        <v>0</v>
      </c>
      <c r="I11" s="1">
        <v>0</v>
      </c>
      <c r="J11" s="1">
        <v>35.799999999999997</v>
      </c>
      <c r="K11" s="1">
        <f>Tabela1[[#This Row],[$ Imposto ICMS do faturamento]]-Tabela1[[#This Row],[$ ISS]]</f>
        <v>0</v>
      </c>
    </row>
    <row r="12" spans="1:11" x14ac:dyDescent="0.25">
      <c r="A12" t="s">
        <v>10</v>
      </c>
      <c r="B12" t="s">
        <v>53</v>
      </c>
      <c r="C12" t="s">
        <v>54</v>
      </c>
      <c r="D12" t="s">
        <v>13</v>
      </c>
      <c r="E12" t="s">
        <v>64</v>
      </c>
      <c r="F12" s="1">
        <v>35.799999999999997</v>
      </c>
      <c r="G12" s="1">
        <v>0</v>
      </c>
      <c r="H12" s="1">
        <v>0</v>
      </c>
      <c r="I12" s="1">
        <v>0</v>
      </c>
      <c r="J12" s="1">
        <v>35.799999999999997</v>
      </c>
      <c r="K12" s="1">
        <f>Tabela1[[#This Row],[$ Imposto ICMS do faturamento]]-Tabela1[[#This Row],[$ ISS]]</f>
        <v>0</v>
      </c>
    </row>
    <row r="13" spans="1:11" x14ac:dyDescent="0.25">
      <c r="A13" t="s">
        <v>10</v>
      </c>
      <c r="B13" t="s">
        <v>53</v>
      </c>
      <c r="C13" t="s">
        <v>54</v>
      </c>
      <c r="D13" t="s">
        <v>13</v>
      </c>
      <c r="E13" t="s">
        <v>65</v>
      </c>
      <c r="F13" s="1">
        <v>32.6</v>
      </c>
      <c r="G13" s="1">
        <v>0</v>
      </c>
      <c r="H13" s="1">
        <v>0</v>
      </c>
      <c r="I13" s="1">
        <v>0</v>
      </c>
      <c r="J13" s="1">
        <v>32.6</v>
      </c>
      <c r="K13" s="1">
        <f>Tabela1[[#This Row],[$ Imposto ICMS do faturamento]]-Tabela1[[#This Row],[$ ISS]]</f>
        <v>0</v>
      </c>
    </row>
    <row r="14" spans="1:11" x14ac:dyDescent="0.25">
      <c r="A14" t="s">
        <v>10</v>
      </c>
      <c r="B14" t="s">
        <v>53</v>
      </c>
      <c r="C14" t="s">
        <v>54</v>
      </c>
      <c r="D14" t="s">
        <v>13</v>
      </c>
      <c r="E14" t="s">
        <v>66</v>
      </c>
      <c r="F14" s="1">
        <v>35.799999999999997</v>
      </c>
      <c r="G14" s="1">
        <v>0</v>
      </c>
      <c r="H14" s="1">
        <v>0</v>
      </c>
      <c r="I14" s="1">
        <v>0</v>
      </c>
      <c r="J14" s="1">
        <v>35.799999999999997</v>
      </c>
      <c r="K14" s="1">
        <f>Tabela1[[#This Row],[$ Imposto ICMS do faturamento]]-Tabela1[[#This Row],[$ ISS]]</f>
        <v>0</v>
      </c>
    </row>
    <row r="15" spans="1:11" x14ac:dyDescent="0.25">
      <c r="A15" t="s">
        <v>10</v>
      </c>
      <c r="B15" t="s">
        <v>11</v>
      </c>
      <c r="C15" t="s">
        <v>24</v>
      </c>
      <c r="D15" t="s">
        <v>13</v>
      </c>
      <c r="E15" t="s">
        <v>25</v>
      </c>
      <c r="F15" s="1">
        <v>32.4</v>
      </c>
      <c r="G15" s="1">
        <v>0</v>
      </c>
      <c r="H15" s="1">
        <v>0</v>
      </c>
      <c r="I15" s="1">
        <v>0</v>
      </c>
      <c r="J15" s="1">
        <v>32.4</v>
      </c>
      <c r="K15" s="1">
        <f>Tabela1[[#This Row],[$ Imposto ICMS do faturamento]]-Tabela1[[#This Row],[$ ISS]]</f>
        <v>0</v>
      </c>
    </row>
    <row r="16" spans="1:11" x14ac:dyDescent="0.25">
      <c r="A16" t="s">
        <v>10</v>
      </c>
      <c r="B16" t="s">
        <v>90</v>
      </c>
      <c r="C16" t="s">
        <v>12</v>
      </c>
      <c r="D16" t="s">
        <v>13</v>
      </c>
      <c r="E16" t="s">
        <v>91</v>
      </c>
      <c r="F16" s="1">
        <v>52.92</v>
      </c>
      <c r="G16" s="1">
        <v>0</v>
      </c>
      <c r="H16" s="1">
        <v>0</v>
      </c>
      <c r="I16" s="1">
        <v>0</v>
      </c>
      <c r="J16" s="1">
        <v>52.92</v>
      </c>
      <c r="K16" s="1">
        <f>Tabela1[[#This Row],[$ Imposto ICMS do faturamento]]-Tabela1[[#This Row],[$ ISS]]</f>
        <v>0</v>
      </c>
    </row>
    <row r="17" spans="1:11" x14ac:dyDescent="0.25">
      <c r="A17" t="s">
        <v>10</v>
      </c>
      <c r="B17" t="s">
        <v>11</v>
      </c>
      <c r="C17" t="s">
        <v>16</v>
      </c>
      <c r="D17" t="s">
        <v>13</v>
      </c>
      <c r="E17" t="s">
        <v>18</v>
      </c>
      <c r="F17" s="1">
        <v>32.4</v>
      </c>
      <c r="G17" s="1">
        <v>0</v>
      </c>
      <c r="H17" s="1">
        <v>0</v>
      </c>
      <c r="I17" s="1">
        <v>0</v>
      </c>
      <c r="J17" s="1">
        <v>32.4</v>
      </c>
      <c r="K17" s="1">
        <f>Tabela1[[#This Row],[$ Imposto ICMS do faturamento]]-Tabela1[[#This Row],[$ ISS]]</f>
        <v>0</v>
      </c>
    </row>
    <row r="18" spans="1:11" x14ac:dyDescent="0.25">
      <c r="A18" t="s">
        <v>10</v>
      </c>
      <c r="B18" t="s">
        <v>53</v>
      </c>
      <c r="C18" t="s">
        <v>54</v>
      </c>
      <c r="D18" t="s">
        <v>13</v>
      </c>
      <c r="E18" t="s">
        <v>67</v>
      </c>
      <c r="F18" s="1">
        <v>32.6</v>
      </c>
      <c r="G18" s="1">
        <v>0</v>
      </c>
      <c r="H18" s="1">
        <v>0</v>
      </c>
      <c r="I18" s="1">
        <v>0</v>
      </c>
      <c r="J18" s="1">
        <v>32.6</v>
      </c>
      <c r="K18" s="1">
        <f>Tabela1[[#This Row],[$ Imposto ICMS do faturamento]]-Tabela1[[#This Row],[$ ISS]]</f>
        <v>0</v>
      </c>
    </row>
    <row r="19" spans="1:11" x14ac:dyDescent="0.25">
      <c r="A19" t="s">
        <v>10</v>
      </c>
      <c r="B19" t="s">
        <v>53</v>
      </c>
      <c r="C19" t="s">
        <v>54</v>
      </c>
      <c r="D19" t="s">
        <v>13</v>
      </c>
      <c r="E19" t="s">
        <v>68</v>
      </c>
      <c r="F19" s="1">
        <v>35.799999999999997</v>
      </c>
      <c r="G19" s="1">
        <v>0</v>
      </c>
      <c r="H19" s="1">
        <v>0</v>
      </c>
      <c r="I19" s="1">
        <v>0</v>
      </c>
      <c r="J19" s="1">
        <v>35.799999999999997</v>
      </c>
      <c r="K19" s="1">
        <f>Tabela1[[#This Row],[$ Imposto ICMS do faturamento]]-Tabela1[[#This Row],[$ ISS]]</f>
        <v>0</v>
      </c>
    </row>
    <row r="20" spans="1:11" x14ac:dyDescent="0.25">
      <c r="A20" t="s">
        <v>10</v>
      </c>
      <c r="B20" t="s">
        <v>11</v>
      </c>
      <c r="C20" t="s">
        <v>24</v>
      </c>
      <c r="D20" t="s">
        <v>13</v>
      </c>
      <c r="E20" t="s">
        <v>26</v>
      </c>
      <c r="F20" s="1">
        <v>32.4</v>
      </c>
      <c r="G20" s="1">
        <v>0</v>
      </c>
      <c r="H20" s="1">
        <v>0</v>
      </c>
      <c r="I20" s="1">
        <v>0</v>
      </c>
      <c r="J20" s="1">
        <v>32.4</v>
      </c>
      <c r="K20" s="1">
        <f>Tabela1[[#This Row],[$ Imposto ICMS do faturamento]]-Tabela1[[#This Row],[$ ISS]]</f>
        <v>0</v>
      </c>
    </row>
    <row r="21" spans="1:11" x14ac:dyDescent="0.25">
      <c r="A21" t="s">
        <v>10</v>
      </c>
      <c r="B21" t="s">
        <v>53</v>
      </c>
      <c r="C21" t="s">
        <v>54</v>
      </c>
      <c r="D21" t="s">
        <v>13</v>
      </c>
      <c r="E21" t="s">
        <v>69</v>
      </c>
      <c r="F21" s="1">
        <v>35.799999999999997</v>
      </c>
      <c r="G21" s="1">
        <v>0</v>
      </c>
      <c r="H21" s="1">
        <v>0</v>
      </c>
      <c r="I21" s="1">
        <v>0</v>
      </c>
      <c r="J21" s="1">
        <v>35.799999999999997</v>
      </c>
      <c r="K21" s="1">
        <f>Tabela1[[#This Row],[$ Imposto ICMS do faturamento]]-Tabela1[[#This Row],[$ ISS]]</f>
        <v>0</v>
      </c>
    </row>
    <row r="22" spans="1:11" x14ac:dyDescent="0.25">
      <c r="A22" t="s">
        <v>10</v>
      </c>
      <c r="B22" t="s">
        <v>53</v>
      </c>
      <c r="C22" t="s">
        <v>54</v>
      </c>
      <c r="D22" t="s">
        <v>13</v>
      </c>
      <c r="E22" t="s">
        <v>70</v>
      </c>
      <c r="F22" s="1">
        <v>35.799999999999997</v>
      </c>
      <c r="G22" s="1">
        <v>0</v>
      </c>
      <c r="H22" s="1">
        <v>0</v>
      </c>
      <c r="I22" s="1">
        <v>0</v>
      </c>
      <c r="J22" s="1">
        <v>35.799999999999997</v>
      </c>
      <c r="K22" s="1">
        <f>Tabela1[[#This Row],[$ Imposto ICMS do faturamento]]-Tabela1[[#This Row],[$ ISS]]</f>
        <v>0</v>
      </c>
    </row>
    <row r="23" spans="1:11" x14ac:dyDescent="0.25">
      <c r="A23" t="s">
        <v>10</v>
      </c>
      <c r="B23" t="s">
        <v>53</v>
      </c>
      <c r="C23" t="s">
        <v>54</v>
      </c>
      <c r="D23" t="s">
        <v>13</v>
      </c>
      <c r="E23" t="s">
        <v>71</v>
      </c>
      <c r="F23" s="1">
        <v>35.799999999999997</v>
      </c>
      <c r="G23" s="1">
        <v>0</v>
      </c>
      <c r="H23" s="1">
        <v>0</v>
      </c>
      <c r="I23" s="1">
        <v>0</v>
      </c>
      <c r="J23" s="1">
        <v>35.799999999999997</v>
      </c>
      <c r="K23" s="1">
        <f>Tabela1[[#This Row],[$ Imposto ICMS do faturamento]]-Tabela1[[#This Row],[$ ISS]]</f>
        <v>0</v>
      </c>
    </row>
    <row r="24" spans="1:11" x14ac:dyDescent="0.25">
      <c r="A24" t="s">
        <v>10</v>
      </c>
      <c r="B24" t="s">
        <v>53</v>
      </c>
      <c r="C24" t="s">
        <v>54</v>
      </c>
      <c r="D24" t="s">
        <v>13</v>
      </c>
      <c r="E24" t="s">
        <v>72</v>
      </c>
      <c r="F24" s="1">
        <v>35.799999999999997</v>
      </c>
      <c r="G24" s="1">
        <v>0</v>
      </c>
      <c r="H24" s="1">
        <v>0</v>
      </c>
      <c r="I24" s="1">
        <v>0</v>
      </c>
      <c r="J24" s="1">
        <v>35.799999999999997</v>
      </c>
      <c r="K24" s="1">
        <f>Tabela1[[#This Row],[$ Imposto ICMS do faturamento]]-Tabela1[[#This Row],[$ ISS]]</f>
        <v>0</v>
      </c>
    </row>
    <row r="25" spans="1:11" x14ac:dyDescent="0.25">
      <c r="A25" t="s">
        <v>10</v>
      </c>
      <c r="B25" t="s">
        <v>53</v>
      </c>
      <c r="C25" t="s">
        <v>54</v>
      </c>
      <c r="D25" t="s">
        <v>13</v>
      </c>
      <c r="E25" t="s">
        <v>73</v>
      </c>
      <c r="F25" s="1">
        <v>35.799999999999997</v>
      </c>
      <c r="G25" s="1">
        <v>0</v>
      </c>
      <c r="H25" s="1">
        <v>0</v>
      </c>
      <c r="I25" s="1">
        <v>0</v>
      </c>
      <c r="J25" s="1">
        <v>35.799999999999997</v>
      </c>
      <c r="K25" s="1">
        <f>Tabela1[[#This Row],[$ Imposto ICMS do faturamento]]-Tabela1[[#This Row],[$ ISS]]</f>
        <v>0</v>
      </c>
    </row>
    <row r="26" spans="1:11" x14ac:dyDescent="0.25">
      <c r="A26" t="s">
        <v>10</v>
      </c>
      <c r="B26" t="s">
        <v>53</v>
      </c>
      <c r="C26" t="s">
        <v>54</v>
      </c>
      <c r="D26" t="s">
        <v>13</v>
      </c>
      <c r="E26" t="s">
        <v>74</v>
      </c>
      <c r="F26" s="1">
        <v>35.799999999999997</v>
      </c>
      <c r="G26" s="1">
        <v>0</v>
      </c>
      <c r="H26" s="1">
        <v>0</v>
      </c>
      <c r="I26" s="1">
        <v>0</v>
      </c>
      <c r="J26" s="1">
        <v>35.799999999999997</v>
      </c>
      <c r="K26" s="1">
        <f>Tabela1[[#This Row],[$ Imposto ICMS do faturamento]]-Tabela1[[#This Row],[$ ISS]]</f>
        <v>0</v>
      </c>
    </row>
    <row r="27" spans="1:11" x14ac:dyDescent="0.25">
      <c r="A27" t="s">
        <v>10</v>
      </c>
      <c r="B27" t="s">
        <v>53</v>
      </c>
      <c r="C27" t="s">
        <v>54</v>
      </c>
      <c r="D27" t="s">
        <v>13</v>
      </c>
      <c r="E27" t="s">
        <v>75</v>
      </c>
      <c r="F27" s="1">
        <v>35.799999999999997</v>
      </c>
      <c r="G27" s="1">
        <v>0</v>
      </c>
      <c r="H27" s="1">
        <v>0</v>
      </c>
      <c r="I27" s="1">
        <v>0</v>
      </c>
      <c r="J27" s="1">
        <v>35.799999999999997</v>
      </c>
      <c r="K27" s="1">
        <f>Tabela1[[#This Row],[$ Imposto ICMS do faturamento]]-Tabela1[[#This Row],[$ ISS]]</f>
        <v>0</v>
      </c>
    </row>
    <row r="28" spans="1:11" x14ac:dyDescent="0.25">
      <c r="A28" t="s">
        <v>10</v>
      </c>
      <c r="B28" t="s">
        <v>53</v>
      </c>
      <c r="C28" t="s">
        <v>54</v>
      </c>
      <c r="D28" t="s">
        <v>13</v>
      </c>
      <c r="E28" t="s">
        <v>76</v>
      </c>
      <c r="F28" s="1">
        <v>35.799999999999997</v>
      </c>
      <c r="G28" s="1">
        <v>0</v>
      </c>
      <c r="H28" s="1">
        <v>0</v>
      </c>
      <c r="I28" s="1">
        <v>0</v>
      </c>
      <c r="J28" s="1">
        <v>35.799999999999997</v>
      </c>
      <c r="K28" s="1">
        <f>Tabela1[[#This Row],[$ Imposto ICMS do faturamento]]-Tabela1[[#This Row],[$ ISS]]</f>
        <v>0</v>
      </c>
    </row>
    <row r="29" spans="1:11" x14ac:dyDescent="0.25">
      <c r="A29" t="s">
        <v>10</v>
      </c>
      <c r="B29" t="s">
        <v>53</v>
      </c>
      <c r="C29" t="s">
        <v>54</v>
      </c>
      <c r="D29" t="s">
        <v>13</v>
      </c>
      <c r="E29" t="s">
        <v>77</v>
      </c>
      <c r="F29" s="1">
        <v>35.799999999999997</v>
      </c>
      <c r="G29" s="1">
        <v>0</v>
      </c>
      <c r="H29" s="1">
        <v>0</v>
      </c>
      <c r="I29" s="1">
        <v>0</v>
      </c>
      <c r="J29" s="1">
        <v>35.799999999999997</v>
      </c>
      <c r="K29" s="1">
        <f>Tabela1[[#This Row],[$ Imposto ICMS do faturamento]]-Tabela1[[#This Row],[$ ISS]]</f>
        <v>0</v>
      </c>
    </row>
    <row r="30" spans="1:11" x14ac:dyDescent="0.25">
      <c r="A30" t="s">
        <v>10</v>
      </c>
      <c r="B30" t="s">
        <v>53</v>
      </c>
      <c r="C30" t="s">
        <v>54</v>
      </c>
      <c r="D30" t="s">
        <v>13</v>
      </c>
      <c r="E30" t="s">
        <v>78</v>
      </c>
      <c r="F30" s="1">
        <v>35.799999999999997</v>
      </c>
      <c r="G30" s="1">
        <v>0</v>
      </c>
      <c r="H30" s="1">
        <v>0</v>
      </c>
      <c r="I30" s="1">
        <v>0</v>
      </c>
      <c r="J30" s="1">
        <v>35.799999999999997</v>
      </c>
      <c r="K30" s="1">
        <f>Tabela1[[#This Row],[$ Imposto ICMS do faturamento]]-Tabela1[[#This Row],[$ ISS]]</f>
        <v>0</v>
      </c>
    </row>
    <row r="31" spans="1:11" x14ac:dyDescent="0.25">
      <c r="A31" t="s">
        <v>10</v>
      </c>
      <c r="B31" t="s">
        <v>11</v>
      </c>
      <c r="C31" t="s">
        <v>24</v>
      </c>
      <c r="D31" t="s">
        <v>13</v>
      </c>
      <c r="E31" t="s">
        <v>27</v>
      </c>
      <c r="F31" s="1">
        <v>32.4</v>
      </c>
      <c r="G31" s="1">
        <v>0</v>
      </c>
      <c r="H31" s="1">
        <v>0</v>
      </c>
      <c r="I31" s="1">
        <v>0</v>
      </c>
      <c r="J31" s="1">
        <v>32.4</v>
      </c>
      <c r="K31" s="1">
        <f>Tabela1[[#This Row],[$ Imposto ICMS do faturamento]]-Tabela1[[#This Row],[$ ISS]]</f>
        <v>0</v>
      </c>
    </row>
    <row r="32" spans="1:11" x14ac:dyDescent="0.25">
      <c r="A32" t="s">
        <v>10</v>
      </c>
      <c r="B32" t="s">
        <v>53</v>
      </c>
      <c r="C32" t="s">
        <v>54</v>
      </c>
      <c r="D32" t="s">
        <v>13</v>
      </c>
      <c r="E32" t="s">
        <v>79</v>
      </c>
      <c r="F32" s="1">
        <v>35.799999999999997</v>
      </c>
      <c r="G32" s="1">
        <v>0</v>
      </c>
      <c r="H32" s="1">
        <v>0</v>
      </c>
      <c r="I32" s="1">
        <v>0</v>
      </c>
      <c r="J32" s="1">
        <v>35.799999999999997</v>
      </c>
      <c r="K32" s="1">
        <f>Tabela1[[#This Row],[$ Imposto ICMS do faturamento]]-Tabela1[[#This Row],[$ ISS]]</f>
        <v>0</v>
      </c>
    </row>
    <row r="33" spans="1:11" x14ac:dyDescent="0.25">
      <c r="A33" t="s">
        <v>10</v>
      </c>
      <c r="B33" t="s">
        <v>53</v>
      </c>
      <c r="C33" t="s">
        <v>54</v>
      </c>
      <c r="D33" t="s">
        <v>13</v>
      </c>
      <c r="E33" t="s">
        <v>80</v>
      </c>
      <c r="F33" s="1">
        <v>35.799999999999997</v>
      </c>
      <c r="G33" s="1">
        <v>0</v>
      </c>
      <c r="H33" s="1">
        <v>0</v>
      </c>
      <c r="I33" s="1">
        <v>0</v>
      </c>
      <c r="J33" s="1">
        <v>35.799999999999997</v>
      </c>
      <c r="K33" s="1">
        <f>Tabela1[[#This Row],[$ Imposto ICMS do faturamento]]-Tabela1[[#This Row],[$ ISS]]</f>
        <v>0</v>
      </c>
    </row>
    <row r="34" spans="1:11" x14ac:dyDescent="0.25">
      <c r="A34" t="s">
        <v>10</v>
      </c>
      <c r="B34" t="s">
        <v>53</v>
      </c>
      <c r="C34" t="s">
        <v>54</v>
      </c>
      <c r="D34" t="s">
        <v>13</v>
      </c>
      <c r="E34" t="s">
        <v>81</v>
      </c>
      <c r="F34" s="1">
        <v>32.6</v>
      </c>
      <c r="G34" s="1">
        <v>0</v>
      </c>
      <c r="H34" s="1">
        <v>0</v>
      </c>
      <c r="I34" s="1">
        <v>0</v>
      </c>
      <c r="J34" s="1">
        <v>32.6</v>
      </c>
      <c r="K34" s="1">
        <f>Tabela1[[#This Row],[$ Imposto ICMS do faturamento]]-Tabela1[[#This Row],[$ ISS]]</f>
        <v>0</v>
      </c>
    </row>
    <row r="35" spans="1:11" x14ac:dyDescent="0.25">
      <c r="A35" t="s">
        <v>10</v>
      </c>
      <c r="B35" t="s">
        <v>53</v>
      </c>
      <c r="C35" t="s">
        <v>54</v>
      </c>
      <c r="D35" t="s">
        <v>13</v>
      </c>
      <c r="E35" t="s">
        <v>82</v>
      </c>
      <c r="F35" s="1">
        <v>35.799999999999997</v>
      </c>
      <c r="G35" s="1">
        <v>0</v>
      </c>
      <c r="H35" s="1">
        <v>0</v>
      </c>
      <c r="I35" s="1">
        <v>0</v>
      </c>
      <c r="J35" s="1">
        <v>35.799999999999997</v>
      </c>
      <c r="K35" s="1">
        <f>Tabela1[[#This Row],[$ Imposto ICMS do faturamento]]-Tabela1[[#This Row],[$ ISS]]</f>
        <v>0</v>
      </c>
    </row>
    <row r="36" spans="1:11" x14ac:dyDescent="0.25">
      <c r="A36" t="s">
        <v>10</v>
      </c>
      <c r="B36" t="s">
        <v>53</v>
      </c>
      <c r="C36" t="s">
        <v>54</v>
      </c>
      <c r="D36" t="s">
        <v>13</v>
      </c>
      <c r="E36" t="s">
        <v>83</v>
      </c>
      <c r="F36" s="1">
        <v>35.799999999999997</v>
      </c>
      <c r="G36" s="1">
        <v>0</v>
      </c>
      <c r="H36" s="1">
        <v>0</v>
      </c>
      <c r="I36" s="1">
        <v>0</v>
      </c>
      <c r="J36" s="1">
        <v>35.799999999999997</v>
      </c>
      <c r="K36" s="1">
        <f>Tabela1[[#This Row],[$ Imposto ICMS do faturamento]]-Tabela1[[#This Row],[$ ISS]]</f>
        <v>0</v>
      </c>
    </row>
    <row r="37" spans="1:11" x14ac:dyDescent="0.25">
      <c r="A37" t="s">
        <v>10</v>
      </c>
      <c r="B37" t="s">
        <v>53</v>
      </c>
      <c r="C37" t="s">
        <v>54</v>
      </c>
      <c r="D37" t="s">
        <v>13</v>
      </c>
      <c r="E37" t="s">
        <v>84</v>
      </c>
      <c r="F37" s="1">
        <v>35.799999999999997</v>
      </c>
      <c r="G37" s="1">
        <v>0</v>
      </c>
      <c r="H37" s="1">
        <v>0</v>
      </c>
      <c r="I37" s="1">
        <v>0</v>
      </c>
      <c r="J37" s="1">
        <v>35.799999999999997</v>
      </c>
      <c r="K37" s="1">
        <f>Tabela1[[#This Row],[$ Imposto ICMS do faturamento]]-Tabela1[[#This Row],[$ ISS]]</f>
        <v>0</v>
      </c>
    </row>
    <row r="38" spans="1:11" x14ac:dyDescent="0.25">
      <c r="A38" t="s">
        <v>10</v>
      </c>
      <c r="B38" t="s">
        <v>53</v>
      </c>
      <c r="C38" t="s">
        <v>54</v>
      </c>
      <c r="D38" t="s">
        <v>13</v>
      </c>
      <c r="E38" t="s">
        <v>85</v>
      </c>
      <c r="F38" s="1">
        <v>35.799999999999997</v>
      </c>
      <c r="G38" s="1">
        <v>0</v>
      </c>
      <c r="H38" s="1">
        <v>0</v>
      </c>
      <c r="I38" s="1">
        <v>0</v>
      </c>
      <c r="J38" s="1">
        <v>35.799999999999997</v>
      </c>
      <c r="K38" s="1">
        <f>Tabela1[[#This Row],[$ Imposto ICMS do faturamento]]-Tabela1[[#This Row],[$ ISS]]</f>
        <v>0</v>
      </c>
    </row>
    <row r="39" spans="1:11" x14ac:dyDescent="0.25">
      <c r="A39" t="s">
        <v>10</v>
      </c>
      <c r="B39" t="s">
        <v>53</v>
      </c>
      <c r="C39" t="s">
        <v>54</v>
      </c>
      <c r="D39" t="s">
        <v>13</v>
      </c>
      <c r="E39" t="s">
        <v>86</v>
      </c>
      <c r="F39" s="1">
        <v>35.799999999999997</v>
      </c>
      <c r="G39" s="1">
        <v>0</v>
      </c>
      <c r="H39" s="1">
        <v>0</v>
      </c>
      <c r="I39" s="1">
        <v>0</v>
      </c>
      <c r="J39" s="1">
        <v>35.799999999999997</v>
      </c>
      <c r="K39" s="1">
        <f>Tabela1[[#This Row],[$ Imposto ICMS do faturamento]]-Tabela1[[#This Row],[$ ISS]]</f>
        <v>0</v>
      </c>
    </row>
    <row r="40" spans="1:11" x14ac:dyDescent="0.25">
      <c r="A40" t="s">
        <v>10</v>
      </c>
      <c r="B40" t="s">
        <v>53</v>
      </c>
      <c r="C40" t="s">
        <v>54</v>
      </c>
      <c r="D40" t="s">
        <v>13</v>
      </c>
      <c r="E40" t="s">
        <v>87</v>
      </c>
      <c r="F40" s="1">
        <v>35.799999999999997</v>
      </c>
      <c r="G40" s="1">
        <v>0</v>
      </c>
      <c r="H40" s="1">
        <v>0</v>
      </c>
      <c r="I40" s="1">
        <v>0</v>
      </c>
      <c r="J40" s="1">
        <v>35.799999999999997</v>
      </c>
      <c r="K40" s="1">
        <f>Tabela1[[#This Row],[$ Imposto ICMS do faturamento]]-Tabela1[[#This Row],[$ ISS]]</f>
        <v>0</v>
      </c>
    </row>
    <row r="41" spans="1:11" x14ac:dyDescent="0.25">
      <c r="A41" t="s">
        <v>10</v>
      </c>
      <c r="B41" t="s">
        <v>11</v>
      </c>
      <c r="C41" t="s">
        <v>16</v>
      </c>
      <c r="D41" t="s">
        <v>13</v>
      </c>
      <c r="E41" t="s">
        <v>19</v>
      </c>
      <c r="F41" s="1">
        <v>35.6</v>
      </c>
      <c r="G41" s="1">
        <v>0</v>
      </c>
      <c r="H41" s="1">
        <v>0</v>
      </c>
      <c r="I41" s="1">
        <v>0</v>
      </c>
      <c r="J41" s="1">
        <v>35.6</v>
      </c>
      <c r="K41" s="1">
        <f>Tabela1[[#This Row],[$ Imposto ICMS do faturamento]]-Tabela1[[#This Row],[$ ISS]]</f>
        <v>0</v>
      </c>
    </row>
    <row r="42" spans="1:11" x14ac:dyDescent="0.25">
      <c r="A42" t="s">
        <v>10</v>
      </c>
      <c r="B42" t="s">
        <v>11</v>
      </c>
      <c r="C42" t="s">
        <v>16</v>
      </c>
      <c r="D42" t="s">
        <v>13</v>
      </c>
      <c r="E42" t="s">
        <v>20</v>
      </c>
      <c r="F42" s="1">
        <v>35.6</v>
      </c>
      <c r="G42" s="1">
        <v>0</v>
      </c>
      <c r="H42" s="1">
        <v>0</v>
      </c>
      <c r="I42" s="1">
        <v>0</v>
      </c>
      <c r="J42" s="1">
        <v>35.6</v>
      </c>
      <c r="K42" s="1">
        <f>Tabela1[[#This Row],[$ Imposto ICMS do faturamento]]-Tabela1[[#This Row],[$ ISS]]</f>
        <v>0</v>
      </c>
    </row>
    <row r="43" spans="1:11" x14ac:dyDescent="0.25">
      <c r="A43" t="s">
        <v>10</v>
      </c>
      <c r="B43" t="s">
        <v>11</v>
      </c>
      <c r="C43" t="s">
        <v>24</v>
      </c>
      <c r="D43" t="s">
        <v>13</v>
      </c>
      <c r="E43" t="s">
        <v>28</v>
      </c>
      <c r="F43" s="1">
        <v>32.4</v>
      </c>
      <c r="G43" s="1">
        <v>0</v>
      </c>
      <c r="H43" s="1">
        <v>0</v>
      </c>
      <c r="I43" s="1">
        <v>0</v>
      </c>
      <c r="J43" s="1">
        <v>32.4</v>
      </c>
      <c r="K43" s="1">
        <f>Tabela1[[#This Row],[$ Imposto ICMS do faturamento]]-Tabela1[[#This Row],[$ ISS]]</f>
        <v>0</v>
      </c>
    </row>
    <row r="44" spans="1:11" x14ac:dyDescent="0.25">
      <c r="A44" t="s">
        <v>10</v>
      </c>
      <c r="B44" t="s">
        <v>11</v>
      </c>
      <c r="C44" t="s">
        <v>24</v>
      </c>
      <c r="D44" t="s">
        <v>13</v>
      </c>
      <c r="E44" t="s">
        <v>29</v>
      </c>
      <c r="F44" s="1">
        <v>35.6</v>
      </c>
      <c r="G44" s="1">
        <v>0</v>
      </c>
      <c r="H44" s="1">
        <v>0</v>
      </c>
      <c r="I44" s="1">
        <v>0</v>
      </c>
      <c r="J44" s="1">
        <v>35.6</v>
      </c>
      <c r="K44" s="1">
        <f>Tabela1[[#This Row],[$ Imposto ICMS do faturamento]]-Tabela1[[#This Row],[$ ISS]]</f>
        <v>0</v>
      </c>
    </row>
    <row r="45" spans="1:11" x14ac:dyDescent="0.25">
      <c r="A45" t="s">
        <v>10</v>
      </c>
      <c r="B45" t="s">
        <v>11</v>
      </c>
      <c r="C45" t="s">
        <v>24</v>
      </c>
      <c r="D45" t="s">
        <v>13</v>
      </c>
      <c r="E45" t="s">
        <v>30</v>
      </c>
      <c r="F45" s="1">
        <v>35.6</v>
      </c>
      <c r="G45" s="1">
        <v>0</v>
      </c>
      <c r="H45" s="1">
        <v>0</v>
      </c>
      <c r="I45" s="1">
        <v>0</v>
      </c>
      <c r="J45" s="1">
        <v>35.6</v>
      </c>
      <c r="K45" s="1">
        <f>Tabela1[[#This Row],[$ Imposto ICMS do faturamento]]-Tabela1[[#This Row],[$ ISS]]</f>
        <v>0</v>
      </c>
    </row>
    <row r="46" spans="1:11" x14ac:dyDescent="0.25">
      <c r="A46" t="s">
        <v>10</v>
      </c>
      <c r="B46" t="s">
        <v>11</v>
      </c>
      <c r="C46" t="s">
        <v>24</v>
      </c>
      <c r="D46" t="s">
        <v>13</v>
      </c>
      <c r="E46" t="s">
        <v>31</v>
      </c>
      <c r="F46" s="1">
        <v>35.6</v>
      </c>
      <c r="G46" s="1">
        <v>0</v>
      </c>
      <c r="H46" s="1">
        <v>0</v>
      </c>
      <c r="I46" s="1">
        <v>0</v>
      </c>
      <c r="J46" s="1">
        <v>35.6</v>
      </c>
      <c r="K46" s="1">
        <f>Tabela1[[#This Row],[$ Imposto ICMS do faturamento]]-Tabela1[[#This Row],[$ ISS]]</f>
        <v>0</v>
      </c>
    </row>
    <row r="47" spans="1:11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s="1">
        <v>35.6</v>
      </c>
      <c r="G47" s="1">
        <v>0</v>
      </c>
      <c r="H47" s="1">
        <v>0</v>
      </c>
      <c r="I47" s="1">
        <v>0</v>
      </c>
      <c r="J47" s="1">
        <v>35.6</v>
      </c>
      <c r="K47" s="1">
        <f>Tabela1[[#This Row],[$ Imposto ICMS do faturamento]]-Tabela1[[#This Row],[$ ISS]]</f>
        <v>0</v>
      </c>
    </row>
    <row r="48" spans="1:11" x14ac:dyDescent="0.25">
      <c r="A48" t="s">
        <v>10</v>
      </c>
      <c r="B48" t="s">
        <v>11</v>
      </c>
      <c r="C48" t="s">
        <v>12</v>
      </c>
      <c r="D48" t="s">
        <v>13</v>
      </c>
      <c r="E48" t="s">
        <v>15</v>
      </c>
      <c r="F48" s="1">
        <v>35.6</v>
      </c>
      <c r="G48" s="1">
        <v>0</v>
      </c>
      <c r="H48" s="1">
        <v>0</v>
      </c>
      <c r="I48" s="1">
        <v>0</v>
      </c>
      <c r="J48" s="1">
        <v>35.6</v>
      </c>
      <c r="K48" s="1">
        <f>Tabela1[[#This Row],[$ Imposto ICMS do faturamento]]-Tabela1[[#This Row],[$ ISS]]</f>
        <v>0</v>
      </c>
    </row>
    <row r="49" spans="1:11" x14ac:dyDescent="0.25">
      <c r="A49" t="s">
        <v>10</v>
      </c>
      <c r="B49" t="s">
        <v>11</v>
      </c>
      <c r="C49" t="s">
        <v>16</v>
      </c>
      <c r="D49" t="s">
        <v>13</v>
      </c>
      <c r="E49" t="s">
        <v>21</v>
      </c>
      <c r="F49" s="1">
        <v>35.6</v>
      </c>
      <c r="G49" s="1">
        <v>0</v>
      </c>
      <c r="H49" s="1">
        <v>0</v>
      </c>
      <c r="I49" s="1">
        <v>0</v>
      </c>
      <c r="J49" s="1">
        <v>35.6</v>
      </c>
      <c r="K49" s="1">
        <f>Tabela1[[#This Row],[$ Imposto ICMS do faturamento]]-Tabela1[[#This Row],[$ ISS]]</f>
        <v>0</v>
      </c>
    </row>
    <row r="50" spans="1:11" x14ac:dyDescent="0.25">
      <c r="A50" t="s">
        <v>10</v>
      </c>
      <c r="B50" t="s">
        <v>11</v>
      </c>
      <c r="C50" t="s">
        <v>24</v>
      </c>
      <c r="D50" t="s">
        <v>13</v>
      </c>
      <c r="E50" t="s">
        <v>32</v>
      </c>
      <c r="F50" s="1">
        <v>35.6</v>
      </c>
      <c r="G50" s="1">
        <v>0</v>
      </c>
      <c r="H50" s="1">
        <v>0</v>
      </c>
      <c r="I50" s="1">
        <v>0</v>
      </c>
      <c r="J50" s="1">
        <v>35.6</v>
      </c>
      <c r="K50" s="1">
        <f>Tabela1[[#This Row],[$ Imposto ICMS do faturamento]]-Tabela1[[#This Row],[$ ISS]]</f>
        <v>0</v>
      </c>
    </row>
    <row r="51" spans="1:11" x14ac:dyDescent="0.25">
      <c r="A51" t="s">
        <v>10</v>
      </c>
      <c r="B51" t="s">
        <v>11</v>
      </c>
      <c r="C51" t="s">
        <v>24</v>
      </c>
      <c r="D51" t="s">
        <v>13</v>
      </c>
      <c r="E51" t="s">
        <v>33</v>
      </c>
      <c r="F51" s="1">
        <v>35.6</v>
      </c>
      <c r="G51" s="1">
        <v>0</v>
      </c>
      <c r="H51" s="1">
        <v>0</v>
      </c>
      <c r="I51" s="1">
        <v>0</v>
      </c>
      <c r="J51" s="1">
        <v>35.6</v>
      </c>
      <c r="K51" s="1">
        <f>Tabela1[[#This Row],[$ Imposto ICMS do faturamento]]-Tabela1[[#This Row],[$ ISS]]</f>
        <v>0</v>
      </c>
    </row>
    <row r="52" spans="1:11" x14ac:dyDescent="0.25">
      <c r="A52" t="s">
        <v>10</v>
      </c>
      <c r="B52" t="s">
        <v>11</v>
      </c>
      <c r="C52" t="s">
        <v>24</v>
      </c>
      <c r="D52" t="s">
        <v>13</v>
      </c>
      <c r="E52" t="s">
        <v>34</v>
      </c>
      <c r="F52" s="1">
        <v>35.6</v>
      </c>
      <c r="G52" s="1">
        <v>0</v>
      </c>
      <c r="H52" s="1">
        <v>0</v>
      </c>
      <c r="I52" s="1">
        <v>0</v>
      </c>
      <c r="J52" s="1">
        <v>35.6</v>
      </c>
      <c r="K52" s="1">
        <f>Tabela1[[#This Row],[$ Imposto ICMS do faturamento]]-Tabela1[[#This Row],[$ ISS]]</f>
        <v>0</v>
      </c>
    </row>
    <row r="53" spans="1:11" x14ac:dyDescent="0.25">
      <c r="A53" t="s">
        <v>10</v>
      </c>
      <c r="B53" t="s">
        <v>11</v>
      </c>
      <c r="C53" t="s">
        <v>16</v>
      </c>
      <c r="D53" t="s">
        <v>13</v>
      </c>
      <c r="E53" t="s">
        <v>22</v>
      </c>
      <c r="F53" s="1">
        <v>35.6</v>
      </c>
      <c r="G53" s="1">
        <v>0</v>
      </c>
      <c r="H53" s="1">
        <v>0</v>
      </c>
      <c r="I53" s="1">
        <v>0</v>
      </c>
      <c r="J53" s="1">
        <v>35.6</v>
      </c>
      <c r="K53" s="1">
        <f>Tabela1[[#This Row],[$ Imposto ICMS do faturamento]]-Tabela1[[#This Row],[$ ISS]]</f>
        <v>0</v>
      </c>
    </row>
    <row r="54" spans="1:11" x14ac:dyDescent="0.25">
      <c r="A54" t="s">
        <v>10</v>
      </c>
      <c r="B54" t="s">
        <v>11</v>
      </c>
      <c r="C54" t="s">
        <v>24</v>
      </c>
      <c r="D54" t="s">
        <v>13</v>
      </c>
      <c r="E54" t="s">
        <v>35</v>
      </c>
      <c r="F54" s="1">
        <v>35.6</v>
      </c>
      <c r="G54" s="1">
        <v>0</v>
      </c>
      <c r="H54" s="1">
        <v>0</v>
      </c>
      <c r="I54" s="1">
        <v>0</v>
      </c>
      <c r="J54" s="1">
        <v>35.6</v>
      </c>
      <c r="K54" s="1">
        <f>Tabela1[[#This Row],[$ Imposto ICMS do faturamento]]-Tabela1[[#This Row],[$ ISS]]</f>
        <v>0</v>
      </c>
    </row>
    <row r="55" spans="1:11" x14ac:dyDescent="0.25">
      <c r="A55" t="s">
        <v>10</v>
      </c>
      <c r="B55" t="s">
        <v>11</v>
      </c>
      <c r="C55" t="s">
        <v>24</v>
      </c>
      <c r="D55" t="s">
        <v>13</v>
      </c>
      <c r="E55" t="s">
        <v>36</v>
      </c>
      <c r="F55" s="1">
        <v>35.6</v>
      </c>
      <c r="G55" s="1">
        <v>0</v>
      </c>
      <c r="H55" s="1">
        <v>0</v>
      </c>
      <c r="I55" s="1">
        <v>0</v>
      </c>
      <c r="J55" s="1">
        <v>35.6</v>
      </c>
      <c r="K55" s="1">
        <f>Tabela1[[#This Row],[$ Imposto ICMS do faturamento]]-Tabela1[[#This Row],[$ ISS]]</f>
        <v>0</v>
      </c>
    </row>
    <row r="56" spans="1:11" x14ac:dyDescent="0.25">
      <c r="A56" t="s">
        <v>10</v>
      </c>
      <c r="B56" t="s">
        <v>11</v>
      </c>
      <c r="C56" t="s">
        <v>24</v>
      </c>
      <c r="D56" t="s">
        <v>13</v>
      </c>
      <c r="E56" t="s">
        <v>37</v>
      </c>
      <c r="F56" s="1">
        <v>35.6</v>
      </c>
      <c r="G56" s="1">
        <v>0</v>
      </c>
      <c r="H56" s="1">
        <v>0</v>
      </c>
      <c r="I56" s="1">
        <v>0</v>
      </c>
      <c r="J56" s="1">
        <v>35.6</v>
      </c>
      <c r="K56" s="1">
        <f>Tabela1[[#This Row],[$ Imposto ICMS do faturamento]]-Tabela1[[#This Row],[$ ISS]]</f>
        <v>0</v>
      </c>
    </row>
    <row r="57" spans="1:11" x14ac:dyDescent="0.25">
      <c r="A57" t="s">
        <v>10</v>
      </c>
      <c r="B57" t="s">
        <v>11</v>
      </c>
      <c r="C57" t="s">
        <v>16</v>
      </c>
      <c r="D57" t="s">
        <v>13</v>
      </c>
      <c r="E57" t="s">
        <v>23</v>
      </c>
      <c r="F57" s="1">
        <v>35.6</v>
      </c>
      <c r="G57" s="1">
        <v>0</v>
      </c>
      <c r="H57" s="1">
        <v>0</v>
      </c>
      <c r="I57" s="1">
        <v>0</v>
      </c>
      <c r="J57" s="1">
        <v>35.6</v>
      </c>
      <c r="K57" s="1">
        <f>Tabela1[[#This Row],[$ Imposto ICMS do faturamento]]-Tabela1[[#This Row],[$ ISS]]</f>
        <v>0</v>
      </c>
    </row>
    <row r="58" spans="1:11" x14ac:dyDescent="0.25">
      <c r="A58" t="s">
        <v>10</v>
      </c>
      <c r="B58" t="s">
        <v>11</v>
      </c>
      <c r="C58" t="s">
        <v>24</v>
      </c>
      <c r="D58" t="s">
        <v>13</v>
      </c>
      <c r="E58" t="s">
        <v>38</v>
      </c>
      <c r="F58" s="1">
        <v>35.6</v>
      </c>
      <c r="G58" s="1">
        <v>0</v>
      </c>
      <c r="H58" s="1">
        <v>0</v>
      </c>
      <c r="I58" s="1">
        <v>0</v>
      </c>
      <c r="J58" s="1">
        <v>35.6</v>
      </c>
      <c r="K58" s="1">
        <f>Tabela1[[#This Row],[$ Imposto ICMS do faturamento]]-Tabela1[[#This Row],[$ ISS]]</f>
        <v>0</v>
      </c>
    </row>
    <row r="59" spans="1:11" x14ac:dyDescent="0.25">
      <c r="A59" t="s">
        <v>10</v>
      </c>
      <c r="B59" t="s">
        <v>11</v>
      </c>
      <c r="C59" t="s">
        <v>24</v>
      </c>
      <c r="D59" t="s">
        <v>13</v>
      </c>
      <c r="E59" t="s">
        <v>39</v>
      </c>
      <c r="F59" s="1">
        <v>35.6</v>
      </c>
      <c r="G59" s="1">
        <v>0</v>
      </c>
      <c r="H59" s="1">
        <v>0</v>
      </c>
      <c r="I59" s="1">
        <v>0</v>
      </c>
      <c r="J59" s="1">
        <v>35.6</v>
      </c>
      <c r="K59" s="1">
        <f>Tabela1[[#This Row],[$ Imposto ICMS do faturamento]]-Tabela1[[#This Row],[$ ISS]]</f>
        <v>0</v>
      </c>
    </row>
    <row r="60" spans="1:11" x14ac:dyDescent="0.25">
      <c r="A60" t="s">
        <v>10</v>
      </c>
      <c r="B60" t="s">
        <v>11</v>
      </c>
      <c r="C60" t="s">
        <v>24</v>
      </c>
      <c r="D60" t="s">
        <v>13</v>
      </c>
      <c r="E60" t="s">
        <v>40</v>
      </c>
      <c r="F60" s="1">
        <v>32.4</v>
      </c>
      <c r="G60" s="1">
        <v>0</v>
      </c>
      <c r="H60" s="1">
        <v>0</v>
      </c>
      <c r="I60" s="1">
        <v>0</v>
      </c>
      <c r="J60" s="1">
        <v>32.4</v>
      </c>
      <c r="K60" s="1">
        <f>Tabela1[[#This Row],[$ Imposto ICMS do faturamento]]-Tabela1[[#This Row],[$ ISS]]</f>
        <v>0</v>
      </c>
    </row>
    <row r="61" spans="1:11" x14ac:dyDescent="0.25">
      <c r="A61" t="s">
        <v>10</v>
      </c>
      <c r="B61" t="s">
        <v>11</v>
      </c>
      <c r="C61" t="s">
        <v>24</v>
      </c>
      <c r="D61" t="s">
        <v>13</v>
      </c>
      <c r="E61" t="s">
        <v>41</v>
      </c>
      <c r="F61" s="1">
        <v>35.6</v>
      </c>
      <c r="G61" s="1">
        <v>0</v>
      </c>
      <c r="H61" s="1">
        <v>0</v>
      </c>
      <c r="I61" s="1">
        <v>0</v>
      </c>
      <c r="J61" s="1">
        <v>35.6</v>
      </c>
      <c r="K61" s="1">
        <f>Tabela1[[#This Row],[$ Imposto ICMS do faturamento]]-Tabela1[[#This Row],[$ ISS]]</f>
        <v>0</v>
      </c>
    </row>
    <row r="62" spans="1:11" x14ac:dyDescent="0.25">
      <c r="A62" t="s">
        <v>10</v>
      </c>
      <c r="B62" t="s">
        <v>11</v>
      </c>
      <c r="C62" t="s">
        <v>24</v>
      </c>
      <c r="D62" t="s">
        <v>13</v>
      </c>
      <c r="E62" t="s">
        <v>42</v>
      </c>
      <c r="F62" s="1">
        <v>35.6</v>
      </c>
      <c r="G62" s="1">
        <v>0</v>
      </c>
      <c r="H62" s="1">
        <v>0</v>
      </c>
      <c r="I62" s="1">
        <v>0</v>
      </c>
      <c r="J62" s="1">
        <v>35.6</v>
      </c>
      <c r="K62" s="1">
        <f>Tabela1[[#This Row],[$ Imposto ICMS do faturamento]]-Tabela1[[#This Row],[$ ISS]]</f>
        <v>0</v>
      </c>
    </row>
    <row r="63" spans="1:11" x14ac:dyDescent="0.25">
      <c r="A63" t="s">
        <v>10</v>
      </c>
      <c r="B63" t="s">
        <v>11</v>
      </c>
      <c r="C63" t="s">
        <v>24</v>
      </c>
      <c r="D63" t="s">
        <v>13</v>
      </c>
      <c r="E63" t="s">
        <v>43</v>
      </c>
      <c r="F63" s="1">
        <v>35.6</v>
      </c>
      <c r="G63" s="1">
        <v>0</v>
      </c>
      <c r="H63" s="1">
        <v>0</v>
      </c>
      <c r="I63" s="1">
        <v>0</v>
      </c>
      <c r="J63" s="1">
        <v>35.6</v>
      </c>
      <c r="K63" s="1">
        <f>Tabela1[[#This Row],[$ Imposto ICMS do faturamento]]-Tabela1[[#This Row],[$ ISS]]</f>
        <v>0</v>
      </c>
    </row>
    <row r="64" spans="1:11" x14ac:dyDescent="0.25">
      <c r="A64" t="s">
        <v>10</v>
      </c>
      <c r="B64" t="s">
        <v>11</v>
      </c>
      <c r="C64" t="s">
        <v>24</v>
      </c>
      <c r="D64" t="s">
        <v>13</v>
      </c>
      <c r="E64" t="s">
        <v>44</v>
      </c>
      <c r="F64" s="1">
        <v>35.6</v>
      </c>
      <c r="G64" s="1">
        <v>0</v>
      </c>
      <c r="H64" s="1">
        <v>0</v>
      </c>
      <c r="I64" s="1">
        <v>0</v>
      </c>
      <c r="J64" s="1">
        <v>35.6</v>
      </c>
      <c r="K64" s="1">
        <f>Tabela1[[#This Row],[$ Imposto ICMS do faturamento]]-Tabela1[[#This Row],[$ ISS]]</f>
        <v>0</v>
      </c>
    </row>
    <row r="65" spans="1:11" x14ac:dyDescent="0.25">
      <c r="A65" t="s">
        <v>10</v>
      </c>
      <c r="B65" t="s">
        <v>11</v>
      </c>
      <c r="C65" t="s">
        <v>24</v>
      </c>
      <c r="D65" t="s">
        <v>13</v>
      </c>
      <c r="E65" t="s">
        <v>45</v>
      </c>
      <c r="F65" s="1">
        <v>35.6</v>
      </c>
      <c r="G65" s="1">
        <v>0</v>
      </c>
      <c r="H65" s="1">
        <v>0</v>
      </c>
      <c r="I65" s="1">
        <v>0</v>
      </c>
      <c r="J65" s="1">
        <v>35.6</v>
      </c>
      <c r="K65" s="1">
        <f>Tabela1[[#This Row],[$ Imposto ICMS do faturamento]]-Tabela1[[#This Row],[$ ISS]]</f>
        <v>0</v>
      </c>
    </row>
    <row r="66" spans="1:11" x14ac:dyDescent="0.25">
      <c r="A66" t="s">
        <v>10</v>
      </c>
      <c r="B66" t="s">
        <v>11</v>
      </c>
      <c r="C66" t="s">
        <v>24</v>
      </c>
      <c r="D66" t="s">
        <v>13</v>
      </c>
      <c r="E66" t="s">
        <v>46</v>
      </c>
      <c r="F66" s="1">
        <v>35.6</v>
      </c>
      <c r="G66" s="1">
        <v>0</v>
      </c>
      <c r="H66" s="1">
        <v>0</v>
      </c>
      <c r="I66" s="1">
        <v>0</v>
      </c>
      <c r="J66" s="1">
        <v>35.6</v>
      </c>
      <c r="K66" s="1">
        <f>Tabela1[[#This Row],[$ Imposto ICMS do faturamento]]-Tabela1[[#This Row],[$ ISS]]</f>
        <v>0</v>
      </c>
    </row>
    <row r="67" spans="1:11" x14ac:dyDescent="0.25">
      <c r="A67" t="s">
        <v>10</v>
      </c>
      <c r="B67" t="s">
        <v>11</v>
      </c>
      <c r="C67" t="s">
        <v>24</v>
      </c>
      <c r="D67" t="s">
        <v>13</v>
      </c>
      <c r="E67" t="s">
        <v>47</v>
      </c>
      <c r="F67" s="1">
        <v>35.6</v>
      </c>
      <c r="G67" s="1">
        <v>0</v>
      </c>
      <c r="H67" s="1">
        <v>0</v>
      </c>
      <c r="I67" s="1">
        <v>0</v>
      </c>
      <c r="J67" s="1">
        <v>35.6</v>
      </c>
      <c r="K67" s="1">
        <f>Tabela1[[#This Row],[$ Imposto ICMS do faturamento]]-Tabela1[[#This Row],[$ ISS]]</f>
        <v>0</v>
      </c>
    </row>
    <row r="68" spans="1:11" x14ac:dyDescent="0.25">
      <c r="A68" t="s">
        <v>10</v>
      </c>
      <c r="B68" t="s">
        <v>11</v>
      </c>
      <c r="C68" t="s">
        <v>24</v>
      </c>
      <c r="D68" t="s">
        <v>13</v>
      </c>
      <c r="E68" t="s">
        <v>48</v>
      </c>
      <c r="F68" s="1">
        <v>35.6</v>
      </c>
      <c r="G68" s="1">
        <v>0</v>
      </c>
      <c r="H68" s="1">
        <v>0</v>
      </c>
      <c r="I68" s="1">
        <v>0</v>
      </c>
      <c r="J68" s="1">
        <v>35.6</v>
      </c>
      <c r="K68" s="1">
        <f>Tabela1[[#This Row],[$ Imposto ICMS do faturamento]]-Tabela1[[#This Row],[$ ISS]]</f>
        <v>0</v>
      </c>
    </row>
    <row r="69" spans="1:11" x14ac:dyDescent="0.25">
      <c r="A69" t="s">
        <v>10</v>
      </c>
      <c r="B69" t="s">
        <v>11</v>
      </c>
      <c r="C69" t="s">
        <v>24</v>
      </c>
      <c r="D69" t="s">
        <v>13</v>
      </c>
      <c r="E69" t="s">
        <v>49</v>
      </c>
      <c r="F69" s="1">
        <v>35.6</v>
      </c>
      <c r="G69" s="1">
        <v>0</v>
      </c>
      <c r="H69" s="1">
        <v>0</v>
      </c>
      <c r="I69" s="1">
        <v>0</v>
      </c>
      <c r="J69" s="1">
        <v>35.6</v>
      </c>
      <c r="K69" s="1">
        <f>Tabela1[[#This Row],[$ Imposto ICMS do faturamento]]-Tabela1[[#This Row],[$ ISS]]</f>
        <v>0</v>
      </c>
    </row>
    <row r="70" spans="1:11" x14ac:dyDescent="0.25">
      <c r="A70" t="s">
        <v>10</v>
      </c>
      <c r="B70" t="s">
        <v>11</v>
      </c>
      <c r="C70" t="s">
        <v>24</v>
      </c>
      <c r="D70" t="s">
        <v>13</v>
      </c>
      <c r="E70" t="s">
        <v>50</v>
      </c>
      <c r="F70" s="1">
        <v>35.6</v>
      </c>
      <c r="G70" s="1">
        <v>0</v>
      </c>
      <c r="H70" s="1">
        <v>0</v>
      </c>
      <c r="I70" s="1">
        <v>0</v>
      </c>
      <c r="J70" s="1">
        <v>35.6</v>
      </c>
      <c r="K70" s="1">
        <f>Tabela1[[#This Row],[$ Imposto ICMS do faturamento]]-Tabela1[[#This Row],[$ ISS]]</f>
        <v>0</v>
      </c>
    </row>
    <row r="71" spans="1:11" x14ac:dyDescent="0.25">
      <c r="A71" t="s">
        <v>10</v>
      </c>
      <c r="B71" t="s">
        <v>53</v>
      </c>
      <c r="C71" t="s">
        <v>54</v>
      </c>
      <c r="D71" t="s">
        <v>13</v>
      </c>
      <c r="E71" t="s">
        <v>88</v>
      </c>
      <c r="F71" s="1">
        <v>35.799999999999997</v>
      </c>
      <c r="G71" s="1">
        <v>0</v>
      </c>
      <c r="H71" s="1">
        <v>0</v>
      </c>
      <c r="I71" s="1">
        <v>0</v>
      </c>
      <c r="J71" s="1">
        <v>35.799999999999997</v>
      </c>
      <c r="K71" s="1">
        <f>Tabela1[[#This Row],[$ Imposto ICMS do faturamento]]-Tabela1[[#This Row],[$ ISS]]</f>
        <v>0</v>
      </c>
    </row>
    <row r="72" spans="1:11" x14ac:dyDescent="0.25">
      <c r="A72" t="s">
        <v>10</v>
      </c>
      <c r="B72" t="s">
        <v>53</v>
      </c>
      <c r="C72" t="s">
        <v>54</v>
      </c>
      <c r="D72" t="s">
        <v>13</v>
      </c>
      <c r="E72" t="s">
        <v>89</v>
      </c>
      <c r="F72" s="1">
        <v>35.799999999999997</v>
      </c>
      <c r="G72" s="1">
        <v>0</v>
      </c>
      <c r="H72" s="1">
        <v>0</v>
      </c>
      <c r="I72" s="1">
        <v>0</v>
      </c>
      <c r="J72" s="1">
        <v>35.799999999999997</v>
      </c>
      <c r="K72" s="1">
        <f>Tabela1[[#This Row],[$ Imposto ICMS do faturamento]]-Tabela1[[#This Row],[$ ISS]]</f>
        <v>0</v>
      </c>
    </row>
    <row r="73" spans="1:11" x14ac:dyDescent="0.25">
      <c r="A73" t="s">
        <v>10</v>
      </c>
      <c r="B73" t="s">
        <v>11</v>
      </c>
      <c r="C73" t="s">
        <v>24</v>
      </c>
      <c r="D73" t="s">
        <v>13</v>
      </c>
      <c r="E73" t="s">
        <v>51</v>
      </c>
      <c r="F73" s="1">
        <v>35.6</v>
      </c>
      <c r="G73" s="1">
        <v>0</v>
      </c>
      <c r="H73" s="1">
        <v>0</v>
      </c>
      <c r="I73" s="1">
        <v>0</v>
      </c>
      <c r="J73" s="1">
        <v>35.6</v>
      </c>
      <c r="K73" s="1">
        <f>Tabela1[[#This Row],[$ Imposto ICMS do faturamento]]-Tabela1[[#This Row],[$ ISS]]</f>
        <v>0</v>
      </c>
    </row>
    <row r="74" spans="1:11" x14ac:dyDescent="0.25">
      <c r="A74" t="s">
        <v>10</v>
      </c>
      <c r="B74" t="s">
        <v>11</v>
      </c>
      <c r="C74" t="s">
        <v>24</v>
      </c>
      <c r="D74" t="s">
        <v>13</v>
      </c>
      <c r="E74" t="s">
        <v>52</v>
      </c>
      <c r="F74" s="1">
        <v>35.6</v>
      </c>
      <c r="G74" s="1">
        <v>0</v>
      </c>
      <c r="H74" s="1">
        <v>0</v>
      </c>
      <c r="I74" s="1">
        <v>0</v>
      </c>
      <c r="J74" s="1">
        <v>35.6</v>
      </c>
      <c r="K74" s="1">
        <f>Tabela1[[#This Row],[$ Imposto ICMS do faturamento]]-Tabela1[[#This Row],[$ ISS]]</f>
        <v>0</v>
      </c>
    </row>
    <row r="75" spans="1:11" x14ac:dyDescent="0.25">
      <c r="A75" t="s">
        <v>92</v>
      </c>
      <c r="B75" t="s">
        <v>53</v>
      </c>
      <c r="C75" t="s">
        <v>54</v>
      </c>
      <c r="D75" t="s">
        <v>13</v>
      </c>
      <c r="E75" t="s">
        <v>93</v>
      </c>
      <c r="F75" s="1">
        <v>35.799999999999997</v>
      </c>
      <c r="G75" s="1">
        <v>0</v>
      </c>
      <c r="H75" s="1">
        <v>0</v>
      </c>
      <c r="I75" s="1">
        <v>0</v>
      </c>
      <c r="J75" s="1">
        <v>35.799999999999997</v>
      </c>
      <c r="K75" s="1">
        <f>Tabela1[[#This Row],[$ Imposto ICMS do faturamento]]-Tabela1[[#This Row],[$ ISS]]</f>
        <v>0</v>
      </c>
    </row>
    <row r="76" spans="1:11" x14ac:dyDescent="0.25">
      <c r="A76" t="s">
        <v>92</v>
      </c>
      <c r="B76" t="s">
        <v>53</v>
      </c>
      <c r="C76" t="s">
        <v>54</v>
      </c>
      <c r="D76" t="s">
        <v>13</v>
      </c>
      <c r="E76" t="s">
        <v>94</v>
      </c>
      <c r="F76" s="1">
        <v>35.799999999999997</v>
      </c>
      <c r="G76" s="1">
        <v>0</v>
      </c>
      <c r="H76" s="1">
        <v>0</v>
      </c>
      <c r="I76" s="1">
        <v>0</v>
      </c>
      <c r="J76" s="1">
        <v>35.799999999999997</v>
      </c>
      <c r="K76" s="1">
        <f>Tabela1[[#This Row],[$ Imposto ICMS do faturamento]]-Tabela1[[#This Row],[$ ISS]]</f>
        <v>0</v>
      </c>
    </row>
    <row r="77" spans="1:11" x14ac:dyDescent="0.25">
      <c r="A77" t="s">
        <v>92</v>
      </c>
      <c r="B77" t="s">
        <v>53</v>
      </c>
      <c r="C77" t="s">
        <v>54</v>
      </c>
      <c r="D77" t="s">
        <v>13</v>
      </c>
      <c r="E77" t="s">
        <v>95</v>
      </c>
      <c r="F77" s="1">
        <v>35.799999999999997</v>
      </c>
      <c r="G77" s="1">
        <v>0</v>
      </c>
      <c r="H77" s="1">
        <v>0</v>
      </c>
      <c r="I77" s="1">
        <v>0</v>
      </c>
      <c r="J77" s="1">
        <v>35.799999999999997</v>
      </c>
      <c r="K77" s="1">
        <f>Tabela1[[#This Row],[$ Imposto ICMS do faturamento]]-Tabela1[[#This Row],[$ ISS]]</f>
        <v>0</v>
      </c>
    </row>
    <row r="78" spans="1:11" x14ac:dyDescent="0.25">
      <c r="A78" t="s">
        <v>92</v>
      </c>
      <c r="B78" t="s">
        <v>90</v>
      </c>
      <c r="C78" t="s">
        <v>12</v>
      </c>
      <c r="D78" t="s">
        <v>13</v>
      </c>
      <c r="E78" t="s">
        <v>120</v>
      </c>
      <c r="F78" s="1">
        <v>76.510000000000005</v>
      </c>
      <c r="G78" s="1">
        <v>0</v>
      </c>
      <c r="H78" s="1">
        <v>0</v>
      </c>
      <c r="I78" s="1">
        <v>0</v>
      </c>
      <c r="J78" s="1">
        <v>76.510000000000005</v>
      </c>
      <c r="K78" s="1">
        <f>Tabela1[[#This Row],[$ Imposto ICMS do faturamento]]-Tabela1[[#This Row],[$ ISS]]</f>
        <v>0</v>
      </c>
    </row>
    <row r="79" spans="1:11" x14ac:dyDescent="0.25">
      <c r="A79" t="s">
        <v>92</v>
      </c>
      <c r="B79" t="s">
        <v>53</v>
      </c>
      <c r="C79" t="s">
        <v>54</v>
      </c>
      <c r="D79" t="s">
        <v>13</v>
      </c>
      <c r="E79" t="s">
        <v>96</v>
      </c>
      <c r="F79" s="1">
        <v>35.799999999999997</v>
      </c>
      <c r="G79" s="1">
        <v>0</v>
      </c>
      <c r="H79" s="1">
        <v>0</v>
      </c>
      <c r="I79" s="1">
        <v>0</v>
      </c>
      <c r="J79" s="1">
        <v>35.799999999999997</v>
      </c>
      <c r="K79" s="1">
        <f>Tabela1[[#This Row],[$ Imposto ICMS do faturamento]]-Tabela1[[#This Row],[$ ISS]]</f>
        <v>0</v>
      </c>
    </row>
    <row r="80" spans="1:11" x14ac:dyDescent="0.25">
      <c r="A80" t="s">
        <v>92</v>
      </c>
      <c r="B80" t="s">
        <v>53</v>
      </c>
      <c r="C80" t="s">
        <v>54</v>
      </c>
      <c r="D80" t="s">
        <v>13</v>
      </c>
      <c r="E80" t="s">
        <v>97</v>
      </c>
      <c r="F80" s="1">
        <v>35.799999999999997</v>
      </c>
      <c r="G80" s="1">
        <v>0</v>
      </c>
      <c r="H80" s="1">
        <v>0</v>
      </c>
      <c r="I80" s="1">
        <v>0</v>
      </c>
      <c r="J80" s="1">
        <v>35.799999999999997</v>
      </c>
      <c r="K80" s="1">
        <f>Tabela1[[#This Row],[$ Imposto ICMS do faturamento]]-Tabela1[[#This Row],[$ ISS]]</f>
        <v>0</v>
      </c>
    </row>
    <row r="81" spans="1:11" x14ac:dyDescent="0.25">
      <c r="A81" t="s">
        <v>92</v>
      </c>
      <c r="B81" t="s">
        <v>53</v>
      </c>
      <c r="C81" t="s">
        <v>54</v>
      </c>
      <c r="D81" t="s">
        <v>13</v>
      </c>
      <c r="E81" t="s">
        <v>98</v>
      </c>
      <c r="F81" s="1">
        <v>35.799999999999997</v>
      </c>
      <c r="G81" s="1">
        <v>0</v>
      </c>
      <c r="H81" s="1">
        <v>0</v>
      </c>
      <c r="I81" s="1">
        <v>0</v>
      </c>
      <c r="J81" s="1">
        <v>35.799999999999997</v>
      </c>
      <c r="K81" s="1">
        <f>Tabela1[[#This Row],[$ Imposto ICMS do faturamento]]-Tabela1[[#This Row],[$ ISS]]</f>
        <v>0</v>
      </c>
    </row>
    <row r="82" spans="1:11" x14ac:dyDescent="0.25">
      <c r="A82" t="s">
        <v>92</v>
      </c>
      <c r="B82" t="s">
        <v>53</v>
      </c>
      <c r="C82" t="s">
        <v>54</v>
      </c>
      <c r="D82" t="s">
        <v>13</v>
      </c>
      <c r="E82" t="s">
        <v>99</v>
      </c>
      <c r="F82" s="1">
        <v>35.799999999999997</v>
      </c>
      <c r="G82" s="1">
        <v>0</v>
      </c>
      <c r="H82" s="1">
        <v>0</v>
      </c>
      <c r="I82" s="1">
        <v>0</v>
      </c>
      <c r="J82" s="1">
        <v>35.799999999999997</v>
      </c>
      <c r="K82" s="1">
        <f>Tabela1[[#This Row],[$ Imposto ICMS do faturamento]]-Tabela1[[#This Row],[$ ISS]]</f>
        <v>0</v>
      </c>
    </row>
    <row r="83" spans="1:11" x14ac:dyDescent="0.25">
      <c r="A83" t="s">
        <v>92</v>
      </c>
      <c r="B83" t="s">
        <v>53</v>
      </c>
      <c r="C83" t="s">
        <v>54</v>
      </c>
      <c r="D83" t="s">
        <v>13</v>
      </c>
      <c r="E83" t="s">
        <v>100</v>
      </c>
      <c r="F83" s="1">
        <v>35.799999999999997</v>
      </c>
      <c r="G83" s="1">
        <v>0</v>
      </c>
      <c r="H83" s="1">
        <v>0</v>
      </c>
      <c r="I83" s="1">
        <v>0</v>
      </c>
      <c r="J83" s="1">
        <v>35.799999999999997</v>
      </c>
      <c r="K83" s="1">
        <f>Tabela1[[#This Row],[$ Imposto ICMS do faturamento]]-Tabela1[[#This Row],[$ ISS]]</f>
        <v>0</v>
      </c>
    </row>
    <row r="84" spans="1:11" x14ac:dyDescent="0.25">
      <c r="A84" t="s">
        <v>92</v>
      </c>
      <c r="B84" t="s">
        <v>53</v>
      </c>
      <c r="C84" t="s">
        <v>54</v>
      </c>
      <c r="D84" t="s">
        <v>13</v>
      </c>
      <c r="E84" t="s">
        <v>101</v>
      </c>
      <c r="F84" s="1">
        <v>35.799999999999997</v>
      </c>
      <c r="G84" s="1">
        <v>0</v>
      </c>
      <c r="H84" s="1">
        <v>0</v>
      </c>
      <c r="I84" s="1">
        <v>0</v>
      </c>
      <c r="J84" s="1">
        <v>35.799999999999997</v>
      </c>
      <c r="K84" s="1">
        <f>Tabela1[[#This Row],[$ Imposto ICMS do faturamento]]-Tabela1[[#This Row],[$ ISS]]</f>
        <v>0</v>
      </c>
    </row>
    <row r="85" spans="1:11" x14ac:dyDescent="0.25">
      <c r="A85" t="s">
        <v>92</v>
      </c>
      <c r="B85" t="s">
        <v>53</v>
      </c>
      <c r="C85" t="s">
        <v>54</v>
      </c>
      <c r="D85" t="s">
        <v>13</v>
      </c>
      <c r="E85" t="s">
        <v>102</v>
      </c>
      <c r="F85" s="1">
        <v>35.799999999999997</v>
      </c>
      <c r="G85" s="1">
        <v>0</v>
      </c>
      <c r="H85" s="1">
        <v>0</v>
      </c>
      <c r="I85" s="1">
        <v>0</v>
      </c>
      <c r="J85" s="1">
        <v>35.799999999999997</v>
      </c>
      <c r="K85" s="1">
        <f>Tabela1[[#This Row],[$ Imposto ICMS do faturamento]]-Tabela1[[#This Row],[$ ISS]]</f>
        <v>0</v>
      </c>
    </row>
    <row r="86" spans="1:11" x14ac:dyDescent="0.25">
      <c r="A86" t="s">
        <v>92</v>
      </c>
      <c r="B86" t="s">
        <v>53</v>
      </c>
      <c r="C86" t="s">
        <v>54</v>
      </c>
      <c r="D86" t="s">
        <v>13</v>
      </c>
      <c r="E86" t="s">
        <v>103</v>
      </c>
      <c r="F86" s="1">
        <v>35.799999999999997</v>
      </c>
      <c r="G86" s="1">
        <v>0</v>
      </c>
      <c r="H86" s="1">
        <v>0</v>
      </c>
      <c r="I86" s="1">
        <v>0</v>
      </c>
      <c r="J86" s="1">
        <v>35.799999999999997</v>
      </c>
      <c r="K86" s="1">
        <f>Tabela1[[#This Row],[$ Imposto ICMS do faturamento]]-Tabela1[[#This Row],[$ ISS]]</f>
        <v>0</v>
      </c>
    </row>
    <row r="87" spans="1:11" x14ac:dyDescent="0.25">
      <c r="A87" t="s">
        <v>92</v>
      </c>
      <c r="B87" t="s">
        <v>53</v>
      </c>
      <c r="C87" t="s">
        <v>54</v>
      </c>
      <c r="D87" t="s">
        <v>13</v>
      </c>
      <c r="E87" t="s">
        <v>104</v>
      </c>
      <c r="F87" s="1">
        <v>35.799999999999997</v>
      </c>
      <c r="G87" s="1">
        <v>0</v>
      </c>
      <c r="H87" s="1">
        <v>0</v>
      </c>
      <c r="I87" s="1">
        <v>0</v>
      </c>
      <c r="J87" s="1">
        <v>35.799999999999997</v>
      </c>
      <c r="K87" s="1">
        <f>Tabela1[[#This Row],[$ Imposto ICMS do faturamento]]-Tabela1[[#This Row],[$ ISS]]</f>
        <v>0</v>
      </c>
    </row>
    <row r="88" spans="1:11" x14ac:dyDescent="0.25">
      <c r="A88" t="s">
        <v>92</v>
      </c>
      <c r="B88" t="s">
        <v>90</v>
      </c>
      <c r="C88" t="s">
        <v>12</v>
      </c>
      <c r="D88" t="s">
        <v>13</v>
      </c>
      <c r="E88" t="s">
        <v>121</v>
      </c>
      <c r="F88" s="1">
        <v>54.07</v>
      </c>
      <c r="G88" s="1">
        <v>0</v>
      </c>
      <c r="H88" s="1">
        <v>0</v>
      </c>
      <c r="I88" s="1">
        <v>0</v>
      </c>
      <c r="J88" s="1">
        <v>54.07</v>
      </c>
      <c r="K88" s="1">
        <f>Tabela1[[#This Row],[$ Imposto ICMS do faturamento]]-Tabela1[[#This Row],[$ ISS]]</f>
        <v>0</v>
      </c>
    </row>
    <row r="89" spans="1:11" x14ac:dyDescent="0.25">
      <c r="A89" t="s">
        <v>92</v>
      </c>
      <c r="B89" t="s">
        <v>53</v>
      </c>
      <c r="C89" t="s">
        <v>54</v>
      </c>
      <c r="D89" t="s">
        <v>13</v>
      </c>
      <c r="E89" t="s">
        <v>105</v>
      </c>
      <c r="F89" s="1">
        <v>35.799999999999997</v>
      </c>
      <c r="G89" s="1">
        <v>0</v>
      </c>
      <c r="H89" s="1">
        <v>0</v>
      </c>
      <c r="I89" s="1">
        <v>0</v>
      </c>
      <c r="J89" s="1">
        <v>35.799999999999997</v>
      </c>
      <c r="K89" s="1">
        <f>Tabela1[[#This Row],[$ Imposto ICMS do faturamento]]-Tabela1[[#This Row],[$ ISS]]</f>
        <v>0</v>
      </c>
    </row>
    <row r="90" spans="1:11" x14ac:dyDescent="0.25">
      <c r="A90" t="s">
        <v>92</v>
      </c>
      <c r="B90" t="s">
        <v>53</v>
      </c>
      <c r="C90" t="s">
        <v>54</v>
      </c>
      <c r="D90" t="s">
        <v>13</v>
      </c>
      <c r="E90" t="s">
        <v>106</v>
      </c>
      <c r="F90" s="1">
        <v>35.799999999999997</v>
      </c>
      <c r="G90" s="1">
        <v>0</v>
      </c>
      <c r="H90" s="1">
        <v>0</v>
      </c>
      <c r="I90" s="1">
        <v>0</v>
      </c>
      <c r="J90" s="1">
        <v>35.799999999999997</v>
      </c>
      <c r="K90" s="1">
        <f>Tabela1[[#This Row],[$ Imposto ICMS do faturamento]]-Tabela1[[#This Row],[$ ISS]]</f>
        <v>0</v>
      </c>
    </row>
    <row r="91" spans="1:11" x14ac:dyDescent="0.25">
      <c r="A91" t="s">
        <v>92</v>
      </c>
      <c r="B91" t="s">
        <v>53</v>
      </c>
      <c r="C91" t="s">
        <v>54</v>
      </c>
      <c r="D91" t="s">
        <v>13</v>
      </c>
      <c r="E91" t="s">
        <v>107</v>
      </c>
      <c r="F91" s="1">
        <v>35.799999999999997</v>
      </c>
      <c r="G91" s="1">
        <v>0</v>
      </c>
      <c r="H91" s="1">
        <v>0</v>
      </c>
      <c r="I91" s="1">
        <v>0</v>
      </c>
      <c r="J91" s="1">
        <v>35.799999999999997</v>
      </c>
      <c r="K91" s="1">
        <f>Tabela1[[#This Row],[$ Imposto ICMS do faturamento]]-Tabela1[[#This Row],[$ ISS]]</f>
        <v>0</v>
      </c>
    </row>
    <row r="92" spans="1:11" x14ac:dyDescent="0.25">
      <c r="A92" t="s">
        <v>92</v>
      </c>
      <c r="B92" t="s">
        <v>90</v>
      </c>
      <c r="C92" t="s">
        <v>12</v>
      </c>
      <c r="D92" t="s">
        <v>13</v>
      </c>
      <c r="E92" t="s">
        <v>122</v>
      </c>
      <c r="F92" s="1">
        <v>83.52</v>
      </c>
      <c r="G92" s="1">
        <v>0</v>
      </c>
      <c r="H92" s="1">
        <v>0</v>
      </c>
      <c r="I92" s="1">
        <v>0</v>
      </c>
      <c r="J92" s="1">
        <v>83.52</v>
      </c>
      <c r="K92" s="1">
        <f>Tabela1[[#This Row],[$ Imposto ICMS do faturamento]]-Tabela1[[#This Row],[$ ISS]]</f>
        <v>0</v>
      </c>
    </row>
    <row r="93" spans="1:11" x14ac:dyDescent="0.25">
      <c r="A93" t="s">
        <v>92</v>
      </c>
      <c r="B93" t="s">
        <v>53</v>
      </c>
      <c r="C93" t="s">
        <v>54</v>
      </c>
      <c r="D93" t="s">
        <v>13</v>
      </c>
      <c r="E93" t="s">
        <v>108</v>
      </c>
      <c r="F93" s="1">
        <v>35.799999999999997</v>
      </c>
      <c r="G93" s="1">
        <v>0</v>
      </c>
      <c r="H93" s="1">
        <v>0</v>
      </c>
      <c r="I93" s="1">
        <v>0</v>
      </c>
      <c r="J93" s="1">
        <v>35.799999999999997</v>
      </c>
      <c r="K93" s="1">
        <f>Tabela1[[#This Row],[$ Imposto ICMS do faturamento]]-Tabela1[[#This Row],[$ ISS]]</f>
        <v>0</v>
      </c>
    </row>
    <row r="94" spans="1:11" x14ac:dyDescent="0.25">
      <c r="A94" t="s">
        <v>92</v>
      </c>
      <c r="B94" t="s">
        <v>53</v>
      </c>
      <c r="C94" t="s">
        <v>54</v>
      </c>
      <c r="D94" t="s">
        <v>13</v>
      </c>
      <c r="E94" t="s">
        <v>109</v>
      </c>
      <c r="F94" s="1">
        <v>35.799999999999997</v>
      </c>
      <c r="G94" s="1">
        <v>0</v>
      </c>
      <c r="H94" s="1">
        <v>0</v>
      </c>
      <c r="I94" s="1">
        <v>0</v>
      </c>
      <c r="J94" s="1">
        <v>35.799999999999997</v>
      </c>
      <c r="K94" s="1">
        <f>Tabela1[[#This Row],[$ Imposto ICMS do faturamento]]-Tabela1[[#This Row],[$ ISS]]</f>
        <v>0</v>
      </c>
    </row>
    <row r="95" spans="1:11" x14ac:dyDescent="0.25">
      <c r="A95" t="s">
        <v>92</v>
      </c>
      <c r="B95" t="s">
        <v>53</v>
      </c>
      <c r="C95" t="s">
        <v>54</v>
      </c>
      <c r="D95" t="s">
        <v>13</v>
      </c>
      <c r="E95" t="s">
        <v>110</v>
      </c>
      <c r="F95" s="1">
        <v>32.6</v>
      </c>
      <c r="G95" s="1">
        <v>0</v>
      </c>
      <c r="H95" s="1">
        <v>0</v>
      </c>
      <c r="I95" s="1">
        <v>0</v>
      </c>
      <c r="J95" s="1">
        <v>32.6</v>
      </c>
      <c r="K95" s="1">
        <f>Tabela1[[#This Row],[$ Imposto ICMS do faturamento]]-Tabela1[[#This Row],[$ ISS]]</f>
        <v>0</v>
      </c>
    </row>
    <row r="96" spans="1:11" x14ac:dyDescent="0.25">
      <c r="A96" t="s">
        <v>92</v>
      </c>
      <c r="B96" t="s">
        <v>53</v>
      </c>
      <c r="C96" t="s">
        <v>54</v>
      </c>
      <c r="D96" t="s">
        <v>13</v>
      </c>
      <c r="E96" t="s">
        <v>111</v>
      </c>
      <c r="F96" s="1">
        <v>35.799999999999997</v>
      </c>
      <c r="G96" s="1">
        <v>0</v>
      </c>
      <c r="H96" s="1">
        <v>0</v>
      </c>
      <c r="I96" s="1">
        <v>0</v>
      </c>
      <c r="J96" s="1">
        <v>35.799999999999997</v>
      </c>
      <c r="K96" s="1">
        <f>Tabela1[[#This Row],[$ Imposto ICMS do faturamento]]-Tabela1[[#This Row],[$ ISS]]</f>
        <v>0</v>
      </c>
    </row>
    <row r="97" spans="1:11" x14ac:dyDescent="0.25">
      <c r="A97" t="s">
        <v>92</v>
      </c>
      <c r="B97" t="s">
        <v>53</v>
      </c>
      <c r="C97" t="s">
        <v>54</v>
      </c>
      <c r="D97" t="s">
        <v>13</v>
      </c>
      <c r="E97" t="s">
        <v>112</v>
      </c>
      <c r="F97" s="1">
        <v>35.799999999999997</v>
      </c>
      <c r="G97" s="1">
        <v>0</v>
      </c>
      <c r="H97" s="1">
        <v>0</v>
      </c>
      <c r="I97" s="1">
        <v>0</v>
      </c>
      <c r="J97" s="1">
        <v>35.799999999999997</v>
      </c>
      <c r="K97" s="1">
        <f>Tabela1[[#This Row],[$ Imposto ICMS do faturamento]]-Tabela1[[#This Row],[$ ISS]]</f>
        <v>0</v>
      </c>
    </row>
    <row r="98" spans="1:11" x14ac:dyDescent="0.25">
      <c r="A98" t="s">
        <v>92</v>
      </c>
      <c r="B98" t="s">
        <v>53</v>
      </c>
      <c r="C98" t="s">
        <v>54</v>
      </c>
      <c r="D98" t="s">
        <v>13</v>
      </c>
      <c r="E98" t="s">
        <v>113</v>
      </c>
      <c r="F98" s="1">
        <v>35.799999999999997</v>
      </c>
      <c r="G98" s="1">
        <v>0</v>
      </c>
      <c r="H98" s="1">
        <v>0</v>
      </c>
      <c r="I98" s="1">
        <v>0</v>
      </c>
      <c r="J98" s="1">
        <v>35.799999999999997</v>
      </c>
      <c r="K98" s="1">
        <f>Tabela1[[#This Row],[$ Imposto ICMS do faturamento]]-Tabela1[[#This Row],[$ ISS]]</f>
        <v>0</v>
      </c>
    </row>
    <row r="99" spans="1:11" x14ac:dyDescent="0.25">
      <c r="A99" t="s">
        <v>92</v>
      </c>
      <c r="B99" t="s">
        <v>53</v>
      </c>
      <c r="C99" t="s">
        <v>54</v>
      </c>
      <c r="D99" t="s">
        <v>13</v>
      </c>
      <c r="E99" t="s">
        <v>114</v>
      </c>
      <c r="F99" s="1">
        <v>35.799999999999997</v>
      </c>
      <c r="G99" s="1">
        <v>0</v>
      </c>
      <c r="H99" s="1">
        <v>0</v>
      </c>
      <c r="I99" s="1">
        <v>0</v>
      </c>
      <c r="J99" s="1">
        <v>35.799999999999997</v>
      </c>
      <c r="K99" s="1">
        <f>Tabela1[[#This Row],[$ Imposto ICMS do faturamento]]-Tabela1[[#This Row],[$ ISS]]</f>
        <v>0</v>
      </c>
    </row>
    <row r="100" spans="1:11" x14ac:dyDescent="0.25">
      <c r="A100" t="s">
        <v>92</v>
      </c>
      <c r="B100" t="s">
        <v>53</v>
      </c>
      <c r="C100" t="s">
        <v>54</v>
      </c>
      <c r="D100" t="s">
        <v>13</v>
      </c>
      <c r="E100" t="s">
        <v>115</v>
      </c>
      <c r="F100" s="1">
        <v>35.799999999999997</v>
      </c>
      <c r="G100" s="1">
        <v>0</v>
      </c>
      <c r="H100" s="1">
        <v>0</v>
      </c>
      <c r="I100" s="1">
        <v>0</v>
      </c>
      <c r="J100" s="1">
        <v>35.799999999999997</v>
      </c>
      <c r="K100" s="1">
        <f>Tabela1[[#This Row],[$ Imposto ICMS do faturamento]]-Tabela1[[#This Row],[$ ISS]]</f>
        <v>0</v>
      </c>
    </row>
    <row r="101" spans="1:11" x14ac:dyDescent="0.25">
      <c r="A101" t="s">
        <v>92</v>
      </c>
      <c r="B101" t="s">
        <v>53</v>
      </c>
      <c r="C101" t="s">
        <v>54</v>
      </c>
      <c r="D101" t="s">
        <v>13</v>
      </c>
      <c r="E101" t="s">
        <v>116</v>
      </c>
      <c r="F101" s="1">
        <v>35.799999999999997</v>
      </c>
      <c r="G101" s="1">
        <v>0</v>
      </c>
      <c r="H101" s="1">
        <v>0</v>
      </c>
      <c r="I101" s="1">
        <v>0</v>
      </c>
      <c r="J101" s="1">
        <v>35.799999999999997</v>
      </c>
      <c r="K101" s="1">
        <f>Tabela1[[#This Row],[$ Imposto ICMS do faturamento]]-Tabela1[[#This Row],[$ ISS]]</f>
        <v>0</v>
      </c>
    </row>
    <row r="102" spans="1:11" x14ac:dyDescent="0.25">
      <c r="A102" t="s">
        <v>92</v>
      </c>
      <c r="B102" t="s">
        <v>53</v>
      </c>
      <c r="C102" t="s">
        <v>54</v>
      </c>
      <c r="D102" t="s">
        <v>13</v>
      </c>
      <c r="E102" t="s">
        <v>117</v>
      </c>
      <c r="F102" s="1">
        <v>35.799999999999997</v>
      </c>
      <c r="G102" s="1">
        <v>0</v>
      </c>
      <c r="H102" s="1">
        <v>0</v>
      </c>
      <c r="I102" s="1">
        <v>0</v>
      </c>
      <c r="J102" s="1">
        <v>35.799999999999997</v>
      </c>
      <c r="K102" s="1">
        <f>Tabela1[[#This Row],[$ Imposto ICMS do faturamento]]-Tabela1[[#This Row],[$ ISS]]</f>
        <v>0</v>
      </c>
    </row>
    <row r="103" spans="1:11" x14ac:dyDescent="0.25">
      <c r="A103" t="s">
        <v>92</v>
      </c>
      <c r="B103" t="s">
        <v>53</v>
      </c>
      <c r="C103" t="s">
        <v>54</v>
      </c>
      <c r="D103" t="s">
        <v>13</v>
      </c>
      <c r="E103" t="s">
        <v>118</v>
      </c>
      <c r="F103" s="1">
        <v>35.799999999999997</v>
      </c>
      <c r="G103" s="1">
        <v>0</v>
      </c>
      <c r="H103" s="1">
        <v>0</v>
      </c>
      <c r="I103" s="1">
        <v>0</v>
      </c>
      <c r="J103" s="1">
        <v>35.799999999999997</v>
      </c>
      <c r="K103" s="1">
        <f>Tabela1[[#This Row],[$ Imposto ICMS do faturamento]]-Tabela1[[#This Row],[$ ISS]]</f>
        <v>0</v>
      </c>
    </row>
    <row r="104" spans="1:11" x14ac:dyDescent="0.25">
      <c r="A104" t="s">
        <v>92</v>
      </c>
      <c r="B104" t="s">
        <v>53</v>
      </c>
      <c r="C104" t="s">
        <v>54</v>
      </c>
      <c r="D104" t="s">
        <v>13</v>
      </c>
      <c r="E104" t="s">
        <v>119</v>
      </c>
      <c r="F104" s="1">
        <v>35.799999999999997</v>
      </c>
      <c r="G104" s="1">
        <v>0</v>
      </c>
      <c r="H104" s="1">
        <v>0</v>
      </c>
      <c r="I104" s="1">
        <v>0</v>
      </c>
      <c r="J104" s="1">
        <v>35.799999999999997</v>
      </c>
      <c r="K104" s="1">
        <f>Tabela1[[#This Row],[$ Imposto ICMS do faturamento]]-Tabela1[[#This Row],[$ ISS]]</f>
        <v>0</v>
      </c>
    </row>
    <row r="105" spans="1:11" x14ac:dyDescent="0.25">
      <c r="A105" t="s">
        <v>123</v>
      </c>
      <c r="B105" t="s">
        <v>53</v>
      </c>
      <c r="C105" t="s">
        <v>54</v>
      </c>
      <c r="D105" t="s">
        <v>13</v>
      </c>
      <c r="E105" t="s">
        <v>134</v>
      </c>
      <c r="F105" s="1">
        <v>35.799999999999997</v>
      </c>
      <c r="G105" s="1">
        <v>0</v>
      </c>
      <c r="H105" s="1">
        <v>0</v>
      </c>
      <c r="I105" s="1">
        <v>0</v>
      </c>
      <c r="J105" s="1">
        <v>35.799999999999997</v>
      </c>
      <c r="K105" s="1">
        <f>Tabela1[[#This Row],[$ Imposto ICMS do faturamento]]-Tabela1[[#This Row],[$ ISS]]</f>
        <v>0</v>
      </c>
    </row>
    <row r="106" spans="1:11" x14ac:dyDescent="0.25">
      <c r="A106" t="s">
        <v>123</v>
      </c>
      <c r="B106" t="s">
        <v>53</v>
      </c>
      <c r="C106" t="s">
        <v>54</v>
      </c>
      <c r="D106" t="s">
        <v>13</v>
      </c>
      <c r="E106" t="s">
        <v>135</v>
      </c>
      <c r="F106" s="1">
        <v>35.799999999999997</v>
      </c>
      <c r="G106" s="1">
        <v>0</v>
      </c>
      <c r="H106" s="1">
        <v>0</v>
      </c>
      <c r="I106" s="1">
        <v>0</v>
      </c>
      <c r="J106" s="1">
        <v>35.799999999999997</v>
      </c>
      <c r="K106" s="1">
        <f>Tabela1[[#This Row],[$ Imposto ICMS do faturamento]]-Tabela1[[#This Row],[$ ISS]]</f>
        <v>0</v>
      </c>
    </row>
    <row r="107" spans="1:11" x14ac:dyDescent="0.25">
      <c r="A107" t="s">
        <v>123</v>
      </c>
      <c r="B107" t="s">
        <v>53</v>
      </c>
      <c r="C107" t="s">
        <v>54</v>
      </c>
      <c r="D107" t="s">
        <v>13</v>
      </c>
      <c r="E107" t="s">
        <v>136</v>
      </c>
      <c r="F107" s="1">
        <v>35.799999999999997</v>
      </c>
      <c r="G107" s="1">
        <v>0</v>
      </c>
      <c r="H107" s="1">
        <v>0</v>
      </c>
      <c r="I107" s="1">
        <v>0</v>
      </c>
      <c r="J107" s="1">
        <v>35.799999999999997</v>
      </c>
      <c r="K107" s="1">
        <f>Tabela1[[#This Row],[$ Imposto ICMS do faturamento]]-Tabela1[[#This Row],[$ ISS]]</f>
        <v>0</v>
      </c>
    </row>
    <row r="108" spans="1:11" x14ac:dyDescent="0.25">
      <c r="A108" t="s">
        <v>123</v>
      </c>
      <c r="B108" t="s">
        <v>53</v>
      </c>
      <c r="C108" t="s">
        <v>54</v>
      </c>
      <c r="D108" t="s">
        <v>13</v>
      </c>
      <c r="E108" t="s">
        <v>137</v>
      </c>
      <c r="F108" s="1">
        <v>35.799999999999997</v>
      </c>
      <c r="G108" s="1">
        <v>0</v>
      </c>
      <c r="H108" s="1">
        <v>0</v>
      </c>
      <c r="I108" s="1">
        <v>0</v>
      </c>
      <c r="J108" s="1">
        <v>35.799999999999997</v>
      </c>
      <c r="K108" s="1">
        <f>Tabela1[[#This Row],[$ Imposto ICMS do faturamento]]-Tabela1[[#This Row],[$ ISS]]</f>
        <v>0</v>
      </c>
    </row>
    <row r="109" spans="1:11" x14ac:dyDescent="0.25">
      <c r="A109" t="s">
        <v>123</v>
      </c>
      <c r="B109" t="s">
        <v>53</v>
      </c>
      <c r="C109" t="s">
        <v>54</v>
      </c>
      <c r="D109" t="s">
        <v>13</v>
      </c>
      <c r="E109" t="s">
        <v>138</v>
      </c>
      <c r="F109" s="1">
        <v>35.799999999999997</v>
      </c>
      <c r="G109" s="1">
        <v>0</v>
      </c>
      <c r="H109" s="1">
        <v>0</v>
      </c>
      <c r="I109" s="1">
        <v>0</v>
      </c>
      <c r="J109" s="1">
        <v>35.799999999999997</v>
      </c>
      <c r="K109" s="1">
        <f>Tabela1[[#This Row],[$ Imposto ICMS do faturamento]]-Tabela1[[#This Row],[$ ISS]]</f>
        <v>0</v>
      </c>
    </row>
    <row r="110" spans="1:11" x14ac:dyDescent="0.25">
      <c r="A110" t="s">
        <v>123</v>
      </c>
      <c r="B110" t="s">
        <v>53</v>
      </c>
      <c r="C110" t="s">
        <v>54</v>
      </c>
      <c r="D110" t="s">
        <v>13</v>
      </c>
      <c r="E110" t="s">
        <v>139</v>
      </c>
      <c r="F110" s="1">
        <v>32.6</v>
      </c>
      <c r="G110" s="1">
        <v>0</v>
      </c>
      <c r="H110" s="1">
        <v>0</v>
      </c>
      <c r="I110" s="1">
        <v>0</v>
      </c>
      <c r="J110" s="1">
        <v>32.6</v>
      </c>
      <c r="K110" s="1">
        <f>Tabela1[[#This Row],[$ Imposto ICMS do faturamento]]-Tabela1[[#This Row],[$ ISS]]</f>
        <v>0</v>
      </c>
    </row>
    <row r="111" spans="1:11" x14ac:dyDescent="0.25">
      <c r="A111" t="s">
        <v>123</v>
      </c>
      <c r="B111" t="s">
        <v>53</v>
      </c>
      <c r="C111" t="s">
        <v>54</v>
      </c>
      <c r="D111" t="s">
        <v>13</v>
      </c>
      <c r="E111" t="s">
        <v>140</v>
      </c>
      <c r="F111" s="1">
        <v>35.799999999999997</v>
      </c>
      <c r="G111" s="1">
        <v>0</v>
      </c>
      <c r="H111" s="1">
        <v>0</v>
      </c>
      <c r="I111" s="1">
        <v>0</v>
      </c>
      <c r="J111" s="1">
        <v>35.799999999999997</v>
      </c>
      <c r="K111" s="1">
        <f>Tabela1[[#This Row],[$ Imposto ICMS do faturamento]]-Tabela1[[#This Row],[$ ISS]]</f>
        <v>0</v>
      </c>
    </row>
    <row r="112" spans="1:11" x14ac:dyDescent="0.25">
      <c r="A112" t="s">
        <v>123</v>
      </c>
      <c r="B112" t="s">
        <v>53</v>
      </c>
      <c r="C112" t="s">
        <v>54</v>
      </c>
      <c r="D112" t="s">
        <v>13</v>
      </c>
      <c r="E112" t="s">
        <v>141</v>
      </c>
      <c r="F112" s="1">
        <v>35.799999999999997</v>
      </c>
      <c r="G112" s="1">
        <v>0</v>
      </c>
      <c r="H112" s="1">
        <v>0</v>
      </c>
      <c r="I112" s="1">
        <v>0</v>
      </c>
      <c r="J112" s="1">
        <v>35.799999999999997</v>
      </c>
      <c r="K112" s="1">
        <f>Tabela1[[#This Row],[$ Imposto ICMS do faturamento]]-Tabela1[[#This Row],[$ ISS]]</f>
        <v>0</v>
      </c>
    </row>
    <row r="113" spans="1:11" x14ac:dyDescent="0.25">
      <c r="A113" t="s">
        <v>123</v>
      </c>
      <c r="B113" t="s">
        <v>53</v>
      </c>
      <c r="C113" t="s">
        <v>54</v>
      </c>
      <c r="D113" t="s">
        <v>13</v>
      </c>
      <c r="E113" t="s">
        <v>142</v>
      </c>
      <c r="F113" s="1">
        <v>35.799999999999997</v>
      </c>
      <c r="G113" s="1">
        <v>0</v>
      </c>
      <c r="H113" s="1">
        <v>0</v>
      </c>
      <c r="I113" s="1">
        <v>0</v>
      </c>
      <c r="J113" s="1">
        <v>35.799999999999997</v>
      </c>
      <c r="K113" s="1">
        <f>Tabela1[[#This Row],[$ Imposto ICMS do faturamento]]-Tabela1[[#This Row],[$ ISS]]</f>
        <v>0</v>
      </c>
    </row>
    <row r="114" spans="1:11" x14ac:dyDescent="0.25">
      <c r="A114" t="s">
        <v>123</v>
      </c>
      <c r="B114" t="s">
        <v>53</v>
      </c>
      <c r="C114" t="s">
        <v>54</v>
      </c>
      <c r="D114" t="s">
        <v>13</v>
      </c>
      <c r="E114" t="s">
        <v>143</v>
      </c>
      <c r="F114" s="1">
        <v>35.799999999999997</v>
      </c>
      <c r="G114" s="1">
        <v>0</v>
      </c>
      <c r="H114" s="1">
        <v>0</v>
      </c>
      <c r="I114" s="1">
        <v>0</v>
      </c>
      <c r="J114" s="1">
        <v>35.799999999999997</v>
      </c>
      <c r="K114" s="1">
        <f>Tabela1[[#This Row],[$ Imposto ICMS do faturamento]]-Tabela1[[#This Row],[$ ISS]]</f>
        <v>0</v>
      </c>
    </row>
    <row r="115" spans="1:11" x14ac:dyDescent="0.25">
      <c r="A115" t="s">
        <v>123</v>
      </c>
      <c r="B115" t="s">
        <v>53</v>
      </c>
      <c r="C115" t="s">
        <v>54</v>
      </c>
      <c r="D115" t="s">
        <v>13</v>
      </c>
      <c r="E115" t="s">
        <v>144</v>
      </c>
      <c r="F115" s="1">
        <v>40.200000000000003</v>
      </c>
      <c r="G115" s="1">
        <v>0</v>
      </c>
      <c r="H115" s="1">
        <v>0</v>
      </c>
      <c r="I115" s="1">
        <v>0</v>
      </c>
      <c r="J115" s="1">
        <v>40.200000000000003</v>
      </c>
      <c r="K115" s="1">
        <f>Tabela1[[#This Row],[$ Imposto ICMS do faturamento]]-Tabela1[[#This Row],[$ ISS]]</f>
        <v>0</v>
      </c>
    </row>
    <row r="116" spans="1:11" x14ac:dyDescent="0.25">
      <c r="A116" t="s">
        <v>123</v>
      </c>
      <c r="B116" t="s">
        <v>11</v>
      </c>
      <c r="C116" t="s">
        <v>24</v>
      </c>
      <c r="D116" t="s">
        <v>13</v>
      </c>
      <c r="E116" t="s">
        <v>124</v>
      </c>
      <c r="F116" s="1">
        <v>35.6</v>
      </c>
      <c r="G116" s="1">
        <v>0</v>
      </c>
      <c r="H116" s="1">
        <v>0</v>
      </c>
      <c r="I116" s="1">
        <v>0</v>
      </c>
      <c r="J116" s="1">
        <v>35.6</v>
      </c>
      <c r="K116" s="1">
        <f>Tabela1[[#This Row],[$ Imposto ICMS do faturamento]]-Tabela1[[#This Row],[$ ISS]]</f>
        <v>0</v>
      </c>
    </row>
    <row r="117" spans="1:11" x14ac:dyDescent="0.25">
      <c r="A117" t="s">
        <v>123</v>
      </c>
      <c r="B117" t="s">
        <v>11</v>
      </c>
      <c r="C117" t="s">
        <v>24</v>
      </c>
      <c r="D117" t="s">
        <v>13</v>
      </c>
      <c r="E117" t="s">
        <v>125</v>
      </c>
      <c r="F117" s="1">
        <v>35.6</v>
      </c>
      <c r="G117" s="1">
        <v>0</v>
      </c>
      <c r="H117" s="1">
        <v>0</v>
      </c>
      <c r="I117" s="1">
        <v>0</v>
      </c>
      <c r="J117" s="1">
        <v>35.6</v>
      </c>
      <c r="K117" s="1">
        <f>Tabela1[[#This Row],[$ Imposto ICMS do faturamento]]-Tabela1[[#This Row],[$ ISS]]</f>
        <v>0</v>
      </c>
    </row>
    <row r="118" spans="1:11" x14ac:dyDescent="0.25">
      <c r="A118" t="s">
        <v>123</v>
      </c>
      <c r="B118" t="s">
        <v>11</v>
      </c>
      <c r="C118" t="s">
        <v>24</v>
      </c>
      <c r="D118" t="s">
        <v>13</v>
      </c>
      <c r="E118" t="s">
        <v>126</v>
      </c>
      <c r="F118" s="1">
        <v>35.6</v>
      </c>
      <c r="G118" s="1">
        <v>0</v>
      </c>
      <c r="H118" s="1">
        <v>0</v>
      </c>
      <c r="I118" s="1">
        <v>0</v>
      </c>
      <c r="J118" s="1">
        <v>35.6</v>
      </c>
      <c r="K118" s="1">
        <f>Tabela1[[#This Row],[$ Imposto ICMS do faturamento]]-Tabela1[[#This Row],[$ ISS]]</f>
        <v>0</v>
      </c>
    </row>
    <row r="119" spans="1:11" x14ac:dyDescent="0.25">
      <c r="A119" t="s">
        <v>123</v>
      </c>
      <c r="B119" t="s">
        <v>11</v>
      </c>
      <c r="C119" t="s">
        <v>24</v>
      </c>
      <c r="D119" t="s">
        <v>13</v>
      </c>
      <c r="E119" t="s">
        <v>127</v>
      </c>
      <c r="F119" s="1">
        <v>35.6</v>
      </c>
      <c r="G119" s="1">
        <v>0</v>
      </c>
      <c r="H119" s="1">
        <v>0</v>
      </c>
      <c r="I119" s="1">
        <v>0</v>
      </c>
      <c r="J119" s="1">
        <v>35.6</v>
      </c>
      <c r="K119" s="1">
        <f>Tabela1[[#This Row],[$ Imposto ICMS do faturamento]]-Tabela1[[#This Row],[$ ISS]]</f>
        <v>0</v>
      </c>
    </row>
    <row r="120" spans="1:11" x14ac:dyDescent="0.25">
      <c r="A120" t="s">
        <v>123</v>
      </c>
      <c r="B120" t="s">
        <v>11</v>
      </c>
      <c r="C120" t="s">
        <v>24</v>
      </c>
      <c r="D120" t="s">
        <v>13</v>
      </c>
      <c r="E120" t="s">
        <v>128</v>
      </c>
      <c r="F120" s="1">
        <v>35.6</v>
      </c>
      <c r="G120" s="1">
        <v>0</v>
      </c>
      <c r="H120" s="1">
        <v>0</v>
      </c>
      <c r="I120" s="1">
        <v>0</v>
      </c>
      <c r="J120" s="1">
        <v>35.6</v>
      </c>
      <c r="K120" s="1">
        <f>Tabela1[[#This Row],[$ Imposto ICMS do faturamento]]-Tabela1[[#This Row],[$ ISS]]</f>
        <v>0</v>
      </c>
    </row>
    <row r="121" spans="1:11" x14ac:dyDescent="0.25">
      <c r="A121" t="s">
        <v>123</v>
      </c>
      <c r="B121" t="s">
        <v>11</v>
      </c>
      <c r="C121" t="s">
        <v>24</v>
      </c>
      <c r="D121" t="s">
        <v>13</v>
      </c>
      <c r="E121" t="s">
        <v>129</v>
      </c>
      <c r="F121" s="1">
        <v>35.6</v>
      </c>
      <c r="G121" s="1">
        <v>0</v>
      </c>
      <c r="H121" s="1">
        <v>0</v>
      </c>
      <c r="I121" s="1">
        <v>0</v>
      </c>
      <c r="J121" s="1">
        <v>35.6</v>
      </c>
      <c r="K121" s="1">
        <f>Tabela1[[#This Row],[$ Imposto ICMS do faturamento]]-Tabela1[[#This Row],[$ ISS]]</f>
        <v>0</v>
      </c>
    </row>
    <row r="122" spans="1:11" x14ac:dyDescent="0.25">
      <c r="A122" t="s">
        <v>123</v>
      </c>
      <c r="B122" t="s">
        <v>11</v>
      </c>
      <c r="C122" t="s">
        <v>24</v>
      </c>
      <c r="D122" t="s">
        <v>13</v>
      </c>
      <c r="E122" t="s">
        <v>130</v>
      </c>
      <c r="F122" s="1">
        <v>35.6</v>
      </c>
      <c r="G122" s="1">
        <v>0</v>
      </c>
      <c r="H122" s="1">
        <v>0</v>
      </c>
      <c r="I122" s="1">
        <v>0</v>
      </c>
      <c r="J122" s="1">
        <v>35.6</v>
      </c>
      <c r="K122" s="1">
        <f>Tabela1[[#This Row],[$ Imposto ICMS do faturamento]]-Tabela1[[#This Row],[$ ISS]]</f>
        <v>0</v>
      </c>
    </row>
    <row r="123" spans="1:11" x14ac:dyDescent="0.25">
      <c r="A123" t="s">
        <v>123</v>
      </c>
      <c r="B123" t="s">
        <v>11</v>
      </c>
      <c r="C123" t="s">
        <v>24</v>
      </c>
      <c r="D123" t="s">
        <v>13</v>
      </c>
      <c r="E123" t="s">
        <v>131</v>
      </c>
      <c r="F123" s="1">
        <v>35.6</v>
      </c>
      <c r="G123" s="1">
        <v>0</v>
      </c>
      <c r="H123" s="1">
        <v>0</v>
      </c>
      <c r="I123" s="1">
        <v>0</v>
      </c>
      <c r="J123" s="1">
        <v>35.6</v>
      </c>
      <c r="K123" s="1">
        <f>Tabela1[[#This Row],[$ Imposto ICMS do faturamento]]-Tabela1[[#This Row],[$ ISS]]</f>
        <v>0</v>
      </c>
    </row>
    <row r="124" spans="1:11" x14ac:dyDescent="0.25">
      <c r="A124" t="s">
        <v>123</v>
      </c>
      <c r="B124" t="s">
        <v>11</v>
      </c>
      <c r="C124" t="s">
        <v>24</v>
      </c>
      <c r="D124" t="s">
        <v>13</v>
      </c>
      <c r="E124" t="s">
        <v>132</v>
      </c>
      <c r="F124" s="1">
        <v>35.6</v>
      </c>
      <c r="G124" s="1">
        <v>0</v>
      </c>
      <c r="H124" s="1">
        <v>0</v>
      </c>
      <c r="I124" s="1">
        <v>0</v>
      </c>
      <c r="J124" s="1">
        <v>35.6</v>
      </c>
      <c r="K124" s="1">
        <f>Tabela1[[#This Row],[$ Imposto ICMS do faturamento]]-Tabela1[[#This Row],[$ ISS]]</f>
        <v>0</v>
      </c>
    </row>
    <row r="125" spans="1:11" x14ac:dyDescent="0.25">
      <c r="A125" t="s">
        <v>123</v>
      </c>
      <c r="B125" t="s">
        <v>11</v>
      </c>
      <c r="C125" t="s">
        <v>24</v>
      </c>
      <c r="D125" t="s">
        <v>13</v>
      </c>
      <c r="E125" t="s">
        <v>133</v>
      </c>
      <c r="F125" s="1">
        <v>35.6</v>
      </c>
      <c r="G125" s="1">
        <v>0</v>
      </c>
      <c r="H125" s="1">
        <v>0</v>
      </c>
      <c r="I125" s="1">
        <v>0</v>
      </c>
      <c r="J125" s="1">
        <v>35.6</v>
      </c>
      <c r="K125" s="1">
        <f>Tabela1[[#This Row],[$ Imposto ICMS do faturamento]]-Tabela1[[#This Row],[$ ISS]]</f>
        <v>0</v>
      </c>
    </row>
    <row r="126" spans="1:11" x14ac:dyDescent="0.25">
      <c r="A126" t="s">
        <v>123</v>
      </c>
      <c r="B126" t="s">
        <v>53</v>
      </c>
      <c r="C126" t="s">
        <v>54</v>
      </c>
      <c r="D126" t="s">
        <v>13</v>
      </c>
      <c r="E126" t="s">
        <v>145</v>
      </c>
      <c r="F126" s="1">
        <v>40.200000000000003</v>
      </c>
      <c r="G126" s="1">
        <v>0</v>
      </c>
      <c r="H126" s="1">
        <v>0</v>
      </c>
      <c r="I126" s="1">
        <v>0</v>
      </c>
      <c r="J126" s="1">
        <v>40.200000000000003</v>
      </c>
      <c r="K126" s="1">
        <f>Tabela1[[#This Row],[$ Imposto ICMS do faturamento]]-Tabela1[[#This Row],[$ ISS]]</f>
        <v>0</v>
      </c>
    </row>
    <row r="127" spans="1:11" x14ac:dyDescent="0.25">
      <c r="A127" t="s">
        <v>123</v>
      </c>
      <c r="B127" t="s">
        <v>53</v>
      </c>
      <c r="C127" t="s">
        <v>157</v>
      </c>
      <c r="D127" t="s">
        <v>13</v>
      </c>
      <c r="E127" t="s">
        <v>158</v>
      </c>
      <c r="F127" s="1">
        <v>40.200000000000003</v>
      </c>
      <c r="G127" s="1">
        <v>0</v>
      </c>
      <c r="H127" s="1">
        <v>0</v>
      </c>
      <c r="I127" s="1">
        <v>0</v>
      </c>
      <c r="J127" s="1">
        <v>40.200000000000003</v>
      </c>
      <c r="K127" s="1">
        <f>Tabela1[[#This Row],[$ Imposto ICMS do faturamento]]-Tabela1[[#This Row],[$ ISS]]</f>
        <v>0</v>
      </c>
    </row>
    <row r="128" spans="1:11" x14ac:dyDescent="0.25">
      <c r="A128" t="s">
        <v>123</v>
      </c>
      <c r="B128" t="s">
        <v>53</v>
      </c>
      <c r="C128" t="s">
        <v>54</v>
      </c>
      <c r="D128" t="s">
        <v>13</v>
      </c>
      <c r="E128" t="s">
        <v>146</v>
      </c>
      <c r="F128" s="1">
        <v>40.200000000000003</v>
      </c>
      <c r="G128" s="1">
        <v>0</v>
      </c>
      <c r="H128" s="1">
        <v>0</v>
      </c>
      <c r="I128" s="1">
        <v>0</v>
      </c>
      <c r="J128" s="1">
        <v>40.200000000000003</v>
      </c>
      <c r="K128" s="1">
        <f>Tabela1[[#This Row],[$ Imposto ICMS do faturamento]]-Tabela1[[#This Row],[$ ISS]]</f>
        <v>0</v>
      </c>
    </row>
    <row r="129" spans="1:11" x14ac:dyDescent="0.25">
      <c r="A129" t="s">
        <v>123</v>
      </c>
      <c r="B129" t="s">
        <v>53</v>
      </c>
      <c r="C129" t="s">
        <v>54</v>
      </c>
      <c r="D129" t="s">
        <v>13</v>
      </c>
      <c r="E129" t="s">
        <v>147</v>
      </c>
      <c r="F129" s="1">
        <v>40.200000000000003</v>
      </c>
      <c r="G129" s="1">
        <v>0</v>
      </c>
      <c r="H129" s="1">
        <v>0</v>
      </c>
      <c r="I129" s="1">
        <v>0</v>
      </c>
      <c r="J129" s="1">
        <v>40.200000000000003</v>
      </c>
      <c r="K129" s="1">
        <f>Tabela1[[#This Row],[$ Imposto ICMS do faturamento]]-Tabela1[[#This Row],[$ ISS]]</f>
        <v>0</v>
      </c>
    </row>
    <row r="130" spans="1:11" x14ac:dyDescent="0.25">
      <c r="A130" t="s">
        <v>123</v>
      </c>
      <c r="B130" t="s">
        <v>53</v>
      </c>
      <c r="C130" t="s">
        <v>54</v>
      </c>
      <c r="D130" t="s">
        <v>13</v>
      </c>
      <c r="E130" t="s">
        <v>148</v>
      </c>
      <c r="F130" s="1">
        <v>40.200000000000003</v>
      </c>
      <c r="G130" s="1">
        <v>0</v>
      </c>
      <c r="H130" s="1">
        <v>0</v>
      </c>
      <c r="I130" s="1">
        <v>0</v>
      </c>
      <c r="J130" s="1">
        <v>40.200000000000003</v>
      </c>
      <c r="K130" s="1">
        <f>Tabela1[[#This Row],[$ Imposto ICMS do faturamento]]-Tabela1[[#This Row],[$ ISS]]</f>
        <v>0</v>
      </c>
    </row>
    <row r="131" spans="1:11" x14ac:dyDescent="0.25">
      <c r="A131" t="s">
        <v>123</v>
      </c>
      <c r="B131" t="s">
        <v>53</v>
      </c>
      <c r="C131" t="s">
        <v>54</v>
      </c>
      <c r="D131" t="s">
        <v>13</v>
      </c>
      <c r="E131" t="s">
        <v>149</v>
      </c>
      <c r="F131" s="1">
        <v>40.200000000000003</v>
      </c>
      <c r="G131" s="1">
        <v>0</v>
      </c>
      <c r="H131" s="1">
        <v>0</v>
      </c>
      <c r="I131" s="1">
        <v>0</v>
      </c>
      <c r="J131" s="1">
        <v>40.200000000000003</v>
      </c>
      <c r="K131" s="1">
        <f>Tabela1[[#This Row],[$ Imposto ICMS do faturamento]]-Tabela1[[#This Row],[$ ISS]]</f>
        <v>0</v>
      </c>
    </row>
    <row r="132" spans="1:11" x14ac:dyDescent="0.25">
      <c r="A132" t="s">
        <v>123</v>
      </c>
      <c r="B132" t="s">
        <v>53</v>
      </c>
      <c r="C132" t="s">
        <v>54</v>
      </c>
      <c r="D132" t="s">
        <v>13</v>
      </c>
      <c r="E132" t="s">
        <v>150</v>
      </c>
      <c r="F132" s="1">
        <v>40.200000000000003</v>
      </c>
      <c r="G132" s="1">
        <v>0</v>
      </c>
      <c r="H132" s="1">
        <v>0</v>
      </c>
      <c r="I132" s="1">
        <v>0</v>
      </c>
      <c r="J132" s="1">
        <v>40.200000000000003</v>
      </c>
      <c r="K132" s="1">
        <f>Tabela1[[#This Row],[$ Imposto ICMS do faturamento]]-Tabela1[[#This Row],[$ ISS]]</f>
        <v>0</v>
      </c>
    </row>
    <row r="133" spans="1:11" x14ac:dyDescent="0.25">
      <c r="A133" t="s">
        <v>123</v>
      </c>
      <c r="B133" t="s">
        <v>53</v>
      </c>
      <c r="C133" t="s">
        <v>54</v>
      </c>
      <c r="D133" t="s">
        <v>13</v>
      </c>
      <c r="E133" t="s">
        <v>151</v>
      </c>
      <c r="F133" s="1">
        <v>40.200000000000003</v>
      </c>
      <c r="G133" s="1">
        <v>0</v>
      </c>
      <c r="H133" s="1">
        <v>0</v>
      </c>
      <c r="I133" s="1">
        <v>0</v>
      </c>
      <c r="J133" s="1">
        <v>40.200000000000003</v>
      </c>
      <c r="K133" s="1">
        <f>Tabela1[[#This Row],[$ Imposto ICMS do faturamento]]-Tabela1[[#This Row],[$ ISS]]</f>
        <v>0</v>
      </c>
    </row>
    <row r="134" spans="1:11" x14ac:dyDescent="0.25">
      <c r="A134" t="s">
        <v>123</v>
      </c>
      <c r="B134" t="s">
        <v>53</v>
      </c>
      <c r="C134" t="s">
        <v>54</v>
      </c>
      <c r="D134" t="s">
        <v>13</v>
      </c>
      <c r="E134" t="s">
        <v>152</v>
      </c>
      <c r="F134" s="1">
        <v>40.200000000000003</v>
      </c>
      <c r="G134" s="1">
        <v>0</v>
      </c>
      <c r="H134" s="1">
        <v>0</v>
      </c>
      <c r="I134" s="1">
        <v>0</v>
      </c>
      <c r="J134" s="1">
        <v>40.200000000000003</v>
      </c>
      <c r="K134" s="1">
        <f>Tabela1[[#This Row],[$ Imposto ICMS do faturamento]]-Tabela1[[#This Row],[$ ISS]]</f>
        <v>0</v>
      </c>
    </row>
    <row r="135" spans="1:11" x14ac:dyDescent="0.25">
      <c r="A135" t="s">
        <v>123</v>
      </c>
      <c r="B135" t="s">
        <v>53</v>
      </c>
      <c r="C135" t="s">
        <v>54</v>
      </c>
      <c r="D135" t="s">
        <v>13</v>
      </c>
      <c r="E135" t="s">
        <v>153</v>
      </c>
      <c r="F135" s="1">
        <v>40.200000000000003</v>
      </c>
      <c r="G135" s="1">
        <v>0</v>
      </c>
      <c r="H135" s="1">
        <v>0</v>
      </c>
      <c r="I135" s="1">
        <v>0</v>
      </c>
      <c r="J135" s="1">
        <v>40.200000000000003</v>
      </c>
      <c r="K135" s="1">
        <f>Tabela1[[#This Row],[$ Imposto ICMS do faturamento]]-Tabela1[[#This Row],[$ ISS]]</f>
        <v>0</v>
      </c>
    </row>
    <row r="136" spans="1:11" x14ac:dyDescent="0.25">
      <c r="A136" t="s">
        <v>123</v>
      </c>
      <c r="B136" t="s">
        <v>53</v>
      </c>
      <c r="C136" t="s">
        <v>54</v>
      </c>
      <c r="D136" t="s">
        <v>13</v>
      </c>
      <c r="E136" t="s">
        <v>154</v>
      </c>
      <c r="F136" s="1">
        <v>40.200000000000003</v>
      </c>
      <c r="G136" s="1">
        <v>0</v>
      </c>
      <c r="H136" s="1">
        <v>0</v>
      </c>
      <c r="I136" s="1">
        <v>0</v>
      </c>
      <c r="J136" s="1">
        <v>40.200000000000003</v>
      </c>
      <c r="K136" s="1">
        <f>Tabela1[[#This Row],[$ Imposto ICMS do faturamento]]-Tabela1[[#This Row],[$ ISS]]</f>
        <v>0</v>
      </c>
    </row>
    <row r="137" spans="1:11" x14ac:dyDescent="0.25">
      <c r="A137" t="s">
        <v>123</v>
      </c>
      <c r="B137" t="s">
        <v>53</v>
      </c>
      <c r="C137" t="s">
        <v>54</v>
      </c>
      <c r="D137" t="s">
        <v>13</v>
      </c>
      <c r="E137" t="s">
        <v>155</v>
      </c>
      <c r="F137" s="1">
        <v>40.200000000000003</v>
      </c>
      <c r="G137" s="1">
        <v>0</v>
      </c>
      <c r="H137" s="1">
        <v>0</v>
      </c>
      <c r="I137" s="1">
        <v>0</v>
      </c>
      <c r="J137" s="1">
        <v>40.200000000000003</v>
      </c>
      <c r="K137" s="1">
        <f>Tabela1[[#This Row],[$ Imposto ICMS do faturamento]]-Tabela1[[#This Row],[$ ISS]]</f>
        <v>0</v>
      </c>
    </row>
    <row r="138" spans="1:11" x14ac:dyDescent="0.25">
      <c r="A138" t="s">
        <v>123</v>
      </c>
      <c r="B138" t="s">
        <v>53</v>
      </c>
      <c r="C138" t="s">
        <v>54</v>
      </c>
      <c r="D138" t="s">
        <v>13</v>
      </c>
      <c r="E138" t="s">
        <v>156</v>
      </c>
      <c r="F138" s="1">
        <v>40.200000000000003</v>
      </c>
      <c r="G138" s="1">
        <v>0</v>
      </c>
      <c r="H138" s="1">
        <v>0</v>
      </c>
      <c r="I138" s="1">
        <v>0</v>
      </c>
      <c r="J138" s="1">
        <v>40.200000000000003</v>
      </c>
      <c r="K138" s="1">
        <f>Tabela1[[#This Row],[$ Imposto ICMS do faturamento]]-Tabela1[[#This Row],[$ ISS]]</f>
        <v>0</v>
      </c>
    </row>
    <row r="139" spans="1:11" x14ac:dyDescent="0.25">
      <c r="A139" t="s">
        <v>159</v>
      </c>
      <c r="B139" t="s">
        <v>90</v>
      </c>
      <c r="C139" t="s">
        <v>12</v>
      </c>
      <c r="D139" t="s">
        <v>13</v>
      </c>
      <c r="E139" t="s">
        <v>181</v>
      </c>
      <c r="F139" s="1">
        <v>59.18</v>
      </c>
      <c r="G139" s="1">
        <v>0</v>
      </c>
      <c r="H139" s="1">
        <v>0</v>
      </c>
      <c r="I139" s="1">
        <v>0</v>
      </c>
      <c r="J139" s="1">
        <v>59.18</v>
      </c>
      <c r="K139" s="1">
        <f>Tabela1[[#This Row],[$ Imposto ICMS do faturamento]]-Tabela1[[#This Row],[$ ISS]]</f>
        <v>0</v>
      </c>
    </row>
    <row r="140" spans="1:11" x14ac:dyDescent="0.25">
      <c r="A140" t="s">
        <v>159</v>
      </c>
      <c r="B140" t="s">
        <v>53</v>
      </c>
      <c r="C140" t="s">
        <v>54</v>
      </c>
      <c r="D140" t="s">
        <v>13</v>
      </c>
      <c r="E140" t="s">
        <v>160</v>
      </c>
      <c r="F140" s="1">
        <v>36.6</v>
      </c>
      <c r="G140" s="1">
        <v>0</v>
      </c>
      <c r="H140" s="1">
        <v>0</v>
      </c>
      <c r="I140" s="1">
        <v>0</v>
      </c>
      <c r="J140" s="1">
        <v>36.6</v>
      </c>
      <c r="K140" s="1">
        <f>Tabela1[[#This Row],[$ Imposto ICMS do faturamento]]-Tabela1[[#This Row],[$ ISS]]</f>
        <v>0</v>
      </c>
    </row>
    <row r="141" spans="1:11" x14ac:dyDescent="0.25">
      <c r="A141" t="s">
        <v>159</v>
      </c>
      <c r="B141" t="s">
        <v>53</v>
      </c>
      <c r="C141" t="s">
        <v>54</v>
      </c>
      <c r="D141" t="s">
        <v>13</v>
      </c>
      <c r="E141" t="s">
        <v>161</v>
      </c>
      <c r="F141" s="1">
        <v>40.200000000000003</v>
      </c>
      <c r="G141" s="1">
        <v>0</v>
      </c>
      <c r="H141" s="1">
        <v>0</v>
      </c>
      <c r="I141" s="1">
        <v>0</v>
      </c>
      <c r="J141" s="1">
        <v>40.200000000000003</v>
      </c>
      <c r="K141" s="1">
        <f>Tabela1[[#This Row],[$ Imposto ICMS do faturamento]]-Tabela1[[#This Row],[$ ISS]]</f>
        <v>0</v>
      </c>
    </row>
    <row r="142" spans="1:11" x14ac:dyDescent="0.25">
      <c r="A142" t="s">
        <v>159</v>
      </c>
      <c r="B142" t="s">
        <v>53</v>
      </c>
      <c r="C142" t="s">
        <v>54</v>
      </c>
      <c r="D142" t="s">
        <v>13</v>
      </c>
      <c r="E142" t="s">
        <v>162</v>
      </c>
      <c r="F142" s="1">
        <v>40.200000000000003</v>
      </c>
      <c r="G142" s="1">
        <v>0</v>
      </c>
      <c r="H142" s="1">
        <v>0</v>
      </c>
      <c r="I142" s="1">
        <v>0</v>
      </c>
      <c r="J142" s="1">
        <v>40.200000000000003</v>
      </c>
      <c r="K142" s="1">
        <f>Tabela1[[#This Row],[$ Imposto ICMS do faturamento]]-Tabela1[[#This Row],[$ ISS]]</f>
        <v>0</v>
      </c>
    </row>
    <row r="143" spans="1:11" x14ac:dyDescent="0.25">
      <c r="A143" t="s">
        <v>159</v>
      </c>
      <c r="B143" t="s">
        <v>90</v>
      </c>
      <c r="C143" t="s">
        <v>12</v>
      </c>
      <c r="D143" t="s">
        <v>13</v>
      </c>
      <c r="E143" t="s">
        <v>182</v>
      </c>
      <c r="F143" s="1">
        <v>61.49</v>
      </c>
      <c r="G143" s="1">
        <v>0</v>
      </c>
      <c r="H143" s="1">
        <v>0</v>
      </c>
      <c r="I143" s="1">
        <v>0</v>
      </c>
      <c r="J143" s="1">
        <v>61.49</v>
      </c>
      <c r="K143" s="1">
        <f>Tabela1[[#This Row],[$ Imposto ICMS do faturamento]]-Tabela1[[#This Row],[$ ISS]]</f>
        <v>0</v>
      </c>
    </row>
    <row r="144" spans="1:11" x14ac:dyDescent="0.25">
      <c r="A144" t="s">
        <v>159</v>
      </c>
      <c r="B144" t="s">
        <v>53</v>
      </c>
      <c r="C144" t="s">
        <v>54</v>
      </c>
      <c r="D144" t="s">
        <v>13</v>
      </c>
      <c r="E144" t="s">
        <v>163</v>
      </c>
      <c r="F144" s="1">
        <v>36.6</v>
      </c>
      <c r="G144" s="1">
        <v>0</v>
      </c>
      <c r="H144" s="1">
        <v>0</v>
      </c>
      <c r="I144" s="1">
        <v>0</v>
      </c>
      <c r="J144" s="1">
        <v>36.6</v>
      </c>
      <c r="K144" s="1">
        <f>Tabela1[[#This Row],[$ Imposto ICMS do faturamento]]-Tabela1[[#This Row],[$ ISS]]</f>
        <v>0</v>
      </c>
    </row>
    <row r="145" spans="1:11" x14ac:dyDescent="0.25">
      <c r="A145" t="s">
        <v>159</v>
      </c>
      <c r="B145" t="s">
        <v>90</v>
      </c>
      <c r="C145" t="s">
        <v>12</v>
      </c>
      <c r="D145" t="s">
        <v>13</v>
      </c>
      <c r="E145" t="s">
        <v>183</v>
      </c>
      <c r="F145" s="1">
        <v>61.63</v>
      </c>
      <c r="G145" s="1">
        <v>0</v>
      </c>
      <c r="H145" s="1">
        <v>0</v>
      </c>
      <c r="I145" s="1">
        <v>0</v>
      </c>
      <c r="J145" s="1">
        <v>61.63</v>
      </c>
      <c r="K145" s="1">
        <f>Tabela1[[#This Row],[$ Imposto ICMS do faturamento]]-Tabela1[[#This Row],[$ ISS]]</f>
        <v>0</v>
      </c>
    </row>
    <row r="146" spans="1:11" x14ac:dyDescent="0.25">
      <c r="A146" t="s">
        <v>159</v>
      </c>
      <c r="B146" t="s">
        <v>53</v>
      </c>
      <c r="C146" t="s">
        <v>54</v>
      </c>
      <c r="D146" t="s">
        <v>13</v>
      </c>
      <c r="E146" t="s">
        <v>164</v>
      </c>
      <c r="F146" s="1">
        <v>36.6</v>
      </c>
      <c r="G146" s="1">
        <v>0</v>
      </c>
      <c r="H146" s="1">
        <v>0</v>
      </c>
      <c r="I146" s="1">
        <v>0</v>
      </c>
      <c r="J146" s="1">
        <v>36.6</v>
      </c>
      <c r="K146" s="1">
        <f>Tabela1[[#This Row],[$ Imposto ICMS do faturamento]]-Tabela1[[#This Row],[$ ISS]]</f>
        <v>0</v>
      </c>
    </row>
    <row r="147" spans="1:11" x14ac:dyDescent="0.25">
      <c r="A147" t="s">
        <v>159</v>
      </c>
      <c r="B147" t="s">
        <v>90</v>
      </c>
      <c r="C147" t="s">
        <v>12</v>
      </c>
      <c r="D147" t="s">
        <v>13</v>
      </c>
      <c r="E147" t="s">
        <v>184</v>
      </c>
      <c r="F147" s="1">
        <v>61.63</v>
      </c>
      <c r="G147" s="1">
        <v>0</v>
      </c>
      <c r="H147" s="1">
        <v>0</v>
      </c>
      <c r="I147" s="1">
        <v>0</v>
      </c>
      <c r="J147" s="1">
        <v>61.63</v>
      </c>
      <c r="K147" s="1">
        <f>Tabela1[[#This Row],[$ Imposto ICMS do faturamento]]-Tabela1[[#This Row],[$ ISS]]</f>
        <v>0</v>
      </c>
    </row>
    <row r="148" spans="1:11" x14ac:dyDescent="0.25">
      <c r="A148" t="s">
        <v>159</v>
      </c>
      <c r="B148" t="s">
        <v>53</v>
      </c>
      <c r="C148" t="s">
        <v>54</v>
      </c>
      <c r="D148" t="s">
        <v>13</v>
      </c>
      <c r="E148" t="s">
        <v>165</v>
      </c>
      <c r="F148" s="1">
        <v>36.6</v>
      </c>
      <c r="G148" s="1">
        <v>0</v>
      </c>
      <c r="H148" s="1">
        <v>0</v>
      </c>
      <c r="I148" s="1">
        <v>0</v>
      </c>
      <c r="J148" s="1">
        <v>36.6</v>
      </c>
      <c r="K148" s="1">
        <f>Tabela1[[#This Row],[$ Imposto ICMS do faturamento]]-Tabela1[[#This Row],[$ ISS]]</f>
        <v>0</v>
      </c>
    </row>
    <row r="149" spans="1:11" x14ac:dyDescent="0.25">
      <c r="A149" t="s">
        <v>159</v>
      </c>
      <c r="B149" t="s">
        <v>53</v>
      </c>
      <c r="C149" t="s">
        <v>54</v>
      </c>
      <c r="D149" t="s">
        <v>13</v>
      </c>
      <c r="E149" t="s">
        <v>166</v>
      </c>
      <c r="F149" s="1">
        <v>40.200000000000003</v>
      </c>
      <c r="G149" s="1">
        <v>0</v>
      </c>
      <c r="H149" s="1">
        <v>0</v>
      </c>
      <c r="I149" s="1">
        <v>0</v>
      </c>
      <c r="J149" s="1">
        <v>40.200000000000003</v>
      </c>
      <c r="K149" s="1">
        <f>Tabela1[[#This Row],[$ Imposto ICMS do faturamento]]-Tabela1[[#This Row],[$ ISS]]</f>
        <v>0</v>
      </c>
    </row>
    <row r="150" spans="1:11" x14ac:dyDescent="0.25">
      <c r="A150" t="s">
        <v>159</v>
      </c>
      <c r="B150" t="s">
        <v>53</v>
      </c>
      <c r="C150" t="s">
        <v>54</v>
      </c>
      <c r="D150" t="s">
        <v>13</v>
      </c>
      <c r="E150" t="s">
        <v>167</v>
      </c>
      <c r="F150" s="1">
        <v>40.200000000000003</v>
      </c>
      <c r="G150" s="1">
        <v>0</v>
      </c>
      <c r="H150" s="1">
        <v>0</v>
      </c>
      <c r="I150" s="1">
        <v>0</v>
      </c>
      <c r="J150" s="1">
        <v>40.200000000000003</v>
      </c>
      <c r="K150" s="1">
        <f>Tabela1[[#This Row],[$ Imposto ICMS do faturamento]]-Tabela1[[#This Row],[$ ISS]]</f>
        <v>0</v>
      </c>
    </row>
    <row r="151" spans="1:11" x14ac:dyDescent="0.25">
      <c r="A151" t="s">
        <v>159</v>
      </c>
      <c r="B151" t="s">
        <v>53</v>
      </c>
      <c r="C151" t="s">
        <v>54</v>
      </c>
      <c r="D151" t="s">
        <v>13</v>
      </c>
      <c r="E151" t="s">
        <v>168</v>
      </c>
      <c r="F151" s="1">
        <v>40.200000000000003</v>
      </c>
      <c r="G151" s="1">
        <v>0</v>
      </c>
      <c r="H151" s="1">
        <v>0</v>
      </c>
      <c r="I151" s="1">
        <v>0</v>
      </c>
      <c r="J151" s="1">
        <v>40.200000000000003</v>
      </c>
      <c r="K151" s="1">
        <f>Tabela1[[#This Row],[$ Imposto ICMS do faturamento]]-Tabela1[[#This Row],[$ ISS]]</f>
        <v>0</v>
      </c>
    </row>
    <row r="152" spans="1:11" x14ac:dyDescent="0.25">
      <c r="A152" t="s">
        <v>159</v>
      </c>
      <c r="B152" t="s">
        <v>53</v>
      </c>
      <c r="C152" t="s">
        <v>54</v>
      </c>
      <c r="D152" t="s">
        <v>13</v>
      </c>
      <c r="E152" t="s">
        <v>169</v>
      </c>
      <c r="F152" s="1">
        <v>40.200000000000003</v>
      </c>
      <c r="G152" s="1">
        <v>0</v>
      </c>
      <c r="H152" s="1">
        <v>0</v>
      </c>
      <c r="I152" s="1">
        <v>0</v>
      </c>
      <c r="J152" s="1">
        <v>40.200000000000003</v>
      </c>
      <c r="K152" s="1">
        <f>Tabela1[[#This Row],[$ Imposto ICMS do faturamento]]-Tabela1[[#This Row],[$ ISS]]</f>
        <v>0</v>
      </c>
    </row>
    <row r="153" spans="1:11" x14ac:dyDescent="0.25">
      <c r="A153" t="s">
        <v>159</v>
      </c>
      <c r="B153" t="s">
        <v>53</v>
      </c>
      <c r="C153" t="s">
        <v>54</v>
      </c>
      <c r="D153" t="s">
        <v>13</v>
      </c>
      <c r="E153" t="s">
        <v>170</v>
      </c>
      <c r="F153" s="1">
        <v>40.200000000000003</v>
      </c>
      <c r="G153" s="1">
        <v>0</v>
      </c>
      <c r="H153" s="1">
        <v>0</v>
      </c>
      <c r="I153" s="1">
        <v>0</v>
      </c>
      <c r="J153" s="1">
        <v>40.200000000000003</v>
      </c>
      <c r="K153" s="1">
        <f>Tabela1[[#This Row],[$ Imposto ICMS do faturamento]]-Tabela1[[#This Row],[$ ISS]]</f>
        <v>0</v>
      </c>
    </row>
    <row r="154" spans="1:11" x14ac:dyDescent="0.25">
      <c r="A154" t="s">
        <v>159</v>
      </c>
      <c r="B154" t="s">
        <v>90</v>
      </c>
      <c r="C154" t="s">
        <v>12</v>
      </c>
      <c r="D154" t="s">
        <v>13</v>
      </c>
      <c r="E154" t="s">
        <v>185</v>
      </c>
      <c r="F154" s="1">
        <v>54.7</v>
      </c>
      <c r="G154" s="1">
        <v>0</v>
      </c>
      <c r="H154" s="1">
        <v>0</v>
      </c>
      <c r="I154" s="1">
        <v>0</v>
      </c>
      <c r="J154" s="1">
        <v>54.7</v>
      </c>
      <c r="K154" s="1">
        <f>Tabela1[[#This Row],[$ Imposto ICMS do faturamento]]-Tabela1[[#This Row],[$ ISS]]</f>
        <v>0</v>
      </c>
    </row>
    <row r="155" spans="1:11" x14ac:dyDescent="0.25">
      <c r="A155" t="s">
        <v>159</v>
      </c>
      <c r="B155" t="s">
        <v>53</v>
      </c>
      <c r="C155" t="s">
        <v>54</v>
      </c>
      <c r="D155" t="s">
        <v>13</v>
      </c>
      <c r="E155" t="s">
        <v>171</v>
      </c>
      <c r="F155" s="1">
        <v>40.200000000000003</v>
      </c>
      <c r="G155" s="1">
        <v>0</v>
      </c>
      <c r="H155" s="1">
        <v>0</v>
      </c>
      <c r="I155" s="1">
        <v>0</v>
      </c>
      <c r="J155" s="1">
        <v>40.200000000000003</v>
      </c>
      <c r="K155" s="1">
        <f>Tabela1[[#This Row],[$ Imposto ICMS do faturamento]]-Tabela1[[#This Row],[$ ISS]]</f>
        <v>0</v>
      </c>
    </row>
    <row r="156" spans="1:11" x14ac:dyDescent="0.25">
      <c r="A156" t="s">
        <v>159</v>
      </c>
      <c r="B156" t="s">
        <v>53</v>
      </c>
      <c r="C156" t="s">
        <v>54</v>
      </c>
      <c r="D156" t="s">
        <v>13</v>
      </c>
      <c r="E156" t="s">
        <v>172</v>
      </c>
      <c r="F156" s="1">
        <v>40.200000000000003</v>
      </c>
      <c r="G156" s="1">
        <v>0</v>
      </c>
      <c r="H156" s="1">
        <v>0</v>
      </c>
      <c r="I156" s="1">
        <v>0</v>
      </c>
      <c r="J156" s="1">
        <v>40.200000000000003</v>
      </c>
      <c r="K156" s="1">
        <f>Tabela1[[#This Row],[$ Imposto ICMS do faturamento]]-Tabela1[[#This Row],[$ ISS]]</f>
        <v>0</v>
      </c>
    </row>
    <row r="157" spans="1:11" x14ac:dyDescent="0.25">
      <c r="A157" t="s">
        <v>159</v>
      </c>
      <c r="B157" t="s">
        <v>53</v>
      </c>
      <c r="C157" t="s">
        <v>54</v>
      </c>
      <c r="D157" t="s">
        <v>13</v>
      </c>
      <c r="E157" t="s">
        <v>173</v>
      </c>
      <c r="F157" s="1">
        <v>40.200000000000003</v>
      </c>
      <c r="G157" s="1">
        <v>0</v>
      </c>
      <c r="H157" s="1">
        <v>0</v>
      </c>
      <c r="I157" s="1">
        <v>0</v>
      </c>
      <c r="J157" s="1">
        <v>40.200000000000003</v>
      </c>
      <c r="K157" s="1">
        <f>Tabela1[[#This Row],[$ Imposto ICMS do faturamento]]-Tabela1[[#This Row],[$ ISS]]</f>
        <v>0</v>
      </c>
    </row>
    <row r="158" spans="1:11" x14ac:dyDescent="0.25">
      <c r="A158" t="s">
        <v>159</v>
      </c>
      <c r="B158" t="s">
        <v>53</v>
      </c>
      <c r="C158" t="s">
        <v>54</v>
      </c>
      <c r="D158" t="s">
        <v>13</v>
      </c>
      <c r="E158" t="s">
        <v>174</v>
      </c>
      <c r="F158" s="1">
        <v>40.200000000000003</v>
      </c>
      <c r="G158" s="1">
        <v>0</v>
      </c>
      <c r="H158" s="1">
        <v>0</v>
      </c>
      <c r="I158" s="1">
        <v>0</v>
      </c>
      <c r="J158" s="1">
        <v>40.200000000000003</v>
      </c>
      <c r="K158" s="1">
        <f>Tabela1[[#This Row],[$ Imposto ICMS do faturamento]]-Tabela1[[#This Row],[$ ISS]]</f>
        <v>0</v>
      </c>
    </row>
    <row r="159" spans="1:11" x14ac:dyDescent="0.25">
      <c r="A159" t="s">
        <v>159</v>
      </c>
      <c r="B159" t="s">
        <v>53</v>
      </c>
      <c r="C159" t="s">
        <v>54</v>
      </c>
      <c r="D159" t="s">
        <v>13</v>
      </c>
      <c r="E159" t="s">
        <v>175</v>
      </c>
      <c r="F159" s="1">
        <v>40.200000000000003</v>
      </c>
      <c r="G159" s="1">
        <v>0</v>
      </c>
      <c r="H159" s="1">
        <v>0</v>
      </c>
      <c r="I159" s="1">
        <v>0</v>
      </c>
      <c r="J159" s="1">
        <v>40.200000000000003</v>
      </c>
      <c r="K159" s="1">
        <f>Tabela1[[#This Row],[$ Imposto ICMS do faturamento]]-Tabela1[[#This Row],[$ ISS]]</f>
        <v>0</v>
      </c>
    </row>
    <row r="160" spans="1:11" x14ac:dyDescent="0.25">
      <c r="A160" t="s">
        <v>159</v>
      </c>
      <c r="B160" t="s">
        <v>53</v>
      </c>
      <c r="C160" t="s">
        <v>54</v>
      </c>
      <c r="D160" t="s">
        <v>13</v>
      </c>
      <c r="E160" t="s">
        <v>176</v>
      </c>
      <c r="F160" s="1">
        <v>40.200000000000003</v>
      </c>
      <c r="G160" s="1">
        <v>0</v>
      </c>
      <c r="H160" s="1">
        <v>0</v>
      </c>
      <c r="I160" s="1">
        <v>0</v>
      </c>
      <c r="J160" s="1">
        <v>40.200000000000003</v>
      </c>
      <c r="K160" s="1">
        <f>Tabela1[[#This Row],[$ Imposto ICMS do faturamento]]-Tabela1[[#This Row],[$ ISS]]</f>
        <v>0</v>
      </c>
    </row>
    <row r="161" spans="1:11" x14ac:dyDescent="0.25">
      <c r="A161" t="s">
        <v>159</v>
      </c>
      <c r="B161" t="s">
        <v>90</v>
      </c>
      <c r="C161" t="s">
        <v>12</v>
      </c>
      <c r="D161" t="s">
        <v>13</v>
      </c>
      <c r="E161" t="s">
        <v>186</v>
      </c>
      <c r="F161" s="1">
        <v>61.66</v>
      </c>
      <c r="G161" s="1">
        <v>0</v>
      </c>
      <c r="H161" s="1">
        <v>0</v>
      </c>
      <c r="I161" s="1">
        <v>0</v>
      </c>
      <c r="J161" s="1">
        <v>61.66</v>
      </c>
      <c r="K161" s="1">
        <f>Tabela1[[#This Row],[$ Imposto ICMS do faturamento]]-Tabela1[[#This Row],[$ ISS]]</f>
        <v>0</v>
      </c>
    </row>
    <row r="162" spans="1:11" x14ac:dyDescent="0.25">
      <c r="A162" t="s">
        <v>159</v>
      </c>
      <c r="B162" t="s">
        <v>53</v>
      </c>
      <c r="C162" t="s">
        <v>54</v>
      </c>
      <c r="D162" t="s">
        <v>13</v>
      </c>
      <c r="E162" t="s">
        <v>177</v>
      </c>
      <c r="F162" s="1">
        <v>40.200000000000003</v>
      </c>
      <c r="G162" s="1">
        <v>0</v>
      </c>
      <c r="H162" s="1">
        <v>0</v>
      </c>
      <c r="I162" s="1">
        <v>0</v>
      </c>
      <c r="J162" s="1">
        <v>40.200000000000003</v>
      </c>
      <c r="K162" s="1">
        <f>Tabela1[[#This Row],[$ Imposto ICMS do faturamento]]-Tabela1[[#This Row],[$ ISS]]</f>
        <v>0</v>
      </c>
    </row>
    <row r="163" spans="1:11" x14ac:dyDescent="0.25">
      <c r="A163" t="s">
        <v>159</v>
      </c>
      <c r="B163" t="s">
        <v>53</v>
      </c>
      <c r="C163" t="s">
        <v>54</v>
      </c>
      <c r="D163" t="s">
        <v>13</v>
      </c>
      <c r="E163" t="s">
        <v>178</v>
      </c>
      <c r="F163" s="1">
        <v>40.200000000000003</v>
      </c>
      <c r="G163" s="1">
        <v>0</v>
      </c>
      <c r="H163" s="1">
        <v>0</v>
      </c>
      <c r="I163" s="1">
        <v>0</v>
      </c>
      <c r="J163" s="1">
        <v>40.200000000000003</v>
      </c>
      <c r="K163" s="1">
        <f>Tabela1[[#This Row],[$ Imposto ICMS do faturamento]]-Tabela1[[#This Row],[$ ISS]]</f>
        <v>0</v>
      </c>
    </row>
    <row r="164" spans="1:11" x14ac:dyDescent="0.25">
      <c r="A164" t="s">
        <v>159</v>
      </c>
      <c r="B164" t="s">
        <v>53</v>
      </c>
      <c r="C164" t="s">
        <v>54</v>
      </c>
      <c r="D164" t="s">
        <v>13</v>
      </c>
      <c r="E164" t="s">
        <v>179</v>
      </c>
      <c r="F164" s="1">
        <v>40.200000000000003</v>
      </c>
      <c r="G164" s="1">
        <v>0</v>
      </c>
      <c r="H164" s="1">
        <v>0</v>
      </c>
      <c r="I164" s="1">
        <v>0</v>
      </c>
      <c r="J164" s="1">
        <v>40.200000000000003</v>
      </c>
      <c r="K164" s="1">
        <f>Tabela1[[#This Row],[$ Imposto ICMS do faturamento]]-Tabela1[[#This Row],[$ ISS]]</f>
        <v>0</v>
      </c>
    </row>
    <row r="165" spans="1:11" x14ac:dyDescent="0.25">
      <c r="A165" t="s">
        <v>159</v>
      </c>
      <c r="B165" t="s">
        <v>53</v>
      </c>
      <c r="C165" t="s">
        <v>54</v>
      </c>
      <c r="D165" t="s">
        <v>13</v>
      </c>
      <c r="E165" t="s">
        <v>180</v>
      </c>
      <c r="F165" s="1">
        <v>36.6</v>
      </c>
      <c r="G165" s="1">
        <v>0</v>
      </c>
      <c r="H165" s="1">
        <v>0</v>
      </c>
      <c r="I165" s="1">
        <v>0</v>
      </c>
      <c r="J165" s="1">
        <v>36.6</v>
      </c>
      <c r="K165" s="1">
        <f>Tabela1[[#This Row],[$ Imposto ICMS do faturamento]]-Tabela1[[#This Row],[$ ISS]]</f>
        <v>0</v>
      </c>
    </row>
    <row r="166" spans="1:11" x14ac:dyDescent="0.25">
      <c r="A166" t="s">
        <v>159</v>
      </c>
      <c r="B166" t="s">
        <v>90</v>
      </c>
      <c r="C166" t="s">
        <v>12</v>
      </c>
      <c r="D166" t="s">
        <v>13</v>
      </c>
      <c r="E166" t="s">
        <v>187</v>
      </c>
      <c r="F166" s="1">
        <v>61.81</v>
      </c>
      <c r="G166" s="1">
        <v>0</v>
      </c>
      <c r="H166" s="1">
        <v>0</v>
      </c>
      <c r="I166" s="1">
        <v>0</v>
      </c>
      <c r="J166" s="1">
        <v>61.81</v>
      </c>
      <c r="K166" s="1">
        <f>Tabela1[[#This Row],[$ Imposto ICMS do faturamento]]-Tabela1[[#This Row],[$ ISS]]</f>
        <v>0</v>
      </c>
    </row>
    <row r="167" spans="1:11" x14ac:dyDescent="0.25">
      <c r="A167" t="s">
        <v>188</v>
      </c>
      <c r="B167" t="s">
        <v>53</v>
      </c>
      <c r="C167" t="s">
        <v>157</v>
      </c>
      <c r="D167" t="s">
        <v>13</v>
      </c>
      <c r="E167" t="s">
        <v>227</v>
      </c>
      <c r="F167" s="1">
        <v>40.200000000000003</v>
      </c>
      <c r="G167" s="1">
        <v>0</v>
      </c>
      <c r="H167" s="1">
        <v>0</v>
      </c>
      <c r="I167" s="1">
        <v>0</v>
      </c>
      <c r="J167" s="1">
        <v>40.200000000000003</v>
      </c>
      <c r="K167" s="1">
        <f>Tabela1[[#This Row],[$ Imposto ICMS do faturamento]]-Tabela1[[#This Row],[$ ISS]]</f>
        <v>0</v>
      </c>
    </row>
    <row r="168" spans="1:11" x14ac:dyDescent="0.25">
      <c r="A168" t="s">
        <v>188</v>
      </c>
      <c r="B168" t="s">
        <v>53</v>
      </c>
      <c r="C168" t="s">
        <v>54</v>
      </c>
      <c r="D168" t="s">
        <v>13</v>
      </c>
      <c r="E168" t="s">
        <v>189</v>
      </c>
      <c r="F168" s="1">
        <v>40.200000000000003</v>
      </c>
      <c r="G168" s="1">
        <v>0</v>
      </c>
      <c r="H168" s="1">
        <v>0</v>
      </c>
      <c r="I168" s="1">
        <v>0</v>
      </c>
      <c r="J168" s="1">
        <v>40.200000000000003</v>
      </c>
      <c r="K168" s="1">
        <f>Tabela1[[#This Row],[$ Imposto ICMS do faturamento]]-Tabela1[[#This Row],[$ ISS]]</f>
        <v>0</v>
      </c>
    </row>
    <row r="169" spans="1:11" x14ac:dyDescent="0.25">
      <c r="A169" t="s">
        <v>188</v>
      </c>
      <c r="B169" t="s">
        <v>53</v>
      </c>
      <c r="C169" t="s">
        <v>54</v>
      </c>
      <c r="D169" t="s">
        <v>13</v>
      </c>
      <c r="E169" t="s">
        <v>190</v>
      </c>
      <c r="F169" s="1">
        <v>40.200000000000003</v>
      </c>
      <c r="G169" s="1">
        <v>0</v>
      </c>
      <c r="H169" s="1">
        <v>0</v>
      </c>
      <c r="I169" s="1">
        <v>0</v>
      </c>
      <c r="J169" s="1">
        <v>40.200000000000003</v>
      </c>
      <c r="K169" s="1">
        <f>Tabela1[[#This Row],[$ Imposto ICMS do faturamento]]-Tabela1[[#This Row],[$ ISS]]</f>
        <v>0</v>
      </c>
    </row>
    <row r="170" spans="1:11" x14ac:dyDescent="0.25">
      <c r="A170" t="s">
        <v>188</v>
      </c>
      <c r="B170" t="s">
        <v>53</v>
      </c>
      <c r="C170" t="s">
        <v>54</v>
      </c>
      <c r="D170" t="s">
        <v>13</v>
      </c>
      <c r="E170" t="s">
        <v>191</v>
      </c>
      <c r="F170" s="1">
        <v>40.200000000000003</v>
      </c>
      <c r="G170" s="1">
        <v>0</v>
      </c>
      <c r="H170" s="1">
        <v>0</v>
      </c>
      <c r="I170" s="1">
        <v>0</v>
      </c>
      <c r="J170" s="1">
        <v>40.200000000000003</v>
      </c>
      <c r="K170" s="1">
        <f>Tabela1[[#This Row],[$ Imposto ICMS do faturamento]]-Tabela1[[#This Row],[$ ISS]]</f>
        <v>0</v>
      </c>
    </row>
    <row r="171" spans="1:11" x14ac:dyDescent="0.25">
      <c r="A171" t="s">
        <v>188</v>
      </c>
      <c r="B171" t="s">
        <v>53</v>
      </c>
      <c r="C171" t="s">
        <v>54</v>
      </c>
      <c r="D171" t="s">
        <v>13</v>
      </c>
      <c r="E171" t="s">
        <v>192</v>
      </c>
      <c r="F171" s="1">
        <v>40.200000000000003</v>
      </c>
      <c r="G171" s="1">
        <v>0</v>
      </c>
      <c r="H171" s="1">
        <v>0</v>
      </c>
      <c r="I171" s="1">
        <v>0</v>
      </c>
      <c r="J171" s="1">
        <v>40.200000000000003</v>
      </c>
      <c r="K171" s="1">
        <f>Tabela1[[#This Row],[$ Imposto ICMS do faturamento]]-Tabela1[[#This Row],[$ ISS]]</f>
        <v>0</v>
      </c>
    </row>
    <row r="172" spans="1:11" x14ac:dyDescent="0.25">
      <c r="A172" t="s">
        <v>188</v>
      </c>
      <c r="B172" t="s">
        <v>53</v>
      </c>
      <c r="C172" t="s">
        <v>54</v>
      </c>
      <c r="D172" t="s">
        <v>13</v>
      </c>
      <c r="E172" t="s">
        <v>193</v>
      </c>
      <c r="F172" s="1">
        <v>40.200000000000003</v>
      </c>
      <c r="G172" s="1">
        <v>0</v>
      </c>
      <c r="H172" s="1">
        <v>0</v>
      </c>
      <c r="I172" s="1">
        <v>0</v>
      </c>
      <c r="J172" s="1">
        <v>40.200000000000003</v>
      </c>
      <c r="K172" s="1">
        <f>Tabela1[[#This Row],[$ Imposto ICMS do faturamento]]-Tabela1[[#This Row],[$ ISS]]</f>
        <v>0</v>
      </c>
    </row>
    <row r="173" spans="1:11" x14ac:dyDescent="0.25">
      <c r="A173" t="s">
        <v>188</v>
      </c>
      <c r="B173" t="s">
        <v>53</v>
      </c>
      <c r="C173" t="s">
        <v>54</v>
      </c>
      <c r="D173" t="s">
        <v>13</v>
      </c>
      <c r="E173" t="s">
        <v>194</v>
      </c>
      <c r="F173" s="1">
        <v>40.200000000000003</v>
      </c>
      <c r="G173" s="1">
        <v>0</v>
      </c>
      <c r="H173" s="1">
        <v>0</v>
      </c>
      <c r="I173" s="1">
        <v>0</v>
      </c>
      <c r="J173" s="1">
        <v>40.200000000000003</v>
      </c>
      <c r="K173" s="1">
        <f>Tabela1[[#This Row],[$ Imposto ICMS do faturamento]]-Tabela1[[#This Row],[$ ISS]]</f>
        <v>0</v>
      </c>
    </row>
    <row r="174" spans="1:11" x14ac:dyDescent="0.25">
      <c r="A174" t="s">
        <v>188</v>
      </c>
      <c r="B174" t="s">
        <v>53</v>
      </c>
      <c r="C174" t="s">
        <v>54</v>
      </c>
      <c r="D174" t="s">
        <v>13</v>
      </c>
      <c r="E174" t="s">
        <v>195</v>
      </c>
      <c r="F174" s="1">
        <v>36.6</v>
      </c>
      <c r="G174" s="1">
        <v>0</v>
      </c>
      <c r="H174" s="1">
        <v>0</v>
      </c>
      <c r="I174" s="1">
        <v>0</v>
      </c>
      <c r="J174" s="1">
        <v>36.6</v>
      </c>
      <c r="K174" s="1">
        <f>Tabela1[[#This Row],[$ Imposto ICMS do faturamento]]-Tabela1[[#This Row],[$ ISS]]</f>
        <v>0</v>
      </c>
    </row>
    <row r="175" spans="1:11" x14ac:dyDescent="0.25">
      <c r="A175" t="s">
        <v>188</v>
      </c>
      <c r="B175" t="s">
        <v>53</v>
      </c>
      <c r="C175" t="s">
        <v>54</v>
      </c>
      <c r="D175" t="s">
        <v>13</v>
      </c>
      <c r="E175" t="s">
        <v>196</v>
      </c>
      <c r="F175" s="1">
        <v>40.200000000000003</v>
      </c>
      <c r="G175" s="1">
        <v>0</v>
      </c>
      <c r="H175" s="1">
        <v>0</v>
      </c>
      <c r="I175" s="1">
        <v>0</v>
      </c>
      <c r="J175" s="1">
        <v>40.200000000000003</v>
      </c>
      <c r="K175" s="1">
        <f>Tabela1[[#This Row],[$ Imposto ICMS do faturamento]]-Tabela1[[#This Row],[$ ISS]]</f>
        <v>0</v>
      </c>
    </row>
    <row r="176" spans="1:11" x14ac:dyDescent="0.25">
      <c r="A176" t="s">
        <v>188</v>
      </c>
      <c r="B176" t="s">
        <v>53</v>
      </c>
      <c r="C176" t="s">
        <v>54</v>
      </c>
      <c r="D176" t="s">
        <v>13</v>
      </c>
      <c r="E176" t="s">
        <v>197</v>
      </c>
      <c r="F176" s="1">
        <v>40.200000000000003</v>
      </c>
      <c r="G176" s="1">
        <v>0</v>
      </c>
      <c r="H176" s="1">
        <v>0</v>
      </c>
      <c r="I176" s="1">
        <v>0</v>
      </c>
      <c r="J176" s="1">
        <v>40.200000000000003</v>
      </c>
      <c r="K176" s="1">
        <f>Tabela1[[#This Row],[$ Imposto ICMS do faturamento]]-Tabela1[[#This Row],[$ ISS]]</f>
        <v>0</v>
      </c>
    </row>
    <row r="177" spans="1:11" x14ac:dyDescent="0.25">
      <c r="A177" t="s">
        <v>188</v>
      </c>
      <c r="B177" t="s">
        <v>53</v>
      </c>
      <c r="C177" t="s">
        <v>54</v>
      </c>
      <c r="D177" t="s">
        <v>13</v>
      </c>
      <c r="E177" t="s">
        <v>198</v>
      </c>
      <c r="F177" s="1">
        <v>40.200000000000003</v>
      </c>
      <c r="G177" s="1">
        <v>0</v>
      </c>
      <c r="H177" s="1">
        <v>0</v>
      </c>
      <c r="I177" s="1">
        <v>0</v>
      </c>
      <c r="J177" s="1">
        <v>40.200000000000003</v>
      </c>
      <c r="K177" s="1">
        <f>Tabela1[[#This Row],[$ Imposto ICMS do faturamento]]-Tabela1[[#This Row],[$ ISS]]</f>
        <v>0</v>
      </c>
    </row>
    <row r="178" spans="1:11" x14ac:dyDescent="0.25">
      <c r="A178" t="s">
        <v>188</v>
      </c>
      <c r="B178" t="s">
        <v>90</v>
      </c>
      <c r="C178" t="s">
        <v>12</v>
      </c>
      <c r="D178" t="s">
        <v>13</v>
      </c>
      <c r="E178" t="s">
        <v>233</v>
      </c>
      <c r="F178" s="1">
        <v>86.73</v>
      </c>
      <c r="G178" s="1">
        <v>0</v>
      </c>
      <c r="H178" s="1">
        <v>0</v>
      </c>
      <c r="I178" s="1">
        <v>0</v>
      </c>
      <c r="J178" s="1">
        <v>86.73</v>
      </c>
      <c r="K178" s="1">
        <f>Tabela1[[#This Row],[$ Imposto ICMS do faturamento]]-Tabela1[[#This Row],[$ ISS]]</f>
        <v>0</v>
      </c>
    </row>
    <row r="179" spans="1:11" x14ac:dyDescent="0.25">
      <c r="A179" t="s">
        <v>188</v>
      </c>
      <c r="B179" t="s">
        <v>53</v>
      </c>
      <c r="C179" t="s">
        <v>54</v>
      </c>
      <c r="D179" t="s">
        <v>13</v>
      </c>
      <c r="E179" t="s">
        <v>199</v>
      </c>
      <c r="F179" s="1">
        <v>36.6</v>
      </c>
      <c r="G179" s="1">
        <v>0</v>
      </c>
      <c r="H179" s="1">
        <v>0</v>
      </c>
      <c r="I179" s="1">
        <v>0</v>
      </c>
      <c r="J179" s="1">
        <v>36.6</v>
      </c>
      <c r="K179" s="1">
        <f>Tabela1[[#This Row],[$ Imposto ICMS do faturamento]]-Tabela1[[#This Row],[$ ISS]]</f>
        <v>0</v>
      </c>
    </row>
    <row r="180" spans="1:11" x14ac:dyDescent="0.25">
      <c r="A180" t="s">
        <v>188</v>
      </c>
      <c r="B180" t="s">
        <v>53</v>
      </c>
      <c r="C180" t="s">
        <v>54</v>
      </c>
      <c r="D180" t="s">
        <v>13</v>
      </c>
      <c r="E180" t="s">
        <v>200</v>
      </c>
      <c r="F180" s="1">
        <v>40.200000000000003</v>
      </c>
      <c r="G180" s="1">
        <v>0</v>
      </c>
      <c r="H180" s="1">
        <v>0</v>
      </c>
      <c r="I180" s="1">
        <v>0</v>
      </c>
      <c r="J180" s="1">
        <v>40.200000000000003</v>
      </c>
      <c r="K180" s="1">
        <f>Tabela1[[#This Row],[$ Imposto ICMS do faturamento]]-Tabela1[[#This Row],[$ ISS]]</f>
        <v>0</v>
      </c>
    </row>
    <row r="181" spans="1:11" x14ac:dyDescent="0.25">
      <c r="A181" t="s">
        <v>188</v>
      </c>
      <c r="B181" t="s">
        <v>53</v>
      </c>
      <c r="C181" t="s">
        <v>54</v>
      </c>
      <c r="D181" t="s">
        <v>13</v>
      </c>
      <c r="E181" t="s">
        <v>201</v>
      </c>
      <c r="F181" s="1">
        <v>40.200000000000003</v>
      </c>
      <c r="G181" s="1">
        <v>0</v>
      </c>
      <c r="H181" s="1">
        <v>0</v>
      </c>
      <c r="I181" s="1">
        <v>0</v>
      </c>
      <c r="J181" s="1">
        <v>40.200000000000003</v>
      </c>
      <c r="K181" s="1">
        <f>Tabela1[[#This Row],[$ Imposto ICMS do faturamento]]-Tabela1[[#This Row],[$ ISS]]</f>
        <v>0</v>
      </c>
    </row>
    <row r="182" spans="1:11" x14ac:dyDescent="0.25">
      <c r="A182" t="s">
        <v>188</v>
      </c>
      <c r="B182" t="s">
        <v>53</v>
      </c>
      <c r="C182" t="s">
        <v>54</v>
      </c>
      <c r="D182" t="s">
        <v>13</v>
      </c>
      <c r="E182" t="s">
        <v>202</v>
      </c>
      <c r="F182" s="1">
        <v>40.200000000000003</v>
      </c>
      <c r="G182" s="1">
        <v>0</v>
      </c>
      <c r="H182" s="1">
        <v>0</v>
      </c>
      <c r="I182" s="1">
        <v>0</v>
      </c>
      <c r="J182" s="1">
        <v>40.200000000000003</v>
      </c>
      <c r="K182" s="1">
        <f>Tabela1[[#This Row],[$ Imposto ICMS do faturamento]]-Tabela1[[#This Row],[$ ISS]]</f>
        <v>0</v>
      </c>
    </row>
    <row r="183" spans="1:11" x14ac:dyDescent="0.25">
      <c r="A183" t="s">
        <v>188</v>
      </c>
      <c r="B183" t="s">
        <v>53</v>
      </c>
      <c r="C183" t="s">
        <v>54</v>
      </c>
      <c r="D183" t="s">
        <v>13</v>
      </c>
      <c r="E183" t="s">
        <v>203</v>
      </c>
      <c r="F183" s="1">
        <v>40.200000000000003</v>
      </c>
      <c r="G183" s="1">
        <v>0</v>
      </c>
      <c r="H183" s="1">
        <v>0</v>
      </c>
      <c r="I183" s="1">
        <v>0</v>
      </c>
      <c r="J183" s="1">
        <v>40.200000000000003</v>
      </c>
      <c r="K183" s="1">
        <f>Tabela1[[#This Row],[$ Imposto ICMS do faturamento]]-Tabela1[[#This Row],[$ ISS]]</f>
        <v>0</v>
      </c>
    </row>
    <row r="184" spans="1:11" x14ac:dyDescent="0.25">
      <c r="A184" t="s">
        <v>188</v>
      </c>
      <c r="B184" t="s">
        <v>53</v>
      </c>
      <c r="C184" t="s">
        <v>54</v>
      </c>
      <c r="D184" t="s">
        <v>13</v>
      </c>
      <c r="E184" t="s">
        <v>204</v>
      </c>
      <c r="F184" s="1">
        <v>40.200000000000003</v>
      </c>
      <c r="G184" s="1">
        <v>0</v>
      </c>
      <c r="H184" s="1">
        <v>0</v>
      </c>
      <c r="I184" s="1">
        <v>0</v>
      </c>
      <c r="J184" s="1">
        <v>40.200000000000003</v>
      </c>
      <c r="K184" s="1">
        <f>Tabela1[[#This Row],[$ Imposto ICMS do faturamento]]-Tabela1[[#This Row],[$ ISS]]</f>
        <v>0</v>
      </c>
    </row>
    <row r="185" spans="1:11" x14ac:dyDescent="0.25">
      <c r="A185" t="s">
        <v>188</v>
      </c>
      <c r="B185" t="s">
        <v>53</v>
      </c>
      <c r="C185" t="s">
        <v>157</v>
      </c>
      <c r="D185" t="s">
        <v>13</v>
      </c>
      <c r="E185" t="s">
        <v>228</v>
      </c>
      <c r="F185" s="1">
        <v>40.200000000000003</v>
      </c>
      <c r="G185" s="1">
        <v>0</v>
      </c>
      <c r="H185" s="1">
        <v>0</v>
      </c>
      <c r="I185" s="1">
        <v>0</v>
      </c>
      <c r="J185" s="1">
        <v>40.200000000000003</v>
      </c>
      <c r="K185" s="1">
        <f>Tabela1[[#This Row],[$ Imposto ICMS do faturamento]]-Tabela1[[#This Row],[$ ISS]]</f>
        <v>0</v>
      </c>
    </row>
    <row r="186" spans="1:11" x14ac:dyDescent="0.25">
      <c r="A186" t="s">
        <v>188</v>
      </c>
      <c r="B186" t="s">
        <v>53</v>
      </c>
      <c r="C186" t="s">
        <v>157</v>
      </c>
      <c r="D186" t="s">
        <v>13</v>
      </c>
      <c r="E186" t="s">
        <v>229</v>
      </c>
      <c r="F186" s="1">
        <v>40.200000000000003</v>
      </c>
      <c r="G186" s="1">
        <v>0</v>
      </c>
      <c r="H186" s="1">
        <v>0</v>
      </c>
      <c r="I186" s="1">
        <v>0</v>
      </c>
      <c r="J186" s="1">
        <v>40.200000000000003</v>
      </c>
      <c r="K186" s="1">
        <f>Tabela1[[#This Row],[$ Imposto ICMS do faturamento]]-Tabela1[[#This Row],[$ ISS]]</f>
        <v>0</v>
      </c>
    </row>
    <row r="187" spans="1:11" x14ac:dyDescent="0.25">
      <c r="A187" t="s">
        <v>188</v>
      </c>
      <c r="B187" t="s">
        <v>90</v>
      </c>
      <c r="C187" t="s">
        <v>12</v>
      </c>
      <c r="D187" t="s">
        <v>13</v>
      </c>
      <c r="E187" t="s">
        <v>234</v>
      </c>
      <c r="F187" s="1">
        <v>94.75</v>
      </c>
      <c r="G187" s="1">
        <v>0</v>
      </c>
      <c r="H187" s="1">
        <v>0</v>
      </c>
      <c r="I187" s="1">
        <v>0</v>
      </c>
      <c r="J187" s="1">
        <v>94.75</v>
      </c>
      <c r="K187" s="1">
        <f>Tabela1[[#This Row],[$ Imposto ICMS do faturamento]]-Tabela1[[#This Row],[$ ISS]]</f>
        <v>0</v>
      </c>
    </row>
    <row r="188" spans="1:11" x14ac:dyDescent="0.25">
      <c r="A188" t="s">
        <v>188</v>
      </c>
      <c r="B188" t="s">
        <v>53</v>
      </c>
      <c r="C188" t="s">
        <v>54</v>
      </c>
      <c r="D188" t="s">
        <v>13</v>
      </c>
      <c r="E188" t="s">
        <v>205</v>
      </c>
      <c r="F188" s="1">
        <v>40.200000000000003</v>
      </c>
      <c r="G188" s="1">
        <v>0</v>
      </c>
      <c r="H188" s="1">
        <v>0</v>
      </c>
      <c r="I188" s="1">
        <v>0</v>
      </c>
      <c r="J188" s="1">
        <v>40.200000000000003</v>
      </c>
      <c r="K188" s="1">
        <f>Tabela1[[#This Row],[$ Imposto ICMS do faturamento]]-Tabela1[[#This Row],[$ ISS]]</f>
        <v>0</v>
      </c>
    </row>
    <row r="189" spans="1:11" x14ac:dyDescent="0.25">
      <c r="A189" t="s">
        <v>188</v>
      </c>
      <c r="B189" t="s">
        <v>53</v>
      </c>
      <c r="C189" t="s">
        <v>54</v>
      </c>
      <c r="D189" t="s">
        <v>13</v>
      </c>
      <c r="E189" t="s">
        <v>206</v>
      </c>
      <c r="F189" s="1">
        <v>40.200000000000003</v>
      </c>
      <c r="G189" s="1">
        <v>0</v>
      </c>
      <c r="H189" s="1">
        <v>0</v>
      </c>
      <c r="I189" s="1">
        <v>0</v>
      </c>
      <c r="J189" s="1">
        <v>40.200000000000003</v>
      </c>
      <c r="K189" s="1">
        <f>Tabela1[[#This Row],[$ Imposto ICMS do faturamento]]-Tabela1[[#This Row],[$ ISS]]</f>
        <v>0</v>
      </c>
    </row>
    <row r="190" spans="1:11" x14ac:dyDescent="0.25">
      <c r="A190" t="s">
        <v>188</v>
      </c>
      <c r="B190" t="s">
        <v>53</v>
      </c>
      <c r="C190" t="s">
        <v>54</v>
      </c>
      <c r="D190" t="s">
        <v>13</v>
      </c>
      <c r="E190" t="s">
        <v>207</v>
      </c>
      <c r="F190" s="1">
        <v>36.6</v>
      </c>
      <c r="G190" s="1">
        <v>0</v>
      </c>
      <c r="H190" s="1">
        <v>0</v>
      </c>
      <c r="I190" s="1">
        <v>0</v>
      </c>
      <c r="J190" s="1">
        <v>36.6</v>
      </c>
      <c r="K190" s="1">
        <f>Tabela1[[#This Row],[$ Imposto ICMS do faturamento]]-Tabela1[[#This Row],[$ ISS]]</f>
        <v>0</v>
      </c>
    </row>
    <row r="191" spans="1:11" x14ac:dyDescent="0.25">
      <c r="A191" t="s">
        <v>188</v>
      </c>
      <c r="B191" t="s">
        <v>53</v>
      </c>
      <c r="C191" t="s">
        <v>54</v>
      </c>
      <c r="D191" t="s">
        <v>13</v>
      </c>
      <c r="E191" t="s">
        <v>208</v>
      </c>
      <c r="F191" s="1">
        <v>36.6</v>
      </c>
      <c r="G191" s="1">
        <v>0</v>
      </c>
      <c r="H191" s="1">
        <v>0</v>
      </c>
      <c r="I191" s="1">
        <v>0</v>
      </c>
      <c r="J191" s="1">
        <v>36.6</v>
      </c>
      <c r="K191" s="1">
        <f>Tabela1[[#This Row],[$ Imposto ICMS do faturamento]]-Tabela1[[#This Row],[$ ISS]]</f>
        <v>0</v>
      </c>
    </row>
    <row r="192" spans="1:11" x14ac:dyDescent="0.25">
      <c r="A192" t="s">
        <v>188</v>
      </c>
      <c r="B192" t="s">
        <v>53</v>
      </c>
      <c r="C192" t="s">
        <v>54</v>
      </c>
      <c r="D192" t="s">
        <v>13</v>
      </c>
      <c r="E192" t="s">
        <v>209</v>
      </c>
      <c r="F192" s="1">
        <v>40.200000000000003</v>
      </c>
      <c r="G192" s="1">
        <v>0</v>
      </c>
      <c r="H192" s="1">
        <v>0</v>
      </c>
      <c r="I192" s="1">
        <v>0</v>
      </c>
      <c r="J192" s="1">
        <v>40.200000000000003</v>
      </c>
      <c r="K192" s="1">
        <f>Tabela1[[#This Row],[$ Imposto ICMS do faturamento]]-Tabela1[[#This Row],[$ ISS]]</f>
        <v>0</v>
      </c>
    </row>
    <row r="193" spans="1:11" x14ac:dyDescent="0.25">
      <c r="A193" t="s">
        <v>188</v>
      </c>
      <c r="B193" t="s">
        <v>53</v>
      </c>
      <c r="C193" t="s">
        <v>54</v>
      </c>
      <c r="D193" t="s">
        <v>13</v>
      </c>
      <c r="E193" t="s">
        <v>210</v>
      </c>
      <c r="F193" s="1">
        <v>40.200000000000003</v>
      </c>
      <c r="G193" s="1">
        <v>0</v>
      </c>
      <c r="H193" s="1">
        <v>0</v>
      </c>
      <c r="I193" s="1">
        <v>0</v>
      </c>
      <c r="J193" s="1">
        <v>40.200000000000003</v>
      </c>
      <c r="K193" s="1">
        <f>Tabela1[[#This Row],[$ Imposto ICMS do faturamento]]-Tabela1[[#This Row],[$ ISS]]</f>
        <v>0</v>
      </c>
    </row>
    <row r="194" spans="1:11" x14ac:dyDescent="0.25">
      <c r="A194" t="s">
        <v>188</v>
      </c>
      <c r="B194" t="s">
        <v>53</v>
      </c>
      <c r="C194" t="s">
        <v>54</v>
      </c>
      <c r="D194" t="s">
        <v>13</v>
      </c>
      <c r="E194" t="s">
        <v>211</v>
      </c>
      <c r="F194" s="1">
        <v>40.200000000000003</v>
      </c>
      <c r="G194" s="1">
        <v>0</v>
      </c>
      <c r="H194" s="1">
        <v>0</v>
      </c>
      <c r="I194" s="1">
        <v>0</v>
      </c>
      <c r="J194" s="1">
        <v>40.200000000000003</v>
      </c>
      <c r="K194" s="1">
        <f>Tabela1[[#This Row],[$ Imposto ICMS do faturamento]]-Tabela1[[#This Row],[$ ISS]]</f>
        <v>0</v>
      </c>
    </row>
    <row r="195" spans="1:11" x14ac:dyDescent="0.25">
      <c r="A195" t="s">
        <v>188</v>
      </c>
      <c r="B195" t="s">
        <v>53</v>
      </c>
      <c r="C195" t="s">
        <v>54</v>
      </c>
      <c r="D195" t="s">
        <v>13</v>
      </c>
      <c r="E195" t="s">
        <v>212</v>
      </c>
      <c r="F195" s="1">
        <v>40.200000000000003</v>
      </c>
      <c r="G195" s="1">
        <v>0</v>
      </c>
      <c r="H195" s="1">
        <v>0</v>
      </c>
      <c r="I195" s="1">
        <v>0</v>
      </c>
      <c r="J195" s="1">
        <v>40.200000000000003</v>
      </c>
      <c r="K195" s="1">
        <f>Tabela1[[#This Row],[$ Imposto ICMS do faturamento]]-Tabela1[[#This Row],[$ ISS]]</f>
        <v>0</v>
      </c>
    </row>
    <row r="196" spans="1:11" x14ac:dyDescent="0.25">
      <c r="A196" t="s">
        <v>188</v>
      </c>
      <c r="B196" t="s">
        <v>53</v>
      </c>
      <c r="C196" t="s">
        <v>54</v>
      </c>
      <c r="D196" t="s">
        <v>13</v>
      </c>
      <c r="E196" t="s">
        <v>213</v>
      </c>
      <c r="F196" s="1">
        <v>40.200000000000003</v>
      </c>
      <c r="G196" s="1">
        <v>0</v>
      </c>
      <c r="H196" s="1">
        <v>0</v>
      </c>
      <c r="I196" s="1">
        <v>0</v>
      </c>
      <c r="J196" s="1">
        <v>40.200000000000003</v>
      </c>
      <c r="K196" s="1">
        <f>Tabela1[[#This Row],[$ Imposto ICMS do faturamento]]-Tabela1[[#This Row],[$ ISS]]</f>
        <v>0</v>
      </c>
    </row>
    <row r="197" spans="1:11" x14ac:dyDescent="0.25">
      <c r="A197" t="s">
        <v>188</v>
      </c>
      <c r="B197" t="s">
        <v>53</v>
      </c>
      <c r="C197" t="s">
        <v>54</v>
      </c>
      <c r="D197" t="s">
        <v>13</v>
      </c>
      <c r="E197" t="s">
        <v>214</v>
      </c>
      <c r="F197" s="1">
        <v>40.200000000000003</v>
      </c>
      <c r="G197" s="1">
        <v>0</v>
      </c>
      <c r="H197" s="1">
        <v>0</v>
      </c>
      <c r="I197" s="1">
        <v>0</v>
      </c>
      <c r="J197" s="1">
        <v>40.200000000000003</v>
      </c>
      <c r="K197" s="1">
        <f>Tabela1[[#This Row],[$ Imposto ICMS do faturamento]]-Tabela1[[#This Row],[$ ISS]]</f>
        <v>0</v>
      </c>
    </row>
    <row r="198" spans="1:11" x14ac:dyDescent="0.25">
      <c r="A198" t="s">
        <v>188</v>
      </c>
      <c r="B198" t="s">
        <v>53</v>
      </c>
      <c r="C198" t="s">
        <v>54</v>
      </c>
      <c r="D198" t="s">
        <v>13</v>
      </c>
      <c r="E198" t="s">
        <v>215</v>
      </c>
      <c r="F198" s="1">
        <v>40.200000000000003</v>
      </c>
      <c r="G198" s="1">
        <v>0</v>
      </c>
      <c r="H198" s="1">
        <v>0</v>
      </c>
      <c r="I198" s="1">
        <v>0</v>
      </c>
      <c r="J198" s="1">
        <v>40.200000000000003</v>
      </c>
      <c r="K198" s="1">
        <f>Tabela1[[#This Row],[$ Imposto ICMS do faturamento]]-Tabela1[[#This Row],[$ ISS]]</f>
        <v>0</v>
      </c>
    </row>
    <row r="199" spans="1:11" x14ac:dyDescent="0.25">
      <c r="A199" t="s">
        <v>188</v>
      </c>
      <c r="B199" t="s">
        <v>53</v>
      </c>
      <c r="C199" t="s">
        <v>54</v>
      </c>
      <c r="D199" t="s">
        <v>13</v>
      </c>
      <c r="E199" t="s">
        <v>216</v>
      </c>
      <c r="F199" s="1">
        <v>40.200000000000003</v>
      </c>
      <c r="G199" s="1">
        <v>0</v>
      </c>
      <c r="H199" s="1">
        <v>0</v>
      </c>
      <c r="I199" s="1">
        <v>0</v>
      </c>
      <c r="J199" s="1">
        <v>40.200000000000003</v>
      </c>
      <c r="K199" s="1">
        <f>Tabela1[[#This Row],[$ Imposto ICMS do faturamento]]-Tabela1[[#This Row],[$ ISS]]</f>
        <v>0</v>
      </c>
    </row>
    <row r="200" spans="1:11" x14ac:dyDescent="0.25">
      <c r="A200" t="s">
        <v>188</v>
      </c>
      <c r="B200" t="s">
        <v>53</v>
      </c>
      <c r="C200" t="s">
        <v>54</v>
      </c>
      <c r="D200" t="s">
        <v>13</v>
      </c>
      <c r="E200" t="s">
        <v>217</v>
      </c>
      <c r="F200" s="1">
        <v>40.200000000000003</v>
      </c>
      <c r="G200" s="1">
        <v>0</v>
      </c>
      <c r="H200" s="1">
        <v>0</v>
      </c>
      <c r="I200" s="1">
        <v>0</v>
      </c>
      <c r="J200" s="1">
        <v>40.200000000000003</v>
      </c>
      <c r="K200" s="1">
        <f>Tabela1[[#This Row],[$ Imposto ICMS do faturamento]]-Tabela1[[#This Row],[$ ISS]]</f>
        <v>0</v>
      </c>
    </row>
    <row r="201" spans="1:11" x14ac:dyDescent="0.25">
      <c r="A201" t="s">
        <v>188</v>
      </c>
      <c r="B201" t="s">
        <v>53</v>
      </c>
      <c r="C201" t="s">
        <v>54</v>
      </c>
      <c r="D201" t="s">
        <v>13</v>
      </c>
      <c r="E201" t="s">
        <v>218</v>
      </c>
      <c r="F201" s="1">
        <v>40.200000000000003</v>
      </c>
      <c r="G201" s="1">
        <v>0</v>
      </c>
      <c r="H201" s="1">
        <v>0</v>
      </c>
      <c r="I201" s="1">
        <v>0</v>
      </c>
      <c r="J201" s="1">
        <v>40.200000000000003</v>
      </c>
      <c r="K201" s="1">
        <f>Tabela1[[#This Row],[$ Imposto ICMS do faturamento]]-Tabela1[[#This Row],[$ ISS]]</f>
        <v>0</v>
      </c>
    </row>
    <row r="202" spans="1:11" x14ac:dyDescent="0.25">
      <c r="A202" t="s">
        <v>188</v>
      </c>
      <c r="B202" t="s">
        <v>53</v>
      </c>
      <c r="C202" t="s">
        <v>54</v>
      </c>
      <c r="D202" t="s">
        <v>13</v>
      </c>
      <c r="E202" t="s">
        <v>219</v>
      </c>
      <c r="F202" s="1">
        <v>40.200000000000003</v>
      </c>
      <c r="G202" s="1">
        <v>0</v>
      </c>
      <c r="H202" s="1">
        <v>0</v>
      </c>
      <c r="I202" s="1">
        <v>0</v>
      </c>
      <c r="J202" s="1">
        <v>40.200000000000003</v>
      </c>
      <c r="K202" s="1">
        <f>Tabela1[[#This Row],[$ Imposto ICMS do faturamento]]-Tabela1[[#This Row],[$ ISS]]</f>
        <v>0</v>
      </c>
    </row>
    <row r="203" spans="1:11" x14ac:dyDescent="0.25">
      <c r="A203" t="s">
        <v>188</v>
      </c>
      <c r="B203" t="s">
        <v>90</v>
      </c>
      <c r="C203" t="s">
        <v>12</v>
      </c>
      <c r="D203" t="s">
        <v>13</v>
      </c>
      <c r="E203" t="s">
        <v>235</v>
      </c>
      <c r="F203" s="1">
        <v>64.58</v>
      </c>
      <c r="G203" s="1">
        <v>0</v>
      </c>
      <c r="H203" s="1">
        <v>0</v>
      </c>
      <c r="I203" s="1">
        <v>0</v>
      </c>
      <c r="J203" s="1">
        <v>64.58</v>
      </c>
      <c r="K203" s="1">
        <f>Tabela1[[#This Row],[$ Imposto ICMS do faturamento]]-Tabela1[[#This Row],[$ ISS]]</f>
        <v>0</v>
      </c>
    </row>
    <row r="204" spans="1:11" x14ac:dyDescent="0.25">
      <c r="A204" t="s">
        <v>188</v>
      </c>
      <c r="B204" t="s">
        <v>53</v>
      </c>
      <c r="C204" t="s">
        <v>157</v>
      </c>
      <c r="D204" t="s">
        <v>13</v>
      </c>
      <c r="E204" t="s">
        <v>230</v>
      </c>
      <c r="F204" s="1">
        <v>40.200000000000003</v>
      </c>
      <c r="G204" s="1">
        <v>0</v>
      </c>
      <c r="H204" s="1">
        <v>0</v>
      </c>
      <c r="I204" s="1">
        <v>0</v>
      </c>
      <c r="J204" s="1">
        <v>40.200000000000003</v>
      </c>
      <c r="K204" s="1">
        <f>Tabela1[[#This Row],[$ Imposto ICMS do faturamento]]-Tabela1[[#This Row],[$ ISS]]</f>
        <v>0</v>
      </c>
    </row>
    <row r="205" spans="1:11" x14ac:dyDescent="0.25">
      <c r="A205" t="s">
        <v>188</v>
      </c>
      <c r="B205" t="s">
        <v>53</v>
      </c>
      <c r="C205" t="s">
        <v>157</v>
      </c>
      <c r="D205" t="s">
        <v>13</v>
      </c>
      <c r="E205" t="s">
        <v>231</v>
      </c>
      <c r="F205" s="1">
        <v>40.200000000000003</v>
      </c>
      <c r="G205" s="1">
        <v>0</v>
      </c>
      <c r="H205" s="1">
        <v>0</v>
      </c>
      <c r="I205" s="1">
        <v>0</v>
      </c>
      <c r="J205" s="1">
        <v>40.200000000000003</v>
      </c>
      <c r="K205" s="1">
        <f>Tabela1[[#This Row],[$ Imposto ICMS do faturamento]]-Tabela1[[#This Row],[$ ISS]]</f>
        <v>0</v>
      </c>
    </row>
    <row r="206" spans="1:11" x14ac:dyDescent="0.25">
      <c r="A206" t="s">
        <v>188</v>
      </c>
      <c r="B206" t="s">
        <v>53</v>
      </c>
      <c r="C206" t="s">
        <v>157</v>
      </c>
      <c r="D206" t="s">
        <v>13</v>
      </c>
      <c r="E206" t="s">
        <v>232</v>
      </c>
      <c r="F206" s="1">
        <v>40.200000000000003</v>
      </c>
      <c r="G206" s="1">
        <v>0</v>
      </c>
      <c r="H206" s="1">
        <v>0</v>
      </c>
      <c r="I206" s="1">
        <v>0</v>
      </c>
      <c r="J206" s="1">
        <v>40.200000000000003</v>
      </c>
      <c r="K206" s="1">
        <f>Tabela1[[#This Row],[$ Imposto ICMS do faturamento]]-Tabela1[[#This Row],[$ ISS]]</f>
        <v>0</v>
      </c>
    </row>
    <row r="207" spans="1:11" x14ac:dyDescent="0.25">
      <c r="A207" t="s">
        <v>188</v>
      </c>
      <c r="B207" t="s">
        <v>53</v>
      </c>
      <c r="C207" t="s">
        <v>54</v>
      </c>
      <c r="D207" t="s">
        <v>13</v>
      </c>
      <c r="E207" t="s">
        <v>220</v>
      </c>
      <c r="F207" s="1">
        <v>40.200000000000003</v>
      </c>
      <c r="G207" s="1">
        <v>0</v>
      </c>
      <c r="H207" s="1">
        <v>0</v>
      </c>
      <c r="I207" s="1">
        <v>0</v>
      </c>
      <c r="J207" s="1">
        <v>40.200000000000003</v>
      </c>
      <c r="K207" s="1">
        <f>Tabela1[[#This Row],[$ Imposto ICMS do faturamento]]-Tabela1[[#This Row],[$ ISS]]</f>
        <v>0</v>
      </c>
    </row>
    <row r="208" spans="1:11" x14ac:dyDescent="0.25">
      <c r="A208" t="s">
        <v>188</v>
      </c>
      <c r="B208" t="s">
        <v>53</v>
      </c>
      <c r="C208" t="s">
        <v>54</v>
      </c>
      <c r="D208" t="s">
        <v>13</v>
      </c>
      <c r="E208" t="s">
        <v>221</v>
      </c>
      <c r="F208" s="1">
        <v>40.200000000000003</v>
      </c>
      <c r="G208" s="1">
        <v>0</v>
      </c>
      <c r="H208" s="1">
        <v>0</v>
      </c>
      <c r="I208" s="1">
        <v>0</v>
      </c>
      <c r="J208" s="1">
        <v>40.200000000000003</v>
      </c>
      <c r="K208" s="1">
        <f>Tabela1[[#This Row],[$ Imposto ICMS do faturamento]]-Tabela1[[#This Row],[$ ISS]]</f>
        <v>0</v>
      </c>
    </row>
    <row r="209" spans="1:11" x14ac:dyDescent="0.25">
      <c r="A209" t="s">
        <v>188</v>
      </c>
      <c r="B209" t="s">
        <v>53</v>
      </c>
      <c r="C209" t="s">
        <v>54</v>
      </c>
      <c r="D209" t="s">
        <v>13</v>
      </c>
      <c r="E209" t="s">
        <v>222</v>
      </c>
      <c r="F209" s="1">
        <v>40.200000000000003</v>
      </c>
      <c r="G209" s="1">
        <v>0</v>
      </c>
      <c r="H209" s="1">
        <v>0</v>
      </c>
      <c r="I209" s="1">
        <v>0</v>
      </c>
      <c r="J209" s="1">
        <v>40.200000000000003</v>
      </c>
      <c r="K209" s="1">
        <f>Tabela1[[#This Row],[$ Imposto ICMS do faturamento]]-Tabela1[[#This Row],[$ ISS]]</f>
        <v>0</v>
      </c>
    </row>
    <row r="210" spans="1:11" x14ac:dyDescent="0.25">
      <c r="A210" t="s">
        <v>188</v>
      </c>
      <c r="B210" t="s">
        <v>53</v>
      </c>
      <c r="C210" t="s">
        <v>54</v>
      </c>
      <c r="D210" t="s">
        <v>13</v>
      </c>
      <c r="E210" t="s">
        <v>223</v>
      </c>
      <c r="F210" s="1">
        <v>40.200000000000003</v>
      </c>
      <c r="G210" s="1">
        <v>0</v>
      </c>
      <c r="H210" s="1">
        <v>0</v>
      </c>
      <c r="I210" s="1">
        <v>0</v>
      </c>
      <c r="J210" s="1">
        <v>40.200000000000003</v>
      </c>
      <c r="K210" s="1">
        <f>Tabela1[[#This Row],[$ Imposto ICMS do faturamento]]-Tabela1[[#This Row],[$ ISS]]</f>
        <v>0</v>
      </c>
    </row>
    <row r="211" spans="1:11" x14ac:dyDescent="0.25">
      <c r="A211" t="s">
        <v>188</v>
      </c>
      <c r="B211" t="s">
        <v>53</v>
      </c>
      <c r="C211" t="s">
        <v>54</v>
      </c>
      <c r="D211" t="s">
        <v>13</v>
      </c>
      <c r="E211" t="s">
        <v>224</v>
      </c>
      <c r="F211" s="1">
        <v>40.200000000000003</v>
      </c>
      <c r="G211" s="1">
        <v>0</v>
      </c>
      <c r="H211" s="1">
        <v>0</v>
      </c>
      <c r="I211" s="1">
        <v>0</v>
      </c>
      <c r="J211" s="1">
        <v>40.200000000000003</v>
      </c>
      <c r="K211" s="1">
        <f>Tabela1[[#This Row],[$ Imposto ICMS do faturamento]]-Tabela1[[#This Row],[$ ISS]]</f>
        <v>0</v>
      </c>
    </row>
    <row r="212" spans="1:11" x14ac:dyDescent="0.25">
      <c r="A212" t="s">
        <v>188</v>
      </c>
      <c r="B212" t="s">
        <v>53</v>
      </c>
      <c r="C212" t="s">
        <v>54</v>
      </c>
      <c r="D212" t="s">
        <v>13</v>
      </c>
      <c r="E212" t="s">
        <v>225</v>
      </c>
      <c r="F212" s="1">
        <v>40.200000000000003</v>
      </c>
      <c r="G212" s="1">
        <v>0</v>
      </c>
      <c r="H212" s="1">
        <v>0</v>
      </c>
      <c r="I212" s="1">
        <v>0</v>
      </c>
      <c r="J212" s="1">
        <v>40.200000000000003</v>
      </c>
      <c r="K212" s="1">
        <f>Tabela1[[#This Row],[$ Imposto ICMS do faturamento]]-Tabela1[[#This Row],[$ ISS]]</f>
        <v>0</v>
      </c>
    </row>
    <row r="213" spans="1:11" x14ac:dyDescent="0.25">
      <c r="A213" t="s">
        <v>188</v>
      </c>
      <c r="B213" t="s">
        <v>53</v>
      </c>
      <c r="C213" t="s">
        <v>54</v>
      </c>
      <c r="D213" t="s">
        <v>13</v>
      </c>
      <c r="E213" t="s">
        <v>226</v>
      </c>
      <c r="F213" s="1">
        <v>40.200000000000003</v>
      </c>
      <c r="G213" s="1">
        <v>0</v>
      </c>
      <c r="H213" s="1">
        <v>0</v>
      </c>
      <c r="I213" s="1">
        <v>0</v>
      </c>
      <c r="J213" s="1">
        <v>40.200000000000003</v>
      </c>
      <c r="K213" s="1">
        <f>Tabela1[[#This Row],[$ Imposto ICMS do faturamento]]-Tabela1[[#This Row],[$ ISS]]</f>
        <v>0</v>
      </c>
    </row>
    <row r="214" spans="1:11" x14ac:dyDescent="0.25">
      <c r="A214" t="s">
        <v>236</v>
      </c>
      <c r="B214" t="s">
        <v>53</v>
      </c>
      <c r="C214" t="s">
        <v>54</v>
      </c>
      <c r="D214" t="s">
        <v>13</v>
      </c>
      <c r="E214" t="s">
        <v>237</v>
      </c>
      <c r="F214" s="1">
        <v>40.200000000000003</v>
      </c>
      <c r="G214" s="1">
        <v>0</v>
      </c>
      <c r="H214" s="1">
        <v>0</v>
      </c>
      <c r="I214" s="1">
        <v>0</v>
      </c>
      <c r="J214" s="1">
        <v>40.200000000000003</v>
      </c>
      <c r="K214" s="1">
        <f>Tabela1[[#This Row],[$ Imposto ICMS do faturamento]]-Tabela1[[#This Row],[$ ISS]]</f>
        <v>0</v>
      </c>
    </row>
    <row r="215" spans="1:11" x14ac:dyDescent="0.25">
      <c r="A215" t="s">
        <v>236</v>
      </c>
      <c r="B215" t="s">
        <v>53</v>
      </c>
      <c r="C215" t="s">
        <v>54</v>
      </c>
      <c r="D215" t="s">
        <v>13</v>
      </c>
      <c r="E215" t="s">
        <v>238</v>
      </c>
      <c r="F215" s="1">
        <v>40.200000000000003</v>
      </c>
      <c r="G215" s="1">
        <v>0</v>
      </c>
      <c r="H215" s="1">
        <v>0</v>
      </c>
      <c r="I215" s="1">
        <v>0</v>
      </c>
      <c r="J215" s="1">
        <v>40.200000000000003</v>
      </c>
      <c r="K215" s="1">
        <f>Tabela1[[#This Row],[$ Imposto ICMS do faturamento]]-Tabela1[[#This Row],[$ ISS]]</f>
        <v>0</v>
      </c>
    </row>
    <row r="216" spans="1:11" x14ac:dyDescent="0.25">
      <c r="A216" t="s">
        <v>236</v>
      </c>
      <c r="B216" t="s">
        <v>53</v>
      </c>
      <c r="C216" t="s">
        <v>54</v>
      </c>
      <c r="D216" t="s">
        <v>13</v>
      </c>
      <c r="E216" t="s">
        <v>239</v>
      </c>
      <c r="F216" s="1">
        <v>40.200000000000003</v>
      </c>
      <c r="G216" s="1">
        <v>0</v>
      </c>
      <c r="H216" s="1">
        <v>0</v>
      </c>
      <c r="I216" s="1">
        <v>0</v>
      </c>
      <c r="J216" s="1">
        <v>40.200000000000003</v>
      </c>
      <c r="K216" s="1">
        <f>Tabela1[[#This Row],[$ Imposto ICMS do faturamento]]-Tabela1[[#This Row],[$ ISS]]</f>
        <v>0</v>
      </c>
    </row>
    <row r="217" spans="1:11" x14ac:dyDescent="0.25">
      <c r="A217" t="s">
        <v>236</v>
      </c>
      <c r="B217" t="s">
        <v>53</v>
      </c>
      <c r="C217" t="s">
        <v>54</v>
      </c>
      <c r="D217" t="s">
        <v>13</v>
      </c>
      <c r="E217" t="s">
        <v>240</v>
      </c>
      <c r="F217" s="1">
        <v>40.200000000000003</v>
      </c>
      <c r="G217" s="1">
        <v>0</v>
      </c>
      <c r="H217" s="1">
        <v>0</v>
      </c>
      <c r="I217" s="1">
        <v>0</v>
      </c>
      <c r="J217" s="1">
        <v>40.200000000000003</v>
      </c>
      <c r="K217" s="1">
        <f>Tabela1[[#This Row],[$ Imposto ICMS do faturamento]]-Tabela1[[#This Row],[$ ISS]]</f>
        <v>0</v>
      </c>
    </row>
    <row r="218" spans="1:11" x14ac:dyDescent="0.25">
      <c r="A218" t="s">
        <v>236</v>
      </c>
      <c r="B218" t="s">
        <v>53</v>
      </c>
      <c r="C218" t="s">
        <v>54</v>
      </c>
      <c r="D218" t="s">
        <v>13</v>
      </c>
      <c r="E218" t="s">
        <v>241</v>
      </c>
      <c r="F218" s="1">
        <v>40.200000000000003</v>
      </c>
      <c r="G218" s="1">
        <v>0</v>
      </c>
      <c r="H218" s="1">
        <v>0</v>
      </c>
      <c r="I218" s="1">
        <v>0</v>
      </c>
      <c r="J218" s="1">
        <v>40.200000000000003</v>
      </c>
      <c r="K218" s="1">
        <f>Tabela1[[#This Row],[$ Imposto ICMS do faturamento]]-Tabela1[[#This Row],[$ ISS]]</f>
        <v>0</v>
      </c>
    </row>
    <row r="219" spans="1:11" x14ac:dyDescent="0.25">
      <c r="A219" t="s">
        <v>236</v>
      </c>
      <c r="B219" t="s">
        <v>53</v>
      </c>
      <c r="C219" t="s">
        <v>54</v>
      </c>
      <c r="D219" t="s">
        <v>13</v>
      </c>
      <c r="E219" t="s">
        <v>242</v>
      </c>
      <c r="F219" s="1">
        <v>40.200000000000003</v>
      </c>
      <c r="G219" s="1">
        <v>0</v>
      </c>
      <c r="H219" s="1">
        <v>0</v>
      </c>
      <c r="I219" s="1">
        <v>0</v>
      </c>
      <c r="J219" s="1">
        <v>40.200000000000003</v>
      </c>
      <c r="K219" s="1">
        <f>Tabela1[[#This Row],[$ Imposto ICMS do faturamento]]-Tabela1[[#This Row],[$ ISS]]</f>
        <v>0</v>
      </c>
    </row>
    <row r="220" spans="1:11" x14ac:dyDescent="0.25">
      <c r="A220" t="s">
        <v>236</v>
      </c>
      <c r="B220" t="s">
        <v>53</v>
      </c>
      <c r="C220" t="s">
        <v>54</v>
      </c>
      <c r="D220" t="s">
        <v>13</v>
      </c>
      <c r="E220" t="s">
        <v>243</v>
      </c>
      <c r="F220" s="1">
        <v>40.200000000000003</v>
      </c>
      <c r="G220" s="1">
        <v>0</v>
      </c>
      <c r="H220" s="1">
        <v>0</v>
      </c>
      <c r="I220" s="1">
        <v>0</v>
      </c>
      <c r="J220" s="1">
        <v>40.200000000000003</v>
      </c>
      <c r="K220" s="1">
        <f>Tabela1[[#This Row],[$ Imposto ICMS do faturamento]]-Tabela1[[#This Row],[$ ISS]]</f>
        <v>0</v>
      </c>
    </row>
    <row r="221" spans="1:11" x14ac:dyDescent="0.25">
      <c r="A221" t="s">
        <v>236</v>
      </c>
      <c r="B221" t="s">
        <v>53</v>
      </c>
      <c r="C221" t="s">
        <v>54</v>
      </c>
      <c r="D221" t="s">
        <v>13</v>
      </c>
      <c r="E221" t="s">
        <v>244</v>
      </c>
      <c r="F221" s="1">
        <v>40.200000000000003</v>
      </c>
      <c r="G221" s="1">
        <v>0</v>
      </c>
      <c r="H221" s="1">
        <v>0</v>
      </c>
      <c r="I221" s="1">
        <v>0</v>
      </c>
      <c r="J221" s="1">
        <v>40.200000000000003</v>
      </c>
      <c r="K221" s="1">
        <f>Tabela1[[#This Row],[$ Imposto ICMS do faturamento]]-Tabela1[[#This Row],[$ ISS]]</f>
        <v>0</v>
      </c>
    </row>
    <row r="222" spans="1:11" x14ac:dyDescent="0.25">
      <c r="A222" t="s">
        <v>236</v>
      </c>
      <c r="B222" t="s">
        <v>90</v>
      </c>
      <c r="C222" t="s">
        <v>12</v>
      </c>
      <c r="D222" t="s">
        <v>13</v>
      </c>
      <c r="E222" t="s">
        <v>258</v>
      </c>
      <c r="F222" s="1">
        <v>60.13</v>
      </c>
      <c r="G222" s="1">
        <v>0</v>
      </c>
      <c r="H222" s="1">
        <v>0</v>
      </c>
      <c r="I222" s="1">
        <v>0</v>
      </c>
      <c r="J222" s="1">
        <v>60.13</v>
      </c>
      <c r="K222" s="1">
        <f>Tabela1[[#This Row],[$ Imposto ICMS do faturamento]]-Tabela1[[#This Row],[$ ISS]]</f>
        <v>0</v>
      </c>
    </row>
    <row r="223" spans="1:11" x14ac:dyDescent="0.25">
      <c r="A223" t="s">
        <v>236</v>
      </c>
      <c r="B223" t="s">
        <v>53</v>
      </c>
      <c r="C223" t="s">
        <v>157</v>
      </c>
      <c r="D223" t="s">
        <v>13</v>
      </c>
      <c r="E223" t="s">
        <v>252</v>
      </c>
      <c r="F223" s="1">
        <v>40.200000000000003</v>
      </c>
      <c r="G223" s="1">
        <v>0</v>
      </c>
      <c r="H223" s="1">
        <v>0</v>
      </c>
      <c r="I223" s="1">
        <v>0</v>
      </c>
      <c r="J223" s="1">
        <v>40.200000000000003</v>
      </c>
      <c r="K223" s="1">
        <f>Tabela1[[#This Row],[$ Imposto ICMS do faturamento]]-Tabela1[[#This Row],[$ ISS]]</f>
        <v>0</v>
      </c>
    </row>
    <row r="224" spans="1:11" x14ac:dyDescent="0.25">
      <c r="A224" t="s">
        <v>236</v>
      </c>
      <c r="B224" t="s">
        <v>53</v>
      </c>
      <c r="C224" t="s">
        <v>157</v>
      </c>
      <c r="D224" t="s">
        <v>13</v>
      </c>
      <c r="E224" t="s">
        <v>253</v>
      </c>
      <c r="F224" s="1">
        <v>40.200000000000003</v>
      </c>
      <c r="G224" s="1">
        <v>0</v>
      </c>
      <c r="H224" s="1">
        <v>0</v>
      </c>
      <c r="I224" s="1">
        <v>0</v>
      </c>
      <c r="J224" s="1">
        <v>40.200000000000003</v>
      </c>
      <c r="K224" s="1">
        <f>Tabela1[[#This Row],[$ Imposto ICMS do faturamento]]-Tabela1[[#This Row],[$ ISS]]</f>
        <v>0</v>
      </c>
    </row>
    <row r="225" spans="1:11" x14ac:dyDescent="0.25">
      <c r="A225" t="s">
        <v>236</v>
      </c>
      <c r="B225" t="s">
        <v>53</v>
      </c>
      <c r="C225" t="s">
        <v>157</v>
      </c>
      <c r="D225" t="s">
        <v>13</v>
      </c>
      <c r="E225" t="s">
        <v>254</v>
      </c>
      <c r="F225" s="1">
        <v>40.200000000000003</v>
      </c>
      <c r="G225" s="1">
        <v>0</v>
      </c>
      <c r="H225" s="1">
        <v>0</v>
      </c>
      <c r="I225" s="1">
        <v>0</v>
      </c>
      <c r="J225" s="1">
        <v>40.200000000000003</v>
      </c>
      <c r="K225" s="1">
        <f>Tabela1[[#This Row],[$ Imposto ICMS do faturamento]]-Tabela1[[#This Row],[$ ISS]]</f>
        <v>0</v>
      </c>
    </row>
    <row r="226" spans="1:11" x14ac:dyDescent="0.25">
      <c r="A226" t="s">
        <v>236</v>
      </c>
      <c r="B226" t="s">
        <v>53</v>
      </c>
      <c r="C226" t="s">
        <v>157</v>
      </c>
      <c r="D226" t="s">
        <v>13</v>
      </c>
      <c r="E226" t="s">
        <v>255</v>
      </c>
      <c r="F226" s="1">
        <v>40.200000000000003</v>
      </c>
      <c r="G226" s="1">
        <v>0</v>
      </c>
      <c r="H226" s="1">
        <v>0</v>
      </c>
      <c r="I226" s="1">
        <v>0</v>
      </c>
      <c r="J226" s="1">
        <v>40.200000000000003</v>
      </c>
      <c r="K226" s="1">
        <f>Tabela1[[#This Row],[$ Imposto ICMS do faturamento]]-Tabela1[[#This Row],[$ ISS]]</f>
        <v>0</v>
      </c>
    </row>
    <row r="227" spans="1:11" x14ac:dyDescent="0.25">
      <c r="A227" t="s">
        <v>236</v>
      </c>
      <c r="B227" t="s">
        <v>53</v>
      </c>
      <c r="C227" t="s">
        <v>54</v>
      </c>
      <c r="D227" t="s">
        <v>13</v>
      </c>
      <c r="E227" t="s">
        <v>245</v>
      </c>
      <c r="F227" s="1">
        <v>40.200000000000003</v>
      </c>
      <c r="G227" s="1">
        <v>0</v>
      </c>
      <c r="H227" s="1">
        <v>0</v>
      </c>
      <c r="I227" s="1">
        <v>0</v>
      </c>
      <c r="J227" s="1">
        <v>40.200000000000003</v>
      </c>
      <c r="K227" s="1">
        <f>Tabela1[[#This Row],[$ Imposto ICMS do faturamento]]-Tabela1[[#This Row],[$ ISS]]</f>
        <v>0</v>
      </c>
    </row>
    <row r="228" spans="1:11" x14ac:dyDescent="0.25">
      <c r="A228" t="s">
        <v>236</v>
      </c>
      <c r="B228" t="s">
        <v>53</v>
      </c>
      <c r="C228" t="s">
        <v>54</v>
      </c>
      <c r="D228" t="s">
        <v>13</v>
      </c>
      <c r="E228" t="s">
        <v>246</v>
      </c>
      <c r="F228" s="1">
        <v>40.200000000000003</v>
      </c>
      <c r="G228" s="1">
        <v>0</v>
      </c>
      <c r="H228" s="1">
        <v>0</v>
      </c>
      <c r="I228" s="1">
        <v>0</v>
      </c>
      <c r="J228" s="1">
        <v>40.200000000000003</v>
      </c>
      <c r="K228" s="1">
        <f>Tabela1[[#This Row],[$ Imposto ICMS do faturamento]]-Tabela1[[#This Row],[$ ISS]]</f>
        <v>0</v>
      </c>
    </row>
    <row r="229" spans="1:11" x14ac:dyDescent="0.25">
      <c r="A229" t="s">
        <v>236</v>
      </c>
      <c r="B229" t="s">
        <v>53</v>
      </c>
      <c r="C229" t="s">
        <v>54</v>
      </c>
      <c r="D229" t="s">
        <v>13</v>
      </c>
      <c r="E229" t="s">
        <v>247</v>
      </c>
      <c r="F229" s="1">
        <v>40.200000000000003</v>
      </c>
      <c r="G229" s="1">
        <v>0</v>
      </c>
      <c r="H229" s="1">
        <v>0</v>
      </c>
      <c r="I229" s="1">
        <v>0</v>
      </c>
      <c r="J229" s="1">
        <v>40.200000000000003</v>
      </c>
      <c r="K229" s="1">
        <f>Tabela1[[#This Row],[$ Imposto ICMS do faturamento]]-Tabela1[[#This Row],[$ ISS]]</f>
        <v>0</v>
      </c>
    </row>
    <row r="230" spans="1:11" x14ac:dyDescent="0.25">
      <c r="A230" t="s">
        <v>236</v>
      </c>
      <c r="B230" t="s">
        <v>53</v>
      </c>
      <c r="C230" t="s">
        <v>54</v>
      </c>
      <c r="D230" t="s">
        <v>13</v>
      </c>
      <c r="E230" t="s">
        <v>248</v>
      </c>
      <c r="F230" s="1">
        <v>40.200000000000003</v>
      </c>
      <c r="G230" s="1">
        <v>0</v>
      </c>
      <c r="H230" s="1">
        <v>0</v>
      </c>
      <c r="I230" s="1">
        <v>0</v>
      </c>
      <c r="J230" s="1">
        <v>40.200000000000003</v>
      </c>
      <c r="K230" s="1">
        <f>Tabela1[[#This Row],[$ Imposto ICMS do faturamento]]-Tabela1[[#This Row],[$ ISS]]</f>
        <v>0</v>
      </c>
    </row>
    <row r="231" spans="1:11" x14ac:dyDescent="0.25">
      <c r="A231" t="s">
        <v>236</v>
      </c>
      <c r="B231" t="s">
        <v>53</v>
      </c>
      <c r="C231" t="s">
        <v>54</v>
      </c>
      <c r="D231" t="s">
        <v>13</v>
      </c>
      <c r="E231" t="s">
        <v>249</v>
      </c>
      <c r="F231" s="1">
        <v>40.200000000000003</v>
      </c>
      <c r="G231" s="1">
        <v>0</v>
      </c>
      <c r="H231" s="1">
        <v>0</v>
      </c>
      <c r="I231" s="1">
        <v>0</v>
      </c>
      <c r="J231" s="1">
        <v>40.200000000000003</v>
      </c>
      <c r="K231" s="1">
        <f>Tabela1[[#This Row],[$ Imposto ICMS do faturamento]]-Tabela1[[#This Row],[$ ISS]]</f>
        <v>0</v>
      </c>
    </row>
    <row r="232" spans="1:11" x14ac:dyDescent="0.25">
      <c r="A232" t="s">
        <v>236</v>
      </c>
      <c r="B232" t="s">
        <v>53</v>
      </c>
      <c r="C232" t="s">
        <v>54</v>
      </c>
      <c r="D232" t="s">
        <v>13</v>
      </c>
      <c r="E232" t="s">
        <v>250</v>
      </c>
      <c r="F232" s="1">
        <v>40.200000000000003</v>
      </c>
      <c r="G232" s="1">
        <v>0</v>
      </c>
      <c r="H232" s="1">
        <v>0</v>
      </c>
      <c r="I232" s="1">
        <v>0</v>
      </c>
      <c r="J232" s="1">
        <v>40.200000000000003</v>
      </c>
      <c r="K232" s="1">
        <f>Tabela1[[#This Row],[$ Imposto ICMS do faturamento]]-Tabela1[[#This Row],[$ ISS]]</f>
        <v>0</v>
      </c>
    </row>
    <row r="233" spans="1:11" x14ac:dyDescent="0.25">
      <c r="A233" t="s">
        <v>236</v>
      </c>
      <c r="B233" t="s">
        <v>53</v>
      </c>
      <c r="C233" t="s">
        <v>54</v>
      </c>
      <c r="D233" t="s">
        <v>13</v>
      </c>
      <c r="E233" t="s">
        <v>251</v>
      </c>
      <c r="F233" s="1">
        <v>40.200000000000003</v>
      </c>
      <c r="G233" s="1">
        <v>0</v>
      </c>
      <c r="H233" s="1">
        <v>0</v>
      </c>
      <c r="I233" s="1">
        <v>0</v>
      </c>
      <c r="J233" s="1">
        <v>40.200000000000003</v>
      </c>
      <c r="K233" s="1">
        <f>Tabela1[[#This Row],[$ Imposto ICMS do faturamento]]-Tabela1[[#This Row],[$ ISS]]</f>
        <v>0</v>
      </c>
    </row>
    <row r="234" spans="1:11" x14ac:dyDescent="0.25">
      <c r="A234" t="s">
        <v>236</v>
      </c>
      <c r="B234" t="s">
        <v>256</v>
      </c>
      <c r="C234" t="s">
        <v>12</v>
      </c>
      <c r="D234" t="s">
        <v>13</v>
      </c>
      <c r="E234" t="s">
        <v>257</v>
      </c>
      <c r="F234" s="1">
        <v>74</v>
      </c>
      <c r="G234" s="1">
        <v>0</v>
      </c>
      <c r="H234" s="1">
        <v>0</v>
      </c>
      <c r="I234" s="1">
        <v>0</v>
      </c>
      <c r="J234" s="1">
        <v>74</v>
      </c>
      <c r="K234" s="1">
        <f>Tabela1[[#This Row],[$ Imposto ICMS do faturamento]]-Tabela1[[#This Row],[$ ISS]]</f>
        <v>0</v>
      </c>
    </row>
    <row r="235" spans="1:11" x14ac:dyDescent="0.25">
      <c r="A235" t="s">
        <v>259</v>
      </c>
      <c r="B235" t="s">
        <v>90</v>
      </c>
      <c r="C235" t="s">
        <v>12</v>
      </c>
      <c r="D235" t="s">
        <v>13</v>
      </c>
      <c r="E235" t="s">
        <v>273</v>
      </c>
      <c r="F235" s="1">
        <v>59.18</v>
      </c>
      <c r="G235" s="1">
        <v>0</v>
      </c>
      <c r="H235" s="1">
        <v>0</v>
      </c>
      <c r="I235" s="1">
        <v>0</v>
      </c>
      <c r="J235" s="1">
        <v>59.18</v>
      </c>
      <c r="K235" s="1">
        <f>Tabela1[[#This Row],[$ Imposto ICMS do faturamento]]-Tabela1[[#This Row],[$ ISS]]</f>
        <v>0</v>
      </c>
    </row>
    <row r="236" spans="1:11" x14ac:dyDescent="0.25">
      <c r="A236" t="s">
        <v>259</v>
      </c>
      <c r="B236" t="s">
        <v>53</v>
      </c>
      <c r="C236" t="s">
        <v>54</v>
      </c>
      <c r="D236" t="s">
        <v>13</v>
      </c>
      <c r="E236" t="s">
        <v>260</v>
      </c>
      <c r="F236" s="1">
        <v>36.6</v>
      </c>
      <c r="G236" s="1">
        <v>0</v>
      </c>
      <c r="H236" s="1">
        <v>0</v>
      </c>
      <c r="I236" s="1">
        <v>0</v>
      </c>
      <c r="J236" s="1">
        <v>36.6</v>
      </c>
      <c r="K236" s="1">
        <f>Tabela1[[#This Row],[$ Imposto ICMS do faturamento]]-Tabela1[[#This Row],[$ ISS]]</f>
        <v>0</v>
      </c>
    </row>
    <row r="237" spans="1:11" x14ac:dyDescent="0.25">
      <c r="A237" t="s">
        <v>259</v>
      </c>
      <c r="B237" t="s">
        <v>53</v>
      </c>
      <c r="C237" t="s">
        <v>54</v>
      </c>
      <c r="D237" t="s">
        <v>13</v>
      </c>
      <c r="E237" t="s">
        <v>261</v>
      </c>
      <c r="F237" s="1">
        <v>40.200000000000003</v>
      </c>
      <c r="G237" s="1">
        <v>0</v>
      </c>
      <c r="H237" s="1">
        <v>0</v>
      </c>
      <c r="I237" s="1">
        <v>0</v>
      </c>
      <c r="J237" s="1">
        <v>40.200000000000003</v>
      </c>
      <c r="K237" s="1">
        <f>Tabela1[[#This Row],[$ Imposto ICMS do faturamento]]-Tabela1[[#This Row],[$ ISS]]</f>
        <v>0</v>
      </c>
    </row>
    <row r="238" spans="1:11" x14ac:dyDescent="0.25">
      <c r="A238" t="s">
        <v>259</v>
      </c>
      <c r="B238" t="s">
        <v>53</v>
      </c>
      <c r="C238" t="s">
        <v>54</v>
      </c>
      <c r="D238" t="s">
        <v>13</v>
      </c>
      <c r="E238" t="s">
        <v>262</v>
      </c>
      <c r="F238" s="1">
        <v>40.200000000000003</v>
      </c>
      <c r="G238" s="1">
        <v>0</v>
      </c>
      <c r="H238" s="1">
        <v>0</v>
      </c>
      <c r="I238" s="1">
        <v>0</v>
      </c>
      <c r="J238" s="1">
        <v>40.200000000000003</v>
      </c>
      <c r="K238" s="1">
        <f>Tabela1[[#This Row],[$ Imposto ICMS do faturamento]]-Tabela1[[#This Row],[$ ISS]]</f>
        <v>0</v>
      </c>
    </row>
    <row r="239" spans="1:11" x14ac:dyDescent="0.25">
      <c r="A239" t="s">
        <v>259</v>
      </c>
      <c r="B239" t="s">
        <v>53</v>
      </c>
      <c r="C239" t="s">
        <v>54</v>
      </c>
      <c r="D239" t="s">
        <v>13</v>
      </c>
      <c r="E239" t="s">
        <v>263</v>
      </c>
      <c r="F239" s="1">
        <v>40.200000000000003</v>
      </c>
      <c r="G239" s="1">
        <v>0</v>
      </c>
      <c r="H239" s="1">
        <v>0</v>
      </c>
      <c r="I239" s="1">
        <v>0</v>
      </c>
      <c r="J239" s="1">
        <v>40.200000000000003</v>
      </c>
      <c r="K239" s="1">
        <f>Tabela1[[#This Row],[$ Imposto ICMS do faturamento]]-Tabela1[[#This Row],[$ ISS]]</f>
        <v>0</v>
      </c>
    </row>
    <row r="240" spans="1:11" x14ac:dyDescent="0.25">
      <c r="A240" t="s">
        <v>259</v>
      </c>
      <c r="B240" t="s">
        <v>256</v>
      </c>
      <c r="C240" t="s">
        <v>12</v>
      </c>
      <c r="D240" t="s">
        <v>13</v>
      </c>
      <c r="E240" t="s">
        <v>270</v>
      </c>
      <c r="F240" s="1">
        <v>61.56</v>
      </c>
      <c r="G240" s="1">
        <v>0</v>
      </c>
      <c r="H240" s="1">
        <v>0</v>
      </c>
      <c r="I240" s="1">
        <v>0</v>
      </c>
      <c r="J240" s="1">
        <v>61.56</v>
      </c>
      <c r="K240" s="1">
        <f>Tabela1[[#This Row],[$ Imposto ICMS do faturamento]]-Tabela1[[#This Row],[$ ISS]]</f>
        <v>0</v>
      </c>
    </row>
    <row r="241" spans="1:11" x14ac:dyDescent="0.25">
      <c r="A241" t="s">
        <v>259</v>
      </c>
      <c r="B241" t="s">
        <v>256</v>
      </c>
      <c r="C241" t="s">
        <v>12</v>
      </c>
      <c r="D241" t="s">
        <v>13</v>
      </c>
      <c r="E241" t="s">
        <v>271</v>
      </c>
      <c r="F241" s="1">
        <v>61.56</v>
      </c>
      <c r="G241" s="1">
        <v>0</v>
      </c>
      <c r="H241" s="1">
        <v>0</v>
      </c>
      <c r="I241" s="1">
        <v>0</v>
      </c>
      <c r="J241" s="1">
        <v>61.56</v>
      </c>
      <c r="K241" s="1">
        <f>Tabela1[[#This Row],[$ Imposto ICMS do faturamento]]-Tabela1[[#This Row],[$ ISS]]</f>
        <v>0</v>
      </c>
    </row>
    <row r="242" spans="1:11" x14ac:dyDescent="0.25">
      <c r="A242" t="s">
        <v>259</v>
      </c>
      <c r="B242" t="s">
        <v>90</v>
      </c>
      <c r="C242" t="s">
        <v>12</v>
      </c>
      <c r="D242" t="s">
        <v>13</v>
      </c>
      <c r="E242" t="s">
        <v>274</v>
      </c>
      <c r="F242" s="1">
        <v>60.37</v>
      </c>
      <c r="G242" s="1">
        <v>0</v>
      </c>
      <c r="H242" s="1">
        <v>0</v>
      </c>
      <c r="I242" s="1">
        <v>0</v>
      </c>
      <c r="J242" s="1">
        <v>60.37</v>
      </c>
      <c r="K242" s="1">
        <f>Tabela1[[#This Row],[$ Imposto ICMS do faturamento]]-Tabela1[[#This Row],[$ ISS]]</f>
        <v>0</v>
      </c>
    </row>
    <row r="243" spans="1:11" x14ac:dyDescent="0.25">
      <c r="A243" t="s">
        <v>259</v>
      </c>
      <c r="B243" t="s">
        <v>53</v>
      </c>
      <c r="C243" t="s">
        <v>157</v>
      </c>
      <c r="D243" t="s">
        <v>13</v>
      </c>
      <c r="E243" t="s">
        <v>268</v>
      </c>
      <c r="F243" s="1">
        <v>40.200000000000003</v>
      </c>
      <c r="G243" s="1">
        <v>0</v>
      </c>
      <c r="H243" s="1">
        <v>0</v>
      </c>
      <c r="I243" s="1">
        <v>0</v>
      </c>
      <c r="J243" s="1">
        <v>40.200000000000003</v>
      </c>
      <c r="K243" s="1">
        <f>Tabela1[[#This Row],[$ Imposto ICMS do faturamento]]-Tabela1[[#This Row],[$ ISS]]</f>
        <v>0</v>
      </c>
    </row>
    <row r="244" spans="1:11" x14ac:dyDescent="0.25">
      <c r="A244" t="s">
        <v>259</v>
      </c>
      <c r="B244" t="s">
        <v>53</v>
      </c>
      <c r="C244" t="s">
        <v>157</v>
      </c>
      <c r="D244" t="s">
        <v>13</v>
      </c>
      <c r="E244" t="s">
        <v>269</v>
      </c>
      <c r="F244" s="1">
        <v>40.200000000000003</v>
      </c>
      <c r="G244" s="1">
        <v>0</v>
      </c>
      <c r="H244" s="1">
        <v>0</v>
      </c>
      <c r="I244" s="1">
        <v>0</v>
      </c>
      <c r="J244" s="1">
        <v>40.200000000000003</v>
      </c>
      <c r="K244" s="1">
        <f>Tabela1[[#This Row],[$ Imposto ICMS do faturamento]]-Tabela1[[#This Row],[$ ISS]]</f>
        <v>0</v>
      </c>
    </row>
    <row r="245" spans="1:11" x14ac:dyDescent="0.25">
      <c r="A245" t="s">
        <v>259</v>
      </c>
      <c r="B245" t="s">
        <v>53</v>
      </c>
      <c r="C245" t="s">
        <v>54</v>
      </c>
      <c r="D245" t="s">
        <v>13</v>
      </c>
      <c r="E245" t="s">
        <v>264</v>
      </c>
      <c r="F245" s="1">
        <v>40.200000000000003</v>
      </c>
      <c r="G245" s="1">
        <v>0</v>
      </c>
      <c r="H245" s="1">
        <v>0</v>
      </c>
      <c r="I245" s="1">
        <v>0</v>
      </c>
      <c r="J245" s="1">
        <v>40.200000000000003</v>
      </c>
      <c r="K245" s="1">
        <f>Tabela1[[#This Row],[$ Imposto ICMS do faturamento]]-Tabela1[[#This Row],[$ ISS]]</f>
        <v>0</v>
      </c>
    </row>
    <row r="246" spans="1:11" x14ac:dyDescent="0.25">
      <c r="A246" t="s">
        <v>259</v>
      </c>
      <c r="B246" t="s">
        <v>53</v>
      </c>
      <c r="C246" t="s">
        <v>54</v>
      </c>
      <c r="D246" t="s">
        <v>13</v>
      </c>
      <c r="E246" t="s">
        <v>265</v>
      </c>
      <c r="F246" s="1">
        <v>40.200000000000003</v>
      </c>
      <c r="G246" s="1">
        <v>0</v>
      </c>
      <c r="H246" s="1">
        <v>0</v>
      </c>
      <c r="I246" s="1">
        <v>0</v>
      </c>
      <c r="J246" s="1">
        <v>40.200000000000003</v>
      </c>
      <c r="K246" s="1">
        <f>Tabela1[[#This Row],[$ Imposto ICMS do faturamento]]-Tabela1[[#This Row],[$ ISS]]</f>
        <v>0</v>
      </c>
    </row>
    <row r="247" spans="1:11" x14ac:dyDescent="0.25">
      <c r="A247" t="s">
        <v>259</v>
      </c>
      <c r="B247" t="s">
        <v>53</v>
      </c>
      <c r="C247" t="s">
        <v>54</v>
      </c>
      <c r="D247" t="s">
        <v>13</v>
      </c>
      <c r="E247" t="s">
        <v>266</v>
      </c>
      <c r="F247" s="1">
        <v>40.200000000000003</v>
      </c>
      <c r="G247" s="1">
        <v>0</v>
      </c>
      <c r="H247" s="1">
        <v>0</v>
      </c>
      <c r="I247" s="1">
        <v>0</v>
      </c>
      <c r="J247" s="1">
        <v>40.200000000000003</v>
      </c>
      <c r="K247" s="1">
        <f>Tabela1[[#This Row],[$ Imposto ICMS do faturamento]]-Tabela1[[#This Row],[$ ISS]]</f>
        <v>0</v>
      </c>
    </row>
    <row r="248" spans="1:11" x14ac:dyDescent="0.25">
      <c r="A248" t="s">
        <v>259</v>
      </c>
      <c r="B248" t="s">
        <v>53</v>
      </c>
      <c r="C248" t="s">
        <v>54</v>
      </c>
      <c r="D248" t="s">
        <v>13</v>
      </c>
      <c r="E248" t="s">
        <v>267</v>
      </c>
      <c r="F248" s="1">
        <v>40.200000000000003</v>
      </c>
      <c r="G248" s="1">
        <v>0</v>
      </c>
      <c r="H248" s="1">
        <v>0</v>
      </c>
      <c r="I248" s="1">
        <v>0</v>
      </c>
      <c r="J248" s="1">
        <v>40.200000000000003</v>
      </c>
      <c r="K248" s="1">
        <f>Tabela1[[#This Row],[$ Imposto ICMS do faturamento]]-Tabela1[[#This Row],[$ ISS]]</f>
        <v>0</v>
      </c>
    </row>
    <row r="249" spans="1:11" x14ac:dyDescent="0.25">
      <c r="A249" t="s">
        <v>259</v>
      </c>
      <c r="B249" t="s">
        <v>90</v>
      </c>
      <c r="C249" t="s">
        <v>12</v>
      </c>
      <c r="D249" t="s">
        <v>13</v>
      </c>
      <c r="E249" t="s">
        <v>275</v>
      </c>
      <c r="F249" s="1">
        <v>61.41</v>
      </c>
      <c r="G249" s="1">
        <v>0</v>
      </c>
      <c r="H249" s="1">
        <v>0</v>
      </c>
      <c r="I249" s="1">
        <v>0</v>
      </c>
      <c r="J249" s="1">
        <v>61.41</v>
      </c>
      <c r="K249" s="1">
        <f>Tabela1[[#This Row],[$ Imposto ICMS do faturamento]]-Tabela1[[#This Row],[$ ISS]]</f>
        <v>0</v>
      </c>
    </row>
    <row r="250" spans="1:11" x14ac:dyDescent="0.25">
      <c r="A250" t="s">
        <v>259</v>
      </c>
      <c r="B250" t="s">
        <v>256</v>
      </c>
      <c r="C250" t="s">
        <v>12</v>
      </c>
      <c r="D250" t="s">
        <v>13</v>
      </c>
      <c r="E250" t="s">
        <v>272</v>
      </c>
      <c r="F250" s="1">
        <v>61.17</v>
      </c>
      <c r="G250" s="1">
        <v>0</v>
      </c>
      <c r="H250" s="1">
        <v>0</v>
      </c>
      <c r="I250" s="1">
        <v>0</v>
      </c>
      <c r="J250" s="1">
        <v>61.17</v>
      </c>
      <c r="K250" s="1">
        <f>Tabela1[[#This Row],[$ Imposto ICMS do faturamento]]-Tabela1[[#This Row],[$ ISS]]</f>
        <v>0</v>
      </c>
    </row>
    <row r="251" spans="1:11" x14ac:dyDescent="0.25">
      <c r="A251" t="s">
        <v>276</v>
      </c>
      <c r="B251" t="s">
        <v>53</v>
      </c>
      <c r="C251" t="s">
        <v>54</v>
      </c>
      <c r="D251" t="s">
        <v>13</v>
      </c>
      <c r="E251" t="s">
        <v>277</v>
      </c>
      <c r="F251" s="1">
        <v>40.200000000000003</v>
      </c>
      <c r="G251" s="1">
        <v>0</v>
      </c>
      <c r="H251" s="1">
        <v>0</v>
      </c>
      <c r="I251" s="1">
        <v>0</v>
      </c>
      <c r="J251" s="1">
        <v>40.200000000000003</v>
      </c>
      <c r="K251" s="1">
        <f>Tabela1[[#This Row],[$ Imposto ICMS do faturamento]]-Tabela1[[#This Row],[$ ISS]]</f>
        <v>0</v>
      </c>
    </row>
    <row r="252" spans="1:11" x14ac:dyDescent="0.25">
      <c r="A252" t="s">
        <v>276</v>
      </c>
      <c r="B252" t="s">
        <v>53</v>
      </c>
      <c r="C252" t="s">
        <v>54</v>
      </c>
      <c r="D252" t="s">
        <v>13</v>
      </c>
      <c r="E252" t="s">
        <v>278</v>
      </c>
      <c r="F252" s="1">
        <v>40.200000000000003</v>
      </c>
      <c r="G252" s="1">
        <v>0</v>
      </c>
      <c r="H252" s="1">
        <v>0</v>
      </c>
      <c r="I252" s="1">
        <v>0</v>
      </c>
      <c r="J252" s="1">
        <v>40.200000000000003</v>
      </c>
      <c r="K252" s="1">
        <f>Tabela1[[#This Row],[$ Imposto ICMS do faturamento]]-Tabela1[[#This Row],[$ ISS]]</f>
        <v>0</v>
      </c>
    </row>
    <row r="253" spans="1:11" x14ac:dyDescent="0.25">
      <c r="A253" t="s">
        <v>276</v>
      </c>
      <c r="B253" t="s">
        <v>53</v>
      </c>
      <c r="C253" t="s">
        <v>54</v>
      </c>
      <c r="D253" t="s">
        <v>13</v>
      </c>
      <c r="E253" t="s">
        <v>279</v>
      </c>
      <c r="F253" s="1">
        <v>40.200000000000003</v>
      </c>
      <c r="G253" s="1">
        <v>0</v>
      </c>
      <c r="H253" s="1">
        <v>0</v>
      </c>
      <c r="I253" s="1">
        <v>0</v>
      </c>
      <c r="J253" s="1">
        <v>40.200000000000003</v>
      </c>
      <c r="K253" s="1">
        <f>Tabela1[[#This Row],[$ Imposto ICMS do faturamento]]-Tabela1[[#This Row],[$ ISS]]</f>
        <v>0</v>
      </c>
    </row>
    <row r="254" spans="1:11" x14ac:dyDescent="0.25">
      <c r="A254" t="s">
        <v>276</v>
      </c>
      <c r="B254" t="s">
        <v>53</v>
      </c>
      <c r="C254" t="s">
        <v>54</v>
      </c>
      <c r="D254" t="s">
        <v>13</v>
      </c>
      <c r="E254" t="s">
        <v>280</v>
      </c>
      <c r="F254" s="1">
        <v>40.200000000000003</v>
      </c>
      <c r="G254" s="1">
        <v>0</v>
      </c>
      <c r="H254" s="1">
        <v>0</v>
      </c>
      <c r="I254" s="1">
        <v>0</v>
      </c>
      <c r="J254" s="1">
        <v>40.200000000000003</v>
      </c>
      <c r="K254" s="1">
        <f>Tabela1[[#This Row],[$ Imposto ICMS do faturamento]]-Tabela1[[#This Row],[$ ISS]]</f>
        <v>0</v>
      </c>
    </row>
    <row r="255" spans="1:11" x14ac:dyDescent="0.25">
      <c r="A255" t="s">
        <v>276</v>
      </c>
      <c r="B255" t="s">
        <v>53</v>
      </c>
      <c r="C255" t="s">
        <v>54</v>
      </c>
      <c r="D255" t="s">
        <v>13</v>
      </c>
      <c r="E255" t="s">
        <v>281</v>
      </c>
      <c r="F255" s="1">
        <v>40.200000000000003</v>
      </c>
      <c r="G255" s="1">
        <v>0</v>
      </c>
      <c r="H255" s="1">
        <v>0</v>
      </c>
      <c r="I255" s="1">
        <v>0</v>
      </c>
      <c r="J255" s="1">
        <v>40.200000000000003</v>
      </c>
      <c r="K255" s="1">
        <f>Tabela1[[#This Row],[$ Imposto ICMS do faturamento]]-Tabela1[[#This Row],[$ ISS]]</f>
        <v>0</v>
      </c>
    </row>
    <row r="256" spans="1:11" x14ac:dyDescent="0.25">
      <c r="A256" t="s">
        <v>276</v>
      </c>
      <c r="B256" t="s">
        <v>53</v>
      </c>
      <c r="C256" t="s">
        <v>54</v>
      </c>
      <c r="D256" t="s">
        <v>13</v>
      </c>
      <c r="E256" t="s">
        <v>282</v>
      </c>
      <c r="F256" s="1">
        <v>40.200000000000003</v>
      </c>
      <c r="G256" s="1">
        <v>0</v>
      </c>
      <c r="H256" s="1">
        <v>0</v>
      </c>
      <c r="I256" s="1">
        <v>0</v>
      </c>
      <c r="J256" s="1">
        <v>40.200000000000003</v>
      </c>
      <c r="K256" s="1">
        <f>Tabela1[[#This Row],[$ Imposto ICMS do faturamento]]-Tabela1[[#This Row],[$ ISS]]</f>
        <v>0</v>
      </c>
    </row>
    <row r="257" spans="1:11" x14ac:dyDescent="0.25">
      <c r="A257" t="s">
        <v>276</v>
      </c>
      <c r="B257" t="s">
        <v>53</v>
      </c>
      <c r="C257" t="s">
        <v>54</v>
      </c>
      <c r="D257" t="s">
        <v>13</v>
      </c>
      <c r="E257" t="s">
        <v>283</v>
      </c>
      <c r="F257" s="1">
        <v>40.200000000000003</v>
      </c>
      <c r="G257" s="1">
        <v>0</v>
      </c>
      <c r="H257" s="1">
        <v>0</v>
      </c>
      <c r="I257" s="1">
        <v>0</v>
      </c>
      <c r="J257" s="1">
        <v>40.200000000000003</v>
      </c>
      <c r="K257" s="1">
        <f>Tabela1[[#This Row],[$ Imposto ICMS do faturamento]]-Tabela1[[#This Row],[$ ISS]]</f>
        <v>0</v>
      </c>
    </row>
    <row r="258" spans="1:11" x14ac:dyDescent="0.25">
      <c r="A258" t="s">
        <v>276</v>
      </c>
      <c r="B258" t="s">
        <v>53</v>
      </c>
      <c r="C258" t="s">
        <v>54</v>
      </c>
      <c r="D258" t="s">
        <v>13</v>
      </c>
      <c r="E258" t="s">
        <v>284</v>
      </c>
      <c r="F258" s="1">
        <v>40.200000000000003</v>
      </c>
      <c r="G258" s="1">
        <v>0</v>
      </c>
      <c r="H258" s="1">
        <v>0</v>
      </c>
      <c r="I258" s="1">
        <v>0</v>
      </c>
      <c r="J258" s="1">
        <v>40.200000000000003</v>
      </c>
      <c r="K258" s="1">
        <f>Tabela1[[#This Row],[$ Imposto ICMS do faturamento]]-Tabela1[[#This Row],[$ ISS]]</f>
        <v>0</v>
      </c>
    </row>
    <row r="259" spans="1:11" x14ac:dyDescent="0.25">
      <c r="A259" t="s">
        <v>276</v>
      </c>
      <c r="B259" t="s">
        <v>53</v>
      </c>
      <c r="C259" t="s">
        <v>54</v>
      </c>
      <c r="D259" t="s">
        <v>13</v>
      </c>
      <c r="E259" t="s">
        <v>285</v>
      </c>
      <c r="F259" s="1">
        <v>40.200000000000003</v>
      </c>
      <c r="G259" s="1">
        <v>0</v>
      </c>
      <c r="H259" s="1">
        <v>0</v>
      </c>
      <c r="I259" s="1">
        <v>0</v>
      </c>
      <c r="J259" s="1">
        <v>40.200000000000003</v>
      </c>
      <c r="K259" s="1">
        <f>Tabela1[[#This Row],[$ Imposto ICMS do faturamento]]-Tabela1[[#This Row],[$ ISS]]</f>
        <v>0</v>
      </c>
    </row>
    <row r="260" spans="1:11" x14ac:dyDescent="0.25">
      <c r="A260" t="s">
        <v>276</v>
      </c>
      <c r="B260" t="s">
        <v>53</v>
      </c>
      <c r="C260" t="s">
        <v>54</v>
      </c>
      <c r="D260" t="s">
        <v>13</v>
      </c>
      <c r="E260" t="s">
        <v>286</v>
      </c>
      <c r="F260" s="1">
        <v>40.200000000000003</v>
      </c>
      <c r="G260" s="1">
        <v>0</v>
      </c>
      <c r="H260" s="1">
        <v>0</v>
      </c>
      <c r="I260" s="1">
        <v>0</v>
      </c>
      <c r="J260" s="1">
        <v>40.200000000000003</v>
      </c>
      <c r="K260" s="1">
        <f>Tabela1[[#This Row],[$ Imposto ICMS do faturamento]]-Tabela1[[#This Row],[$ ISS]]</f>
        <v>0</v>
      </c>
    </row>
    <row r="261" spans="1:11" x14ac:dyDescent="0.25">
      <c r="A261" t="s">
        <v>276</v>
      </c>
      <c r="B261" t="s">
        <v>53</v>
      </c>
      <c r="C261" t="s">
        <v>54</v>
      </c>
      <c r="D261" t="s">
        <v>13</v>
      </c>
      <c r="E261" t="s">
        <v>287</v>
      </c>
      <c r="F261" s="1">
        <v>40.200000000000003</v>
      </c>
      <c r="G261" s="1">
        <v>0</v>
      </c>
      <c r="H261" s="1">
        <v>0</v>
      </c>
      <c r="I261" s="1">
        <v>0</v>
      </c>
      <c r="J261" s="1">
        <v>40.200000000000003</v>
      </c>
      <c r="K261" s="1">
        <f>Tabela1[[#This Row],[$ Imposto ICMS do faturamento]]-Tabela1[[#This Row],[$ ISS]]</f>
        <v>0</v>
      </c>
    </row>
    <row r="262" spans="1:11" x14ac:dyDescent="0.25">
      <c r="A262" t="s">
        <v>276</v>
      </c>
      <c r="B262" t="s">
        <v>53</v>
      </c>
      <c r="C262" t="s">
        <v>54</v>
      </c>
      <c r="D262" t="s">
        <v>13</v>
      </c>
      <c r="E262" t="s">
        <v>288</v>
      </c>
      <c r="F262" s="1">
        <v>40.200000000000003</v>
      </c>
      <c r="G262" s="1">
        <v>0</v>
      </c>
      <c r="H262" s="1">
        <v>0</v>
      </c>
      <c r="I262" s="1">
        <v>0</v>
      </c>
      <c r="J262" s="1">
        <v>40.200000000000003</v>
      </c>
      <c r="K262" s="1">
        <f>Tabela1[[#This Row],[$ Imposto ICMS do faturamento]]-Tabela1[[#This Row],[$ ISS]]</f>
        <v>0</v>
      </c>
    </row>
    <row r="263" spans="1:11" x14ac:dyDescent="0.25">
      <c r="A263" t="s">
        <v>276</v>
      </c>
      <c r="B263" t="s">
        <v>53</v>
      </c>
      <c r="C263" t="s">
        <v>54</v>
      </c>
      <c r="D263" t="s">
        <v>13</v>
      </c>
      <c r="E263" t="s">
        <v>289</v>
      </c>
      <c r="F263" s="1">
        <v>40.200000000000003</v>
      </c>
      <c r="G263" s="1">
        <v>0</v>
      </c>
      <c r="H263" s="1">
        <v>0</v>
      </c>
      <c r="I263" s="1">
        <v>0</v>
      </c>
      <c r="J263" s="1">
        <v>40.200000000000003</v>
      </c>
      <c r="K263" s="1">
        <f>Tabela1[[#This Row],[$ Imposto ICMS do faturamento]]-Tabela1[[#This Row],[$ ISS]]</f>
        <v>0</v>
      </c>
    </row>
    <row r="264" spans="1:11" x14ac:dyDescent="0.25">
      <c r="A264" t="s">
        <v>276</v>
      </c>
      <c r="B264" t="s">
        <v>53</v>
      </c>
      <c r="C264" t="s">
        <v>54</v>
      </c>
      <c r="D264" t="s">
        <v>13</v>
      </c>
      <c r="E264" t="s">
        <v>290</v>
      </c>
      <c r="F264" s="1">
        <v>40.200000000000003</v>
      </c>
      <c r="G264" s="1">
        <v>0</v>
      </c>
      <c r="H264" s="1">
        <v>0</v>
      </c>
      <c r="I264" s="1">
        <v>0</v>
      </c>
      <c r="J264" s="1">
        <v>40.200000000000003</v>
      </c>
      <c r="K264" s="1">
        <f>Tabela1[[#This Row],[$ Imposto ICMS do faturamento]]-Tabela1[[#This Row],[$ ISS]]</f>
        <v>0</v>
      </c>
    </row>
    <row r="265" spans="1:11" x14ac:dyDescent="0.25">
      <c r="A265" t="s">
        <v>276</v>
      </c>
      <c r="B265" t="s">
        <v>53</v>
      </c>
      <c r="C265" t="s">
        <v>54</v>
      </c>
      <c r="D265" t="s">
        <v>13</v>
      </c>
      <c r="E265" t="s">
        <v>291</v>
      </c>
      <c r="F265" s="1">
        <v>40.200000000000003</v>
      </c>
      <c r="G265" s="1">
        <v>0</v>
      </c>
      <c r="H265" s="1">
        <v>0</v>
      </c>
      <c r="I265" s="1">
        <v>0</v>
      </c>
      <c r="J265" s="1">
        <v>40.200000000000003</v>
      </c>
      <c r="K265" s="1">
        <f>Tabela1[[#This Row],[$ Imposto ICMS do faturamento]]-Tabela1[[#This Row],[$ ISS]]</f>
        <v>0</v>
      </c>
    </row>
    <row r="266" spans="1:11" x14ac:dyDescent="0.25">
      <c r="A266" t="s">
        <v>276</v>
      </c>
      <c r="B266" t="s">
        <v>53</v>
      </c>
      <c r="C266" t="s">
        <v>54</v>
      </c>
      <c r="D266" t="s">
        <v>13</v>
      </c>
      <c r="E266" t="s">
        <v>292</v>
      </c>
      <c r="F266" s="1">
        <v>40.200000000000003</v>
      </c>
      <c r="G266" s="1">
        <v>0</v>
      </c>
      <c r="H266" s="1">
        <v>0</v>
      </c>
      <c r="I266" s="1">
        <v>0</v>
      </c>
      <c r="J266" s="1">
        <v>40.200000000000003</v>
      </c>
      <c r="K266" s="1">
        <f>Tabela1[[#This Row],[$ Imposto ICMS do faturamento]]-Tabela1[[#This Row],[$ ISS]]</f>
        <v>0</v>
      </c>
    </row>
    <row r="267" spans="1:11" x14ac:dyDescent="0.25">
      <c r="A267" t="s">
        <v>276</v>
      </c>
      <c r="B267" t="s">
        <v>53</v>
      </c>
      <c r="C267" t="s">
        <v>54</v>
      </c>
      <c r="D267" t="s">
        <v>13</v>
      </c>
      <c r="E267" t="s">
        <v>293</v>
      </c>
      <c r="F267" s="1">
        <v>40.200000000000003</v>
      </c>
      <c r="G267" s="1">
        <v>0</v>
      </c>
      <c r="H267" s="1">
        <v>0</v>
      </c>
      <c r="I267" s="1">
        <v>0</v>
      </c>
      <c r="J267" s="1">
        <v>40.200000000000003</v>
      </c>
      <c r="K267" s="1">
        <f>Tabela1[[#This Row],[$ Imposto ICMS do faturamento]]-Tabela1[[#This Row],[$ ISS]]</f>
        <v>0</v>
      </c>
    </row>
    <row r="268" spans="1:11" x14ac:dyDescent="0.25">
      <c r="A268" t="s">
        <v>276</v>
      </c>
      <c r="B268" t="s">
        <v>53</v>
      </c>
      <c r="C268" t="s">
        <v>54</v>
      </c>
      <c r="D268" t="s">
        <v>13</v>
      </c>
      <c r="E268" t="s">
        <v>294</v>
      </c>
      <c r="F268" s="1">
        <v>40.200000000000003</v>
      </c>
      <c r="G268" s="1">
        <v>0</v>
      </c>
      <c r="H268" s="1">
        <v>0</v>
      </c>
      <c r="I268" s="1">
        <v>0</v>
      </c>
      <c r="J268" s="1">
        <v>40.200000000000003</v>
      </c>
      <c r="K268" s="1">
        <f>Tabela1[[#This Row],[$ Imposto ICMS do faturamento]]-Tabela1[[#This Row],[$ ISS]]</f>
        <v>0</v>
      </c>
    </row>
    <row r="269" spans="1:11" x14ac:dyDescent="0.25">
      <c r="A269" t="s">
        <v>276</v>
      </c>
      <c r="B269" t="s">
        <v>53</v>
      </c>
      <c r="C269" t="s">
        <v>54</v>
      </c>
      <c r="D269" t="s">
        <v>13</v>
      </c>
      <c r="E269" t="s">
        <v>295</v>
      </c>
      <c r="F269" s="1">
        <v>40.200000000000003</v>
      </c>
      <c r="G269" s="1">
        <v>0</v>
      </c>
      <c r="H269" s="1">
        <v>0</v>
      </c>
      <c r="I269" s="1">
        <v>0</v>
      </c>
      <c r="J269" s="1">
        <v>40.200000000000003</v>
      </c>
      <c r="K269" s="1">
        <f>Tabela1[[#This Row],[$ Imposto ICMS do faturamento]]-Tabela1[[#This Row],[$ ISS]]</f>
        <v>0</v>
      </c>
    </row>
    <row r="270" spans="1:11" x14ac:dyDescent="0.25">
      <c r="A270" t="s">
        <v>276</v>
      </c>
      <c r="B270" t="s">
        <v>53</v>
      </c>
      <c r="C270" t="s">
        <v>54</v>
      </c>
      <c r="D270" t="s">
        <v>13</v>
      </c>
      <c r="E270" t="s">
        <v>296</v>
      </c>
      <c r="F270" s="1">
        <v>40.200000000000003</v>
      </c>
      <c r="G270" s="1">
        <v>0</v>
      </c>
      <c r="H270" s="1">
        <v>0</v>
      </c>
      <c r="I270" s="1">
        <v>0</v>
      </c>
      <c r="J270" s="1">
        <v>40.200000000000003</v>
      </c>
      <c r="K270" s="1">
        <f>Tabela1[[#This Row],[$ Imposto ICMS do faturamento]]-Tabela1[[#This Row],[$ ISS]]</f>
        <v>0</v>
      </c>
    </row>
    <row r="271" spans="1:11" x14ac:dyDescent="0.25">
      <c r="A271" t="s">
        <v>276</v>
      </c>
      <c r="B271" t="s">
        <v>53</v>
      </c>
      <c r="C271" t="s">
        <v>54</v>
      </c>
      <c r="D271" t="s">
        <v>13</v>
      </c>
      <c r="E271" t="s">
        <v>297</v>
      </c>
      <c r="F271" s="1">
        <v>40.200000000000003</v>
      </c>
      <c r="G271" s="1">
        <v>0</v>
      </c>
      <c r="H271" s="1">
        <v>0</v>
      </c>
      <c r="I271" s="1">
        <v>0</v>
      </c>
      <c r="J271" s="1">
        <v>40.200000000000003</v>
      </c>
      <c r="K271" s="1">
        <f>Tabela1[[#This Row],[$ Imposto ICMS do faturamento]]-Tabela1[[#This Row],[$ ISS]]</f>
        <v>0</v>
      </c>
    </row>
    <row r="272" spans="1:11" x14ac:dyDescent="0.25">
      <c r="A272" t="s">
        <v>276</v>
      </c>
      <c r="B272" t="s">
        <v>53</v>
      </c>
      <c r="C272" t="s">
        <v>54</v>
      </c>
      <c r="D272" t="s">
        <v>13</v>
      </c>
      <c r="E272" t="s">
        <v>298</v>
      </c>
      <c r="F272" s="1">
        <v>40.200000000000003</v>
      </c>
      <c r="G272" s="1">
        <v>0</v>
      </c>
      <c r="H272" s="1">
        <v>0</v>
      </c>
      <c r="I272" s="1">
        <v>0</v>
      </c>
      <c r="J272" s="1">
        <v>40.200000000000003</v>
      </c>
      <c r="K272" s="1">
        <f>Tabela1[[#This Row],[$ Imposto ICMS do faturamento]]-Tabela1[[#This Row],[$ ISS]]</f>
        <v>0</v>
      </c>
    </row>
    <row r="273" spans="1:11" x14ac:dyDescent="0.25">
      <c r="A273" t="s">
        <v>276</v>
      </c>
      <c r="B273" t="s">
        <v>53</v>
      </c>
      <c r="C273" t="s">
        <v>54</v>
      </c>
      <c r="D273" t="s">
        <v>13</v>
      </c>
      <c r="E273" t="s">
        <v>299</v>
      </c>
      <c r="F273" s="1">
        <v>40.200000000000003</v>
      </c>
      <c r="G273" s="1">
        <v>0</v>
      </c>
      <c r="H273" s="1">
        <v>0</v>
      </c>
      <c r="I273" s="1">
        <v>0</v>
      </c>
      <c r="J273" s="1">
        <v>40.200000000000003</v>
      </c>
      <c r="K273" s="1">
        <f>Tabela1[[#This Row],[$ Imposto ICMS do faturamento]]-Tabela1[[#This Row],[$ ISS]]</f>
        <v>0</v>
      </c>
    </row>
    <row r="274" spans="1:11" x14ac:dyDescent="0.25">
      <c r="A274" t="s">
        <v>276</v>
      </c>
      <c r="B274" t="s">
        <v>53</v>
      </c>
      <c r="C274" t="s">
        <v>54</v>
      </c>
      <c r="D274" t="s">
        <v>13</v>
      </c>
      <c r="E274" t="s">
        <v>300</v>
      </c>
      <c r="F274" s="1">
        <v>40.200000000000003</v>
      </c>
      <c r="G274" s="1">
        <v>0</v>
      </c>
      <c r="H274" s="1">
        <v>0</v>
      </c>
      <c r="I274" s="1">
        <v>0</v>
      </c>
      <c r="J274" s="1">
        <v>40.200000000000003</v>
      </c>
      <c r="K274" s="1">
        <f>Tabela1[[#This Row],[$ Imposto ICMS do faturamento]]-Tabela1[[#This Row],[$ ISS]]</f>
        <v>0</v>
      </c>
    </row>
    <row r="275" spans="1:11" x14ac:dyDescent="0.25">
      <c r="A275" t="s">
        <v>276</v>
      </c>
      <c r="B275" t="s">
        <v>53</v>
      </c>
      <c r="C275" t="s">
        <v>54</v>
      </c>
      <c r="D275" t="s">
        <v>13</v>
      </c>
      <c r="E275" t="s">
        <v>301</v>
      </c>
      <c r="F275" s="1">
        <v>36.6</v>
      </c>
      <c r="G275" s="1">
        <v>0</v>
      </c>
      <c r="H275" s="1">
        <v>0</v>
      </c>
      <c r="I275" s="1">
        <v>0</v>
      </c>
      <c r="J275" s="1">
        <v>36.6</v>
      </c>
      <c r="K275" s="1">
        <f>Tabela1[[#This Row],[$ Imposto ICMS do faturamento]]-Tabela1[[#This Row],[$ ISS]]</f>
        <v>0</v>
      </c>
    </row>
    <row r="276" spans="1:11" x14ac:dyDescent="0.25">
      <c r="A276" t="s">
        <v>276</v>
      </c>
      <c r="B276" t="s">
        <v>53</v>
      </c>
      <c r="C276" t="s">
        <v>54</v>
      </c>
      <c r="D276" t="s">
        <v>13</v>
      </c>
      <c r="E276" t="s">
        <v>302</v>
      </c>
      <c r="F276" s="1">
        <v>40.200000000000003</v>
      </c>
      <c r="G276" s="1">
        <v>0</v>
      </c>
      <c r="H276" s="1">
        <v>0</v>
      </c>
      <c r="I276" s="1">
        <v>0</v>
      </c>
      <c r="J276" s="1">
        <v>40.200000000000003</v>
      </c>
      <c r="K276" s="1">
        <f>Tabela1[[#This Row],[$ Imposto ICMS do faturamento]]-Tabela1[[#This Row],[$ ISS]]</f>
        <v>0</v>
      </c>
    </row>
    <row r="277" spans="1:11" x14ac:dyDescent="0.25">
      <c r="A277" t="s">
        <v>276</v>
      </c>
      <c r="B277" t="s">
        <v>53</v>
      </c>
      <c r="C277" t="s">
        <v>54</v>
      </c>
      <c r="D277" t="s">
        <v>13</v>
      </c>
      <c r="E277" t="s">
        <v>303</v>
      </c>
      <c r="F277" s="1">
        <v>40.200000000000003</v>
      </c>
      <c r="G277" s="1">
        <v>0</v>
      </c>
      <c r="H277" s="1">
        <v>0</v>
      </c>
      <c r="I277" s="1">
        <v>0</v>
      </c>
      <c r="J277" s="1">
        <v>40.200000000000003</v>
      </c>
      <c r="K277" s="1">
        <f>Tabela1[[#This Row],[$ Imposto ICMS do faturamento]]-Tabela1[[#This Row],[$ ISS]]</f>
        <v>0</v>
      </c>
    </row>
    <row r="278" spans="1:11" x14ac:dyDescent="0.25">
      <c r="A278" t="s">
        <v>276</v>
      </c>
      <c r="B278" t="s">
        <v>53</v>
      </c>
      <c r="C278" t="s">
        <v>54</v>
      </c>
      <c r="D278" t="s">
        <v>13</v>
      </c>
      <c r="E278" t="s">
        <v>304</v>
      </c>
      <c r="F278" s="1">
        <v>40.200000000000003</v>
      </c>
      <c r="G278" s="1">
        <v>0</v>
      </c>
      <c r="H278" s="1">
        <v>0</v>
      </c>
      <c r="I278" s="1">
        <v>0</v>
      </c>
      <c r="J278" s="1">
        <v>40.200000000000003</v>
      </c>
      <c r="K278" s="1">
        <f>Tabela1[[#This Row],[$ Imposto ICMS do faturamento]]-Tabela1[[#This Row],[$ ISS]]</f>
        <v>0</v>
      </c>
    </row>
    <row r="279" spans="1:11" x14ac:dyDescent="0.25">
      <c r="A279" t="s">
        <v>276</v>
      </c>
      <c r="B279" t="s">
        <v>53</v>
      </c>
      <c r="C279" t="s">
        <v>54</v>
      </c>
      <c r="D279" t="s">
        <v>13</v>
      </c>
      <c r="E279" t="s">
        <v>305</v>
      </c>
      <c r="F279" s="1">
        <v>36.6</v>
      </c>
      <c r="G279" s="1">
        <v>0</v>
      </c>
      <c r="H279" s="1">
        <v>0</v>
      </c>
      <c r="I279" s="1">
        <v>0</v>
      </c>
      <c r="J279" s="1">
        <v>36.6</v>
      </c>
      <c r="K279" s="1">
        <f>Tabela1[[#This Row],[$ Imposto ICMS do faturamento]]-Tabela1[[#This Row],[$ ISS]]</f>
        <v>0</v>
      </c>
    </row>
    <row r="280" spans="1:11" x14ac:dyDescent="0.25">
      <c r="A280" t="s">
        <v>276</v>
      </c>
      <c r="B280" t="s">
        <v>53</v>
      </c>
      <c r="C280" t="s">
        <v>54</v>
      </c>
      <c r="D280" t="s">
        <v>13</v>
      </c>
      <c r="E280" t="s">
        <v>306</v>
      </c>
      <c r="F280" s="1">
        <v>40.200000000000003</v>
      </c>
      <c r="G280" s="1">
        <v>0</v>
      </c>
      <c r="H280" s="1">
        <v>0</v>
      </c>
      <c r="I280" s="1">
        <v>0</v>
      </c>
      <c r="J280" s="1">
        <v>40.200000000000003</v>
      </c>
      <c r="K280" s="1">
        <f>Tabela1[[#This Row],[$ Imposto ICMS do faturamento]]-Tabela1[[#This Row],[$ ISS]]</f>
        <v>0</v>
      </c>
    </row>
    <row r="281" spans="1:11" x14ac:dyDescent="0.25">
      <c r="A281" t="s">
        <v>276</v>
      </c>
      <c r="B281" t="s">
        <v>53</v>
      </c>
      <c r="C281" t="s">
        <v>54</v>
      </c>
      <c r="D281" t="s">
        <v>13</v>
      </c>
      <c r="E281" t="s">
        <v>307</v>
      </c>
      <c r="F281" s="1">
        <v>40.200000000000003</v>
      </c>
      <c r="G281" s="1">
        <v>0</v>
      </c>
      <c r="H281" s="1">
        <v>0</v>
      </c>
      <c r="I281" s="1">
        <v>0</v>
      </c>
      <c r="J281" s="1">
        <v>40.200000000000003</v>
      </c>
      <c r="K281" s="1">
        <f>Tabela1[[#This Row],[$ Imposto ICMS do faturamento]]-Tabela1[[#This Row],[$ ISS]]</f>
        <v>0</v>
      </c>
    </row>
    <row r="282" spans="1:11" x14ac:dyDescent="0.25">
      <c r="A282" t="s">
        <v>276</v>
      </c>
      <c r="B282" t="s">
        <v>53</v>
      </c>
      <c r="C282" t="s">
        <v>54</v>
      </c>
      <c r="D282" t="s">
        <v>13</v>
      </c>
      <c r="E282" t="s">
        <v>308</v>
      </c>
      <c r="F282" s="1">
        <v>36.6</v>
      </c>
      <c r="G282" s="1">
        <v>0</v>
      </c>
      <c r="H282" s="1">
        <v>0</v>
      </c>
      <c r="I282" s="1">
        <v>0</v>
      </c>
      <c r="J282" s="1">
        <v>36.6</v>
      </c>
      <c r="K282" s="1">
        <f>Tabela1[[#This Row],[$ Imposto ICMS do faturamento]]-Tabela1[[#This Row],[$ ISS]]</f>
        <v>0</v>
      </c>
    </row>
    <row r="283" spans="1:11" x14ac:dyDescent="0.25">
      <c r="A283" t="s">
        <v>309</v>
      </c>
      <c r="B283" t="s">
        <v>53</v>
      </c>
      <c r="C283" t="s">
        <v>54</v>
      </c>
      <c r="D283" t="s">
        <v>13</v>
      </c>
      <c r="E283" t="s">
        <v>310</v>
      </c>
      <c r="F283" s="1">
        <v>36.6</v>
      </c>
      <c r="G283" s="1">
        <v>0</v>
      </c>
      <c r="H283" s="1">
        <v>0</v>
      </c>
      <c r="I283" s="1">
        <v>0</v>
      </c>
      <c r="J283" s="1">
        <v>36.6</v>
      </c>
      <c r="K283" s="1">
        <f>Tabela1[[#This Row],[$ Imposto ICMS do faturamento]]-Tabela1[[#This Row],[$ ISS]]</f>
        <v>0</v>
      </c>
    </row>
    <row r="284" spans="1:11" x14ac:dyDescent="0.25">
      <c r="A284" t="s">
        <v>309</v>
      </c>
      <c r="B284" t="s">
        <v>53</v>
      </c>
      <c r="C284" t="s">
        <v>157</v>
      </c>
      <c r="D284" t="s">
        <v>13</v>
      </c>
      <c r="E284" t="s">
        <v>342</v>
      </c>
      <c r="F284" s="1">
        <v>40.200000000000003</v>
      </c>
      <c r="G284" s="1">
        <v>0</v>
      </c>
      <c r="H284" s="1">
        <v>0</v>
      </c>
      <c r="I284" s="1">
        <v>0</v>
      </c>
      <c r="J284" s="1">
        <v>40.200000000000003</v>
      </c>
      <c r="K284" s="1">
        <f>Tabela1[[#This Row],[$ Imposto ICMS do faturamento]]-Tabela1[[#This Row],[$ ISS]]</f>
        <v>0</v>
      </c>
    </row>
    <row r="285" spans="1:11" x14ac:dyDescent="0.25">
      <c r="A285" t="s">
        <v>309</v>
      </c>
      <c r="B285" t="s">
        <v>53</v>
      </c>
      <c r="C285" t="s">
        <v>157</v>
      </c>
      <c r="D285" t="s">
        <v>13</v>
      </c>
      <c r="E285" t="s">
        <v>343</v>
      </c>
      <c r="F285" s="1">
        <v>40.200000000000003</v>
      </c>
      <c r="G285" s="1">
        <v>0</v>
      </c>
      <c r="H285" s="1">
        <v>0</v>
      </c>
      <c r="I285" s="1">
        <v>0</v>
      </c>
      <c r="J285" s="1">
        <v>40.200000000000003</v>
      </c>
      <c r="K285" s="1">
        <f>Tabela1[[#This Row],[$ Imposto ICMS do faturamento]]-Tabela1[[#This Row],[$ ISS]]</f>
        <v>0</v>
      </c>
    </row>
    <row r="286" spans="1:11" x14ac:dyDescent="0.25">
      <c r="A286" t="s">
        <v>309</v>
      </c>
      <c r="B286" t="s">
        <v>53</v>
      </c>
      <c r="C286" t="s">
        <v>54</v>
      </c>
      <c r="D286" t="s">
        <v>13</v>
      </c>
      <c r="E286" t="s">
        <v>311</v>
      </c>
      <c r="F286" s="1">
        <v>40.200000000000003</v>
      </c>
      <c r="G286" s="1">
        <v>0</v>
      </c>
      <c r="H286" s="1">
        <v>0</v>
      </c>
      <c r="I286" s="1">
        <v>0</v>
      </c>
      <c r="J286" s="1">
        <v>40.200000000000003</v>
      </c>
      <c r="K286" s="1">
        <f>Tabela1[[#This Row],[$ Imposto ICMS do faturamento]]-Tabela1[[#This Row],[$ ISS]]</f>
        <v>0</v>
      </c>
    </row>
    <row r="287" spans="1:11" x14ac:dyDescent="0.25">
      <c r="A287" t="s">
        <v>309</v>
      </c>
      <c r="B287" t="s">
        <v>53</v>
      </c>
      <c r="C287" t="s">
        <v>157</v>
      </c>
      <c r="D287" t="s">
        <v>13</v>
      </c>
      <c r="E287" t="s">
        <v>344</v>
      </c>
      <c r="F287" s="1">
        <v>40.200000000000003</v>
      </c>
      <c r="G287" s="1">
        <v>0</v>
      </c>
      <c r="H287" s="1">
        <v>0</v>
      </c>
      <c r="I287" s="1">
        <v>0</v>
      </c>
      <c r="J287" s="1">
        <v>40.200000000000003</v>
      </c>
      <c r="K287" s="1">
        <f>Tabela1[[#This Row],[$ Imposto ICMS do faturamento]]-Tabela1[[#This Row],[$ ISS]]</f>
        <v>0</v>
      </c>
    </row>
    <row r="288" spans="1:11" x14ac:dyDescent="0.25">
      <c r="A288" t="s">
        <v>309</v>
      </c>
      <c r="B288" t="s">
        <v>53</v>
      </c>
      <c r="C288" t="s">
        <v>157</v>
      </c>
      <c r="D288" t="s">
        <v>13</v>
      </c>
      <c r="E288" t="s">
        <v>345</v>
      </c>
      <c r="F288" s="1">
        <v>36.6</v>
      </c>
      <c r="G288" s="1">
        <v>0</v>
      </c>
      <c r="H288" s="1">
        <v>0</v>
      </c>
      <c r="I288" s="1">
        <v>0</v>
      </c>
      <c r="J288" s="1">
        <v>36.6</v>
      </c>
      <c r="K288" s="1">
        <f>Tabela1[[#This Row],[$ Imposto ICMS do faturamento]]-Tabela1[[#This Row],[$ ISS]]</f>
        <v>0</v>
      </c>
    </row>
    <row r="289" spans="1:11" x14ac:dyDescent="0.25">
      <c r="A289" t="s">
        <v>309</v>
      </c>
      <c r="B289" t="s">
        <v>53</v>
      </c>
      <c r="C289" t="s">
        <v>54</v>
      </c>
      <c r="D289" t="s">
        <v>13</v>
      </c>
      <c r="E289" t="s">
        <v>312</v>
      </c>
      <c r="F289" s="1">
        <v>40.200000000000003</v>
      </c>
      <c r="G289" s="1">
        <v>0</v>
      </c>
      <c r="H289" s="1">
        <v>0</v>
      </c>
      <c r="I289" s="1">
        <v>0</v>
      </c>
      <c r="J289" s="1">
        <v>40.200000000000003</v>
      </c>
      <c r="K289" s="1">
        <f>Tabela1[[#This Row],[$ Imposto ICMS do faturamento]]-Tabela1[[#This Row],[$ ISS]]</f>
        <v>0</v>
      </c>
    </row>
    <row r="290" spans="1:11" x14ac:dyDescent="0.25">
      <c r="A290" t="s">
        <v>309</v>
      </c>
      <c r="B290" t="s">
        <v>53</v>
      </c>
      <c r="C290" t="s">
        <v>54</v>
      </c>
      <c r="D290" t="s">
        <v>13</v>
      </c>
      <c r="E290" t="s">
        <v>313</v>
      </c>
      <c r="F290" s="1">
        <v>40.200000000000003</v>
      </c>
      <c r="G290" s="1">
        <v>0</v>
      </c>
      <c r="H290" s="1">
        <v>0</v>
      </c>
      <c r="I290" s="1">
        <v>0</v>
      </c>
      <c r="J290" s="1">
        <v>40.200000000000003</v>
      </c>
      <c r="K290" s="1">
        <f>Tabela1[[#This Row],[$ Imposto ICMS do faturamento]]-Tabela1[[#This Row],[$ ISS]]</f>
        <v>0</v>
      </c>
    </row>
    <row r="291" spans="1:11" x14ac:dyDescent="0.25">
      <c r="A291" t="s">
        <v>309</v>
      </c>
      <c r="B291" t="s">
        <v>53</v>
      </c>
      <c r="C291" t="s">
        <v>54</v>
      </c>
      <c r="D291" t="s">
        <v>13</v>
      </c>
      <c r="E291" t="s">
        <v>314</v>
      </c>
      <c r="F291" s="1">
        <v>40.200000000000003</v>
      </c>
      <c r="G291" s="1">
        <v>0</v>
      </c>
      <c r="H291" s="1">
        <v>0</v>
      </c>
      <c r="I291" s="1">
        <v>0</v>
      </c>
      <c r="J291" s="1">
        <v>40.200000000000003</v>
      </c>
      <c r="K291" s="1">
        <f>Tabela1[[#This Row],[$ Imposto ICMS do faturamento]]-Tabela1[[#This Row],[$ ISS]]</f>
        <v>0</v>
      </c>
    </row>
    <row r="292" spans="1:11" x14ac:dyDescent="0.25">
      <c r="A292" t="s">
        <v>309</v>
      </c>
      <c r="B292" t="s">
        <v>53</v>
      </c>
      <c r="C292" t="s">
        <v>54</v>
      </c>
      <c r="D292" t="s">
        <v>13</v>
      </c>
      <c r="E292" t="s">
        <v>315</v>
      </c>
      <c r="F292" s="1">
        <v>40.200000000000003</v>
      </c>
      <c r="G292" s="1">
        <v>0</v>
      </c>
      <c r="H292" s="1">
        <v>0</v>
      </c>
      <c r="I292" s="1">
        <v>0</v>
      </c>
      <c r="J292" s="1">
        <v>40.200000000000003</v>
      </c>
      <c r="K292" s="1">
        <f>Tabela1[[#This Row],[$ Imposto ICMS do faturamento]]-Tabela1[[#This Row],[$ ISS]]</f>
        <v>0</v>
      </c>
    </row>
    <row r="293" spans="1:11" x14ac:dyDescent="0.25">
      <c r="A293" t="s">
        <v>309</v>
      </c>
      <c r="B293" t="s">
        <v>53</v>
      </c>
      <c r="C293" t="s">
        <v>54</v>
      </c>
      <c r="D293" t="s">
        <v>13</v>
      </c>
      <c r="E293" t="s">
        <v>316</v>
      </c>
      <c r="F293" s="1">
        <v>40.200000000000003</v>
      </c>
      <c r="G293" s="1">
        <v>0</v>
      </c>
      <c r="H293" s="1">
        <v>0</v>
      </c>
      <c r="I293" s="1">
        <v>0</v>
      </c>
      <c r="J293" s="1">
        <v>40.200000000000003</v>
      </c>
      <c r="K293" s="1">
        <f>Tabela1[[#This Row],[$ Imposto ICMS do faturamento]]-Tabela1[[#This Row],[$ ISS]]</f>
        <v>0</v>
      </c>
    </row>
    <row r="294" spans="1:11" x14ac:dyDescent="0.25">
      <c r="A294" t="s">
        <v>309</v>
      </c>
      <c r="B294" t="s">
        <v>53</v>
      </c>
      <c r="C294" t="s">
        <v>54</v>
      </c>
      <c r="D294" t="s">
        <v>13</v>
      </c>
      <c r="E294" t="s">
        <v>317</v>
      </c>
      <c r="F294" s="1">
        <v>40.200000000000003</v>
      </c>
      <c r="G294" s="1">
        <v>0</v>
      </c>
      <c r="H294" s="1">
        <v>0</v>
      </c>
      <c r="I294" s="1">
        <v>0</v>
      </c>
      <c r="J294" s="1">
        <v>40.200000000000003</v>
      </c>
      <c r="K294" s="1">
        <f>Tabela1[[#This Row],[$ Imposto ICMS do faturamento]]-Tabela1[[#This Row],[$ ISS]]</f>
        <v>0</v>
      </c>
    </row>
    <row r="295" spans="1:11" x14ac:dyDescent="0.25">
      <c r="A295" t="s">
        <v>309</v>
      </c>
      <c r="B295" t="s">
        <v>53</v>
      </c>
      <c r="C295" t="s">
        <v>54</v>
      </c>
      <c r="D295" t="s">
        <v>13</v>
      </c>
      <c r="E295" t="s">
        <v>318</v>
      </c>
      <c r="F295" s="1">
        <v>40.200000000000003</v>
      </c>
      <c r="G295" s="1">
        <v>0</v>
      </c>
      <c r="H295" s="1">
        <v>0</v>
      </c>
      <c r="I295" s="1">
        <v>0</v>
      </c>
      <c r="J295" s="1">
        <v>40.200000000000003</v>
      </c>
      <c r="K295" s="1">
        <f>Tabela1[[#This Row],[$ Imposto ICMS do faturamento]]-Tabela1[[#This Row],[$ ISS]]</f>
        <v>0</v>
      </c>
    </row>
    <row r="296" spans="1:11" x14ac:dyDescent="0.25">
      <c r="A296" t="s">
        <v>309</v>
      </c>
      <c r="B296" t="s">
        <v>53</v>
      </c>
      <c r="C296" t="s">
        <v>54</v>
      </c>
      <c r="D296" t="s">
        <v>13</v>
      </c>
      <c r="E296" t="s">
        <v>319</v>
      </c>
      <c r="F296" s="1">
        <v>40.200000000000003</v>
      </c>
      <c r="G296" s="1">
        <v>0</v>
      </c>
      <c r="H296" s="1">
        <v>0</v>
      </c>
      <c r="I296" s="1">
        <v>0</v>
      </c>
      <c r="J296" s="1">
        <v>40.200000000000003</v>
      </c>
      <c r="K296" s="1">
        <f>Tabela1[[#This Row],[$ Imposto ICMS do faturamento]]-Tabela1[[#This Row],[$ ISS]]</f>
        <v>0</v>
      </c>
    </row>
    <row r="297" spans="1:11" x14ac:dyDescent="0.25">
      <c r="A297" t="s">
        <v>309</v>
      </c>
      <c r="B297" t="s">
        <v>53</v>
      </c>
      <c r="C297" t="s">
        <v>54</v>
      </c>
      <c r="D297" t="s">
        <v>13</v>
      </c>
      <c r="E297" t="s">
        <v>320</v>
      </c>
      <c r="F297" s="1">
        <v>40.200000000000003</v>
      </c>
      <c r="G297" s="1">
        <v>0</v>
      </c>
      <c r="H297" s="1">
        <v>0</v>
      </c>
      <c r="I297" s="1">
        <v>0</v>
      </c>
      <c r="J297" s="1">
        <v>40.200000000000003</v>
      </c>
      <c r="K297" s="1">
        <f>Tabela1[[#This Row],[$ Imposto ICMS do faturamento]]-Tabela1[[#This Row],[$ ISS]]</f>
        <v>0</v>
      </c>
    </row>
    <row r="298" spans="1:11" x14ac:dyDescent="0.25">
      <c r="A298" t="s">
        <v>309</v>
      </c>
      <c r="B298" t="s">
        <v>53</v>
      </c>
      <c r="C298" t="s">
        <v>54</v>
      </c>
      <c r="D298" t="s">
        <v>13</v>
      </c>
      <c r="E298" t="s">
        <v>321</v>
      </c>
      <c r="F298" s="1">
        <v>40.200000000000003</v>
      </c>
      <c r="G298" s="1">
        <v>0</v>
      </c>
      <c r="H298" s="1">
        <v>0</v>
      </c>
      <c r="I298" s="1">
        <v>0</v>
      </c>
      <c r="J298" s="1">
        <v>40.200000000000003</v>
      </c>
      <c r="K298" s="1">
        <f>Tabela1[[#This Row],[$ Imposto ICMS do faturamento]]-Tabela1[[#This Row],[$ ISS]]</f>
        <v>0</v>
      </c>
    </row>
    <row r="299" spans="1:11" x14ac:dyDescent="0.25">
      <c r="A299" t="s">
        <v>309</v>
      </c>
      <c r="B299" t="s">
        <v>53</v>
      </c>
      <c r="C299" t="s">
        <v>54</v>
      </c>
      <c r="D299" t="s">
        <v>13</v>
      </c>
      <c r="E299" t="s">
        <v>322</v>
      </c>
      <c r="F299" s="1">
        <v>40.200000000000003</v>
      </c>
      <c r="G299" s="1">
        <v>0</v>
      </c>
      <c r="H299" s="1">
        <v>0</v>
      </c>
      <c r="I299" s="1">
        <v>0</v>
      </c>
      <c r="J299" s="1">
        <v>40.200000000000003</v>
      </c>
      <c r="K299" s="1">
        <f>Tabela1[[#This Row],[$ Imposto ICMS do faturamento]]-Tabela1[[#This Row],[$ ISS]]</f>
        <v>0</v>
      </c>
    </row>
    <row r="300" spans="1:11" x14ac:dyDescent="0.25">
      <c r="A300" t="s">
        <v>309</v>
      </c>
      <c r="B300" t="s">
        <v>53</v>
      </c>
      <c r="C300" t="s">
        <v>54</v>
      </c>
      <c r="D300" t="s">
        <v>13</v>
      </c>
      <c r="E300" t="s">
        <v>323</v>
      </c>
      <c r="F300" s="1">
        <v>40.200000000000003</v>
      </c>
      <c r="G300" s="1">
        <v>0</v>
      </c>
      <c r="H300" s="1">
        <v>0</v>
      </c>
      <c r="I300" s="1">
        <v>0</v>
      </c>
      <c r="J300" s="1">
        <v>40.200000000000003</v>
      </c>
      <c r="K300" s="1">
        <f>Tabela1[[#This Row],[$ Imposto ICMS do faturamento]]-Tabela1[[#This Row],[$ ISS]]</f>
        <v>0</v>
      </c>
    </row>
    <row r="301" spans="1:11" x14ac:dyDescent="0.25">
      <c r="A301" t="s">
        <v>309</v>
      </c>
      <c r="B301" t="s">
        <v>90</v>
      </c>
      <c r="C301" t="s">
        <v>12</v>
      </c>
      <c r="D301" t="s">
        <v>13</v>
      </c>
      <c r="E301" t="s">
        <v>346</v>
      </c>
      <c r="F301" s="1">
        <v>54.86</v>
      </c>
      <c r="G301" s="1">
        <v>0</v>
      </c>
      <c r="H301" s="1">
        <v>0</v>
      </c>
      <c r="I301" s="1">
        <v>0</v>
      </c>
      <c r="J301" s="1">
        <v>54.86</v>
      </c>
      <c r="K301" s="1">
        <f>Tabela1[[#This Row],[$ Imposto ICMS do faturamento]]-Tabela1[[#This Row],[$ ISS]]</f>
        <v>0</v>
      </c>
    </row>
    <row r="302" spans="1:11" x14ac:dyDescent="0.25">
      <c r="A302" t="s">
        <v>309</v>
      </c>
      <c r="B302" t="s">
        <v>90</v>
      </c>
      <c r="C302" t="s">
        <v>12</v>
      </c>
      <c r="D302" t="s">
        <v>13</v>
      </c>
      <c r="E302" t="s">
        <v>347</v>
      </c>
      <c r="F302" s="1">
        <v>94.94</v>
      </c>
      <c r="G302" s="1">
        <v>0</v>
      </c>
      <c r="H302" s="1">
        <v>0</v>
      </c>
      <c r="I302" s="1">
        <v>0</v>
      </c>
      <c r="J302" s="1">
        <v>94.94</v>
      </c>
      <c r="K302" s="1">
        <f>Tabela1[[#This Row],[$ Imposto ICMS do faturamento]]-Tabela1[[#This Row],[$ ISS]]</f>
        <v>0</v>
      </c>
    </row>
    <row r="303" spans="1:11" x14ac:dyDescent="0.25">
      <c r="A303" t="s">
        <v>309</v>
      </c>
      <c r="B303" t="s">
        <v>90</v>
      </c>
      <c r="C303" t="s">
        <v>12</v>
      </c>
      <c r="D303" t="s">
        <v>13</v>
      </c>
      <c r="E303" t="s">
        <v>348</v>
      </c>
      <c r="F303" s="1">
        <v>73.86</v>
      </c>
      <c r="G303" s="1">
        <v>0</v>
      </c>
      <c r="H303" s="1">
        <v>0</v>
      </c>
      <c r="I303" s="1">
        <v>0</v>
      </c>
      <c r="J303" s="1">
        <v>73.86</v>
      </c>
      <c r="K303" s="1">
        <f>Tabela1[[#This Row],[$ Imposto ICMS do faturamento]]-Tabela1[[#This Row],[$ ISS]]</f>
        <v>0</v>
      </c>
    </row>
    <row r="304" spans="1:11" x14ac:dyDescent="0.25">
      <c r="A304" t="s">
        <v>309</v>
      </c>
      <c r="B304" t="s">
        <v>90</v>
      </c>
      <c r="C304" t="s">
        <v>12</v>
      </c>
      <c r="D304" t="s">
        <v>13</v>
      </c>
      <c r="E304" t="s">
        <v>349</v>
      </c>
      <c r="F304" s="1">
        <v>73.86</v>
      </c>
      <c r="G304" s="1">
        <v>0</v>
      </c>
      <c r="H304" s="1">
        <v>0</v>
      </c>
      <c r="I304" s="1">
        <v>0</v>
      </c>
      <c r="J304" s="1">
        <v>73.86</v>
      </c>
      <c r="K304" s="1">
        <f>Tabela1[[#This Row],[$ Imposto ICMS do faturamento]]-Tabela1[[#This Row],[$ ISS]]</f>
        <v>0</v>
      </c>
    </row>
    <row r="305" spans="1:11" x14ac:dyDescent="0.25">
      <c r="A305" t="s">
        <v>309</v>
      </c>
      <c r="B305" t="s">
        <v>90</v>
      </c>
      <c r="C305" t="s">
        <v>12</v>
      </c>
      <c r="D305" t="s">
        <v>13</v>
      </c>
      <c r="E305" t="s">
        <v>350</v>
      </c>
      <c r="F305" s="1">
        <v>63.81</v>
      </c>
      <c r="G305" s="1">
        <v>0</v>
      </c>
      <c r="H305" s="1">
        <v>0</v>
      </c>
      <c r="I305" s="1">
        <v>0</v>
      </c>
      <c r="J305" s="1">
        <v>63.81</v>
      </c>
      <c r="K305" s="1">
        <f>Tabela1[[#This Row],[$ Imposto ICMS do faturamento]]-Tabela1[[#This Row],[$ ISS]]</f>
        <v>0</v>
      </c>
    </row>
    <row r="306" spans="1:11" x14ac:dyDescent="0.25">
      <c r="A306" t="s">
        <v>309</v>
      </c>
      <c r="B306" t="s">
        <v>90</v>
      </c>
      <c r="C306" t="s">
        <v>12</v>
      </c>
      <c r="D306" t="s">
        <v>13</v>
      </c>
      <c r="E306" t="s">
        <v>351</v>
      </c>
      <c r="F306" s="1">
        <v>81.069999999999993</v>
      </c>
      <c r="G306" s="1">
        <v>0</v>
      </c>
      <c r="H306" s="1">
        <v>0</v>
      </c>
      <c r="I306" s="1">
        <v>0</v>
      </c>
      <c r="J306" s="1">
        <v>81.069999999999993</v>
      </c>
      <c r="K306" s="1">
        <f>Tabela1[[#This Row],[$ Imposto ICMS do faturamento]]-Tabela1[[#This Row],[$ ISS]]</f>
        <v>0</v>
      </c>
    </row>
    <row r="307" spans="1:11" x14ac:dyDescent="0.25">
      <c r="A307" t="s">
        <v>309</v>
      </c>
      <c r="B307" t="s">
        <v>90</v>
      </c>
      <c r="C307" t="s">
        <v>12</v>
      </c>
      <c r="D307" t="s">
        <v>13</v>
      </c>
      <c r="E307" t="s">
        <v>352</v>
      </c>
      <c r="F307" s="1">
        <v>63.65</v>
      </c>
      <c r="G307" s="1">
        <v>0</v>
      </c>
      <c r="H307" s="1">
        <v>0</v>
      </c>
      <c r="I307" s="1">
        <v>0</v>
      </c>
      <c r="J307" s="1">
        <v>63.65</v>
      </c>
      <c r="K307" s="1">
        <f>Tabela1[[#This Row],[$ Imposto ICMS do faturamento]]-Tabela1[[#This Row],[$ ISS]]</f>
        <v>0</v>
      </c>
    </row>
    <row r="308" spans="1:11" x14ac:dyDescent="0.25">
      <c r="A308" t="s">
        <v>309</v>
      </c>
      <c r="B308" t="s">
        <v>53</v>
      </c>
      <c r="C308" t="s">
        <v>54</v>
      </c>
      <c r="D308" t="s">
        <v>13</v>
      </c>
      <c r="E308" t="s">
        <v>324</v>
      </c>
      <c r="F308" s="1">
        <v>43.76</v>
      </c>
      <c r="G308" s="1">
        <v>0</v>
      </c>
      <c r="H308" s="1">
        <v>0</v>
      </c>
      <c r="I308" s="1">
        <v>0</v>
      </c>
      <c r="J308" s="1">
        <v>43.76</v>
      </c>
      <c r="K308" s="1">
        <f>Tabela1[[#This Row],[$ Imposto ICMS do faturamento]]-Tabela1[[#This Row],[$ ISS]]</f>
        <v>0</v>
      </c>
    </row>
    <row r="309" spans="1:11" x14ac:dyDescent="0.25">
      <c r="A309" t="s">
        <v>309</v>
      </c>
      <c r="B309" t="s">
        <v>53</v>
      </c>
      <c r="C309" t="s">
        <v>54</v>
      </c>
      <c r="D309" t="s">
        <v>13</v>
      </c>
      <c r="E309" t="s">
        <v>325</v>
      </c>
      <c r="F309" s="1">
        <v>43.76</v>
      </c>
      <c r="G309" s="1">
        <v>0</v>
      </c>
      <c r="H309" s="1">
        <v>0</v>
      </c>
      <c r="I309" s="1">
        <v>0</v>
      </c>
      <c r="J309" s="1">
        <v>43.76</v>
      </c>
      <c r="K309" s="1">
        <f>Tabela1[[#This Row],[$ Imposto ICMS do faturamento]]-Tabela1[[#This Row],[$ ISS]]</f>
        <v>0</v>
      </c>
    </row>
    <row r="310" spans="1:11" x14ac:dyDescent="0.25">
      <c r="A310" t="s">
        <v>309</v>
      </c>
      <c r="B310" t="s">
        <v>53</v>
      </c>
      <c r="C310" t="s">
        <v>54</v>
      </c>
      <c r="D310" t="s">
        <v>13</v>
      </c>
      <c r="E310" t="s">
        <v>326</v>
      </c>
      <c r="F310" s="1">
        <v>39.840000000000003</v>
      </c>
      <c r="G310" s="1">
        <v>0</v>
      </c>
      <c r="H310" s="1">
        <v>0</v>
      </c>
      <c r="I310" s="1">
        <v>0</v>
      </c>
      <c r="J310" s="1">
        <v>39.840000000000003</v>
      </c>
      <c r="K310" s="1">
        <f>Tabela1[[#This Row],[$ Imposto ICMS do faturamento]]-Tabela1[[#This Row],[$ ISS]]</f>
        <v>0</v>
      </c>
    </row>
    <row r="311" spans="1:11" x14ac:dyDescent="0.25">
      <c r="A311" t="s">
        <v>309</v>
      </c>
      <c r="B311" t="s">
        <v>53</v>
      </c>
      <c r="C311" t="s">
        <v>54</v>
      </c>
      <c r="D311" t="s">
        <v>13</v>
      </c>
      <c r="E311" t="s">
        <v>327</v>
      </c>
      <c r="F311" s="1">
        <v>43.76</v>
      </c>
      <c r="G311" s="1">
        <v>0</v>
      </c>
      <c r="H311" s="1">
        <v>0</v>
      </c>
      <c r="I311" s="1">
        <v>0</v>
      </c>
      <c r="J311" s="1">
        <v>43.76</v>
      </c>
      <c r="K311" s="1">
        <f>Tabela1[[#This Row],[$ Imposto ICMS do faturamento]]-Tabela1[[#This Row],[$ ISS]]</f>
        <v>0</v>
      </c>
    </row>
    <row r="312" spans="1:11" x14ac:dyDescent="0.25">
      <c r="A312" t="s">
        <v>309</v>
      </c>
      <c r="B312" t="s">
        <v>53</v>
      </c>
      <c r="C312" t="s">
        <v>54</v>
      </c>
      <c r="D312" t="s">
        <v>13</v>
      </c>
      <c r="E312" t="s">
        <v>328</v>
      </c>
      <c r="F312" s="1">
        <v>43.76</v>
      </c>
      <c r="G312" s="1">
        <v>0</v>
      </c>
      <c r="H312" s="1">
        <v>0</v>
      </c>
      <c r="I312" s="1">
        <v>0</v>
      </c>
      <c r="J312" s="1">
        <v>43.76</v>
      </c>
      <c r="K312" s="1">
        <f>Tabela1[[#This Row],[$ Imposto ICMS do faturamento]]-Tabela1[[#This Row],[$ ISS]]</f>
        <v>0</v>
      </c>
    </row>
    <row r="313" spans="1:11" x14ac:dyDescent="0.25">
      <c r="A313" t="s">
        <v>309</v>
      </c>
      <c r="B313" t="s">
        <v>53</v>
      </c>
      <c r="C313" t="s">
        <v>54</v>
      </c>
      <c r="D313" t="s">
        <v>13</v>
      </c>
      <c r="E313" t="s">
        <v>329</v>
      </c>
      <c r="F313" s="1">
        <v>43.76</v>
      </c>
      <c r="G313" s="1">
        <v>0</v>
      </c>
      <c r="H313" s="1">
        <v>0</v>
      </c>
      <c r="I313" s="1">
        <v>0</v>
      </c>
      <c r="J313" s="1">
        <v>43.76</v>
      </c>
      <c r="K313" s="1">
        <f>Tabela1[[#This Row],[$ Imposto ICMS do faturamento]]-Tabela1[[#This Row],[$ ISS]]</f>
        <v>0</v>
      </c>
    </row>
    <row r="314" spans="1:11" x14ac:dyDescent="0.25">
      <c r="A314" t="s">
        <v>309</v>
      </c>
      <c r="B314" t="s">
        <v>53</v>
      </c>
      <c r="C314" t="s">
        <v>54</v>
      </c>
      <c r="D314" t="s">
        <v>13</v>
      </c>
      <c r="E314" t="s">
        <v>330</v>
      </c>
      <c r="F314" s="1">
        <v>43.76</v>
      </c>
      <c r="G314" s="1">
        <v>0</v>
      </c>
      <c r="H314" s="1">
        <v>0</v>
      </c>
      <c r="I314" s="1">
        <v>0</v>
      </c>
      <c r="J314" s="1">
        <v>43.76</v>
      </c>
      <c r="K314" s="1">
        <f>Tabela1[[#This Row],[$ Imposto ICMS do faturamento]]-Tabela1[[#This Row],[$ ISS]]</f>
        <v>0</v>
      </c>
    </row>
    <row r="315" spans="1:11" x14ac:dyDescent="0.25">
      <c r="A315" t="s">
        <v>309</v>
      </c>
      <c r="B315" t="s">
        <v>53</v>
      </c>
      <c r="C315" t="s">
        <v>54</v>
      </c>
      <c r="D315" t="s">
        <v>13</v>
      </c>
      <c r="E315" t="s">
        <v>331</v>
      </c>
      <c r="F315" s="1">
        <v>43.76</v>
      </c>
      <c r="G315" s="1">
        <v>0</v>
      </c>
      <c r="H315" s="1">
        <v>0</v>
      </c>
      <c r="I315" s="1">
        <v>0</v>
      </c>
      <c r="J315" s="1">
        <v>43.76</v>
      </c>
      <c r="K315" s="1">
        <f>Tabela1[[#This Row],[$ Imposto ICMS do faturamento]]-Tabela1[[#This Row],[$ ISS]]</f>
        <v>0</v>
      </c>
    </row>
    <row r="316" spans="1:11" x14ac:dyDescent="0.25">
      <c r="A316" t="s">
        <v>309</v>
      </c>
      <c r="B316" t="s">
        <v>53</v>
      </c>
      <c r="C316" t="s">
        <v>54</v>
      </c>
      <c r="D316" t="s">
        <v>13</v>
      </c>
      <c r="E316" t="s">
        <v>332</v>
      </c>
      <c r="F316" s="1">
        <v>43.76</v>
      </c>
      <c r="G316" s="1">
        <v>0</v>
      </c>
      <c r="H316" s="1">
        <v>0</v>
      </c>
      <c r="I316" s="1">
        <v>0</v>
      </c>
      <c r="J316" s="1">
        <v>43.76</v>
      </c>
      <c r="K316" s="1">
        <f>Tabela1[[#This Row],[$ Imposto ICMS do faturamento]]-Tabela1[[#This Row],[$ ISS]]</f>
        <v>0</v>
      </c>
    </row>
    <row r="317" spans="1:11" x14ac:dyDescent="0.25">
      <c r="A317" t="s">
        <v>309</v>
      </c>
      <c r="B317" t="s">
        <v>53</v>
      </c>
      <c r="C317" t="s">
        <v>54</v>
      </c>
      <c r="D317" t="s">
        <v>13</v>
      </c>
      <c r="E317" t="s">
        <v>333</v>
      </c>
      <c r="F317" s="1">
        <v>43.76</v>
      </c>
      <c r="G317" s="1">
        <v>0</v>
      </c>
      <c r="H317" s="1">
        <v>0</v>
      </c>
      <c r="I317" s="1">
        <v>0</v>
      </c>
      <c r="J317" s="1">
        <v>43.76</v>
      </c>
      <c r="K317" s="1">
        <f>Tabela1[[#This Row],[$ Imposto ICMS do faturamento]]-Tabela1[[#This Row],[$ ISS]]</f>
        <v>0</v>
      </c>
    </row>
    <row r="318" spans="1:11" x14ac:dyDescent="0.25">
      <c r="A318" t="s">
        <v>309</v>
      </c>
      <c r="B318" t="s">
        <v>53</v>
      </c>
      <c r="C318" t="s">
        <v>54</v>
      </c>
      <c r="D318" t="s">
        <v>13</v>
      </c>
      <c r="E318" t="s">
        <v>334</v>
      </c>
      <c r="F318" s="1">
        <v>43.76</v>
      </c>
      <c r="G318" s="1">
        <v>0</v>
      </c>
      <c r="H318" s="1">
        <v>0</v>
      </c>
      <c r="I318" s="1">
        <v>0</v>
      </c>
      <c r="J318" s="1">
        <v>43.76</v>
      </c>
      <c r="K318" s="1">
        <f>Tabela1[[#This Row],[$ Imposto ICMS do faturamento]]-Tabela1[[#This Row],[$ ISS]]</f>
        <v>0</v>
      </c>
    </row>
    <row r="319" spans="1:11" x14ac:dyDescent="0.25">
      <c r="A319" t="s">
        <v>309</v>
      </c>
      <c r="B319" t="s">
        <v>53</v>
      </c>
      <c r="C319" t="s">
        <v>54</v>
      </c>
      <c r="D319" t="s">
        <v>13</v>
      </c>
      <c r="E319" t="s">
        <v>335</v>
      </c>
      <c r="F319" s="1">
        <v>43.76</v>
      </c>
      <c r="G319" s="1">
        <v>0</v>
      </c>
      <c r="H319" s="1">
        <v>0</v>
      </c>
      <c r="I319" s="1">
        <v>0</v>
      </c>
      <c r="J319" s="1">
        <v>43.76</v>
      </c>
      <c r="K319" s="1">
        <f>Tabela1[[#This Row],[$ Imposto ICMS do faturamento]]-Tabela1[[#This Row],[$ ISS]]</f>
        <v>0</v>
      </c>
    </row>
    <row r="320" spans="1:11" x14ac:dyDescent="0.25">
      <c r="A320" t="s">
        <v>309</v>
      </c>
      <c r="B320" t="s">
        <v>53</v>
      </c>
      <c r="C320" t="s">
        <v>54</v>
      </c>
      <c r="D320" t="s">
        <v>13</v>
      </c>
      <c r="E320" t="s">
        <v>336</v>
      </c>
      <c r="F320" s="1">
        <v>39.840000000000003</v>
      </c>
      <c r="G320" s="1">
        <v>0</v>
      </c>
      <c r="H320" s="1">
        <v>0</v>
      </c>
      <c r="I320" s="1">
        <v>0</v>
      </c>
      <c r="J320" s="1">
        <v>39.840000000000003</v>
      </c>
      <c r="K320" s="1">
        <f>Tabela1[[#This Row],[$ Imposto ICMS do faturamento]]-Tabela1[[#This Row],[$ ISS]]</f>
        <v>0</v>
      </c>
    </row>
    <row r="321" spans="1:11" x14ac:dyDescent="0.25">
      <c r="A321" t="s">
        <v>309</v>
      </c>
      <c r="B321" t="s">
        <v>53</v>
      </c>
      <c r="C321" t="s">
        <v>54</v>
      </c>
      <c r="D321" t="s">
        <v>13</v>
      </c>
      <c r="E321" t="s">
        <v>337</v>
      </c>
      <c r="F321" s="1">
        <v>43.76</v>
      </c>
      <c r="G321" s="1">
        <v>0</v>
      </c>
      <c r="H321" s="1">
        <v>0</v>
      </c>
      <c r="I321" s="1">
        <v>0</v>
      </c>
      <c r="J321" s="1">
        <v>43.76</v>
      </c>
      <c r="K321" s="1">
        <f>Tabela1[[#This Row],[$ Imposto ICMS do faturamento]]-Tabela1[[#This Row],[$ ISS]]</f>
        <v>0</v>
      </c>
    </row>
    <row r="322" spans="1:11" x14ac:dyDescent="0.25">
      <c r="A322" t="s">
        <v>309</v>
      </c>
      <c r="B322" t="s">
        <v>53</v>
      </c>
      <c r="C322" t="s">
        <v>54</v>
      </c>
      <c r="D322" t="s">
        <v>13</v>
      </c>
      <c r="E322" t="s">
        <v>338</v>
      </c>
      <c r="F322" s="1">
        <v>43.76</v>
      </c>
      <c r="G322" s="1">
        <v>0</v>
      </c>
      <c r="H322" s="1">
        <v>0</v>
      </c>
      <c r="I322" s="1">
        <v>0</v>
      </c>
      <c r="J322" s="1">
        <v>43.76</v>
      </c>
      <c r="K322" s="1">
        <f>Tabela1[[#This Row],[$ Imposto ICMS do faturamento]]-Tabela1[[#This Row],[$ ISS]]</f>
        <v>0</v>
      </c>
    </row>
    <row r="323" spans="1:11" x14ac:dyDescent="0.25">
      <c r="A323" t="s">
        <v>309</v>
      </c>
      <c r="B323" t="s">
        <v>53</v>
      </c>
      <c r="C323" t="s">
        <v>54</v>
      </c>
      <c r="D323" t="s">
        <v>13</v>
      </c>
      <c r="E323" t="s">
        <v>339</v>
      </c>
      <c r="F323" s="1">
        <v>43.76</v>
      </c>
      <c r="G323" s="1">
        <v>0</v>
      </c>
      <c r="H323" s="1">
        <v>0</v>
      </c>
      <c r="I323" s="1">
        <v>0</v>
      </c>
      <c r="J323" s="1">
        <v>43.76</v>
      </c>
      <c r="K323" s="1">
        <f>Tabela1[[#This Row],[$ Imposto ICMS do faturamento]]-Tabela1[[#This Row],[$ ISS]]</f>
        <v>0</v>
      </c>
    </row>
    <row r="324" spans="1:11" x14ac:dyDescent="0.25">
      <c r="A324" t="s">
        <v>309</v>
      </c>
      <c r="B324" t="s">
        <v>53</v>
      </c>
      <c r="C324" t="s">
        <v>54</v>
      </c>
      <c r="D324" t="s">
        <v>13</v>
      </c>
      <c r="E324" t="s">
        <v>340</v>
      </c>
      <c r="F324" s="1">
        <v>43.76</v>
      </c>
      <c r="G324" s="1">
        <v>0</v>
      </c>
      <c r="H324" s="1">
        <v>0</v>
      </c>
      <c r="I324" s="1">
        <v>0</v>
      </c>
      <c r="J324" s="1">
        <v>43.76</v>
      </c>
      <c r="K324" s="1">
        <f>Tabela1[[#This Row],[$ Imposto ICMS do faturamento]]-Tabela1[[#This Row],[$ ISS]]</f>
        <v>0</v>
      </c>
    </row>
    <row r="325" spans="1:11" x14ac:dyDescent="0.25">
      <c r="A325" t="s">
        <v>309</v>
      </c>
      <c r="B325" t="s">
        <v>53</v>
      </c>
      <c r="C325" t="s">
        <v>54</v>
      </c>
      <c r="D325" t="s">
        <v>13</v>
      </c>
      <c r="E325" t="s">
        <v>341</v>
      </c>
      <c r="F325" s="1">
        <v>39.840000000000003</v>
      </c>
      <c r="G325" s="1">
        <v>0</v>
      </c>
      <c r="H325" s="1">
        <v>0</v>
      </c>
      <c r="I325" s="1">
        <v>0</v>
      </c>
      <c r="J325" s="1">
        <v>39.840000000000003</v>
      </c>
      <c r="K325" s="1">
        <f>Tabela1[[#This Row],[$ Imposto ICMS do faturamento]]-Tabela1[[#This Row],[$ ISS]]</f>
        <v>0</v>
      </c>
    </row>
    <row r="326" spans="1:11" x14ac:dyDescent="0.25">
      <c r="A326" t="s">
        <v>353</v>
      </c>
      <c r="B326" t="s">
        <v>53</v>
      </c>
      <c r="C326" t="s">
        <v>157</v>
      </c>
      <c r="D326" t="s">
        <v>13</v>
      </c>
      <c r="E326" t="s">
        <v>381</v>
      </c>
      <c r="F326" s="1">
        <v>39.840000000000003</v>
      </c>
      <c r="G326" s="1">
        <v>0</v>
      </c>
      <c r="H326" s="1">
        <v>0</v>
      </c>
      <c r="I326" s="1">
        <v>0</v>
      </c>
      <c r="J326" s="1">
        <v>39.840000000000003</v>
      </c>
      <c r="K326" s="1">
        <f>Tabela1[[#This Row],[$ Imposto ICMS do faturamento]]-Tabela1[[#This Row],[$ ISS]]</f>
        <v>0</v>
      </c>
    </row>
    <row r="327" spans="1:11" x14ac:dyDescent="0.25">
      <c r="A327" t="s">
        <v>353</v>
      </c>
      <c r="B327" t="s">
        <v>53</v>
      </c>
      <c r="C327" t="s">
        <v>54</v>
      </c>
      <c r="D327" t="s">
        <v>13</v>
      </c>
      <c r="E327" t="s">
        <v>354</v>
      </c>
      <c r="F327" s="1">
        <v>39.840000000000003</v>
      </c>
      <c r="G327" s="1">
        <v>0</v>
      </c>
      <c r="H327" s="1">
        <v>0</v>
      </c>
      <c r="I327" s="1">
        <v>0</v>
      </c>
      <c r="J327" s="1">
        <v>39.840000000000003</v>
      </c>
      <c r="K327" s="1">
        <f>Tabela1[[#This Row],[$ Imposto ICMS do faturamento]]-Tabela1[[#This Row],[$ ISS]]</f>
        <v>0</v>
      </c>
    </row>
    <row r="328" spans="1:11" x14ac:dyDescent="0.25">
      <c r="A328" t="s">
        <v>353</v>
      </c>
      <c r="B328" t="s">
        <v>53</v>
      </c>
      <c r="C328" t="s">
        <v>157</v>
      </c>
      <c r="D328" t="s">
        <v>13</v>
      </c>
      <c r="E328" t="s">
        <v>382</v>
      </c>
      <c r="F328" s="1">
        <v>43.76</v>
      </c>
      <c r="G328" s="1">
        <v>0</v>
      </c>
      <c r="H328" s="1">
        <v>0</v>
      </c>
      <c r="I328" s="1">
        <v>0</v>
      </c>
      <c r="J328" s="1">
        <v>43.76</v>
      </c>
      <c r="K328" s="1">
        <f>Tabela1[[#This Row],[$ Imposto ICMS do faturamento]]-Tabela1[[#This Row],[$ ISS]]</f>
        <v>0</v>
      </c>
    </row>
    <row r="329" spans="1:11" x14ac:dyDescent="0.25">
      <c r="A329" t="s">
        <v>353</v>
      </c>
      <c r="B329" t="s">
        <v>53</v>
      </c>
      <c r="C329" t="s">
        <v>157</v>
      </c>
      <c r="D329" t="s">
        <v>13</v>
      </c>
      <c r="E329" t="s">
        <v>383</v>
      </c>
      <c r="F329" s="1">
        <v>43.76</v>
      </c>
      <c r="G329" s="1">
        <v>0</v>
      </c>
      <c r="H329" s="1">
        <v>0</v>
      </c>
      <c r="I329" s="1">
        <v>0</v>
      </c>
      <c r="J329" s="1">
        <v>43.76</v>
      </c>
      <c r="K329" s="1">
        <f>Tabela1[[#This Row],[$ Imposto ICMS do faturamento]]-Tabela1[[#This Row],[$ ISS]]</f>
        <v>0</v>
      </c>
    </row>
    <row r="330" spans="1:11" x14ac:dyDescent="0.25">
      <c r="A330" t="s">
        <v>353</v>
      </c>
      <c r="B330" t="s">
        <v>53</v>
      </c>
      <c r="C330" t="s">
        <v>157</v>
      </c>
      <c r="D330" t="s">
        <v>13</v>
      </c>
      <c r="E330" t="s">
        <v>384</v>
      </c>
      <c r="F330" s="1">
        <v>43.76</v>
      </c>
      <c r="G330" s="1">
        <v>0</v>
      </c>
      <c r="H330" s="1">
        <v>0</v>
      </c>
      <c r="I330" s="1">
        <v>0</v>
      </c>
      <c r="J330" s="1">
        <v>43.76</v>
      </c>
      <c r="K330" s="1">
        <f>Tabela1[[#This Row],[$ Imposto ICMS do faturamento]]-Tabela1[[#This Row],[$ ISS]]</f>
        <v>0</v>
      </c>
    </row>
    <row r="331" spans="1:11" x14ac:dyDescent="0.25">
      <c r="A331" t="s">
        <v>353</v>
      </c>
      <c r="B331" t="s">
        <v>53</v>
      </c>
      <c r="C331" t="s">
        <v>54</v>
      </c>
      <c r="D331" t="s">
        <v>13</v>
      </c>
      <c r="E331" t="s">
        <v>355</v>
      </c>
      <c r="F331" s="1">
        <v>39.840000000000003</v>
      </c>
      <c r="G331" s="1">
        <v>0</v>
      </c>
      <c r="H331" s="1">
        <v>0</v>
      </c>
      <c r="I331" s="1">
        <v>0</v>
      </c>
      <c r="J331" s="1">
        <v>39.840000000000003</v>
      </c>
      <c r="K331" s="1">
        <f>Tabela1[[#This Row],[$ Imposto ICMS do faturamento]]-Tabela1[[#This Row],[$ ISS]]</f>
        <v>0</v>
      </c>
    </row>
    <row r="332" spans="1:11" x14ac:dyDescent="0.25">
      <c r="A332" t="s">
        <v>353</v>
      </c>
      <c r="B332" t="s">
        <v>53</v>
      </c>
      <c r="C332" t="s">
        <v>54</v>
      </c>
      <c r="D332" t="s">
        <v>13</v>
      </c>
      <c r="E332" t="s">
        <v>356</v>
      </c>
      <c r="F332" s="1">
        <v>43.76</v>
      </c>
      <c r="G332" s="1">
        <v>0</v>
      </c>
      <c r="H332" s="1">
        <v>0</v>
      </c>
      <c r="I332" s="1">
        <v>0</v>
      </c>
      <c r="J332" s="1">
        <v>43.76</v>
      </c>
      <c r="K332" s="1">
        <f>Tabela1[[#This Row],[$ Imposto ICMS do faturamento]]-Tabela1[[#This Row],[$ ISS]]</f>
        <v>0</v>
      </c>
    </row>
    <row r="333" spans="1:11" x14ac:dyDescent="0.25">
      <c r="A333" t="s">
        <v>353</v>
      </c>
      <c r="B333" t="s">
        <v>53</v>
      </c>
      <c r="C333" t="s">
        <v>54</v>
      </c>
      <c r="D333" t="s">
        <v>13</v>
      </c>
      <c r="E333" t="s">
        <v>357</v>
      </c>
      <c r="F333" s="1">
        <v>39.840000000000003</v>
      </c>
      <c r="G333" s="1">
        <v>0</v>
      </c>
      <c r="H333" s="1">
        <v>0</v>
      </c>
      <c r="I333" s="1">
        <v>0</v>
      </c>
      <c r="J333" s="1">
        <v>39.840000000000003</v>
      </c>
      <c r="K333" s="1">
        <f>Tabela1[[#This Row],[$ Imposto ICMS do faturamento]]-Tabela1[[#This Row],[$ ISS]]</f>
        <v>0</v>
      </c>
    </row>
    <row r="334" spans="1:11" x14ac:dyDescent="0.25">
      <c r="A334" t="s">
        <v>353</v>
      </c>
      <c r="B334" t="s">
        <v>53</v>
      </c>
      <c r="C334" t="s">
        <v>54</v>
      </c>
      <c r="D334" t="s">
        <v>13</v>
      </c>
      <c r="E334" t="s">
        <v>358</v>
      </c>
      <c r="F334" s="1">
        <v>39.840000000000003</v>
      </c>
      <c r="G334" s="1">
        <v>0</v>
      </c>
      <c r="H334" s="1">
        <v>0</v>
      </c>
      <c r="I334" s="1">
        <v>0</v>
      </c>
      <c r="J334" s="1">
        <v>39.840000000000003</v>
      </c>
      <c r="K334" s="1">
        <f>Tabela1[[#This Row],[$ Imposto ICMS do faturamento]]-Tabela1[[#This Row],[$ ISS]]</f>
        <v>0</v>
      </c>
    </row>
    <row r="335" spans="1:11" x14ac:dyDescent="0.25">
      <c r="A335" t="s">
        <v>353</v>
      </c>
      <c r="B335" t="s">
        <v>53</v>
      </c>
      <c r="C335" t="s">
        <v>54</v>
      </c>
      <c r="D335" t="s">
        <v>13</v>
      </c>
      <c r="E335" t="s">
        <v>359</v>
      </c>
      <c r="F335" s="1">
        <v>39.840000000000003</v>
      </c>
      <c r="G335" s="1">
        <v>0</v>
      </c>
      <c r="H335" s="1">
        <v>0</v>
      </c>
      <c r="I335" s="1">
        <v>0</v>
      </c>
      <c r="J335" s="1">
        <v>39.840000000000003</v>
      </c>
      <c r="K335" s="1">
        <f>Tabela1[[#This Row],[$ Imposto ICMS do faturamento]]-Tabela1[[#This Row],[$ ISS]]</f>
        <v>0</v>
      </c>
    </row>
    <row r="336" spans="1:11" x14ac:dyDescent="0.25">
      <c r="A336" t="s">
        <v>353</v>
      </c>
      <c r="B336" t="s">
        <v>53</v>
      </c>
      <c r="C336" t="s">
        <v>54</v>
      </c>
      <c r="D336" t="s">
        <v>13</v>
      </c>
      <c r="E336" t="s">
        <v>360</v>
      </c>
      <c r="F336" s="1">
        <v>43.76</v>
      </c>
      <c r="G336" s="1">
        <v>0</v>
      </c>
      <c r="H336" s="1">
        <v>0</v>
      </c>
      <c r="I336" s="1">
        <v>0</v>
      </c>
      <c r="J336" s="1">
        <v>43.76</v>
      </c>
      <c r="K336" s="1">
        <f>Tabela1[[#This Row],[$ Imposto ICMS do faturamento]]-Tabela1[[#This Row],[$ ISS]]</f>
        <v>0</v>
      </c>
    </row>
    <row r="337" spans="1:11" x14ac:dyDescent="0.25">
      <c r="A337" t="s">
        <v>353</v>
      </c>
      <c r="B337" t="s">
        <v>53</v>
      </c>
      <c r="C337" t="s">
        <v>54</v>
      </c>
      <c r="D337" t="s">
        <v>13</v>
      </c>
      <c r="E337" t="s">
        <v>361</v>
      </c>
      <c r="F337" s="1">
        <v>43.76</v>
      </c>
      <c r="G337" s="1">
        <v>0</v>
      </c>
      <c r="H337" s="1">
        <v>0</v>
      </c>
      <c r="I337" s="1">
        <v>0</v>
      </c>
      <c r="J337" s="1">
        <v>43.76</v>
      </c>
      <c r="K337" s="1">
        <f>Tabela1[[#This Row],[$ Imposto ICMS do faturamento]]-Tabela1[[#This Row],[$ ISS]]</f>
        <v>0</v>
      </c>
    </row>
    <row r="338" spans="1:11" x14ac:dyDescent="0.25">
      <c r="A338" t="s">
        <v>353</v>
      </c>
      <c r="B338" t="s">
        <v>53</v>
      </c>
      <c r="C338" t="s">
        <v>54</v>
      </c>
      <c r="D338" t="s">
        <v>13</v>
      </c>
      <c r="E338" t="s">
        <v>362</v>
      </c>
      <c r="F338" s="1">
        <v>43.76</v>
      </c>
      <c r="G338" s="1">
        <v>0</v>
      </c>
      <c r="H338" s="1">
        <v>0</v>
      </c>
      <c r="I338" s="1">
        <v>0</v>
      </c>
      <c r="J338" s="1">
        <v>43.76</v>
      </c>
      <c r="K338" s="1">
        <f>Tabela1[[#This Row],[$ Imposto ICMS do faturamento]]-Tabela1[[#This Row],[$ ISS]]</f>
        <v>0</v>
      </c>
    </row>
    <row r="339" spans="1:11" x14ac:dyDescent="0.25">
      <c r="A339" t="s">
        <v>353</v>
      </c>
      <c r="B339" t="s">
        <v>53</v>
      </c>
      <c r="C339" t="s">
        <v>54</v>
      </c>
      <c r="D339" t="s">
        <v>13</v>
      </c>
      <c r="E339" t="s">
        <v>363</v>
      </c>
      <c r="F339" s="1">
        <v>43.76</v>
      </c>
      <c r="G339" s="1">
        <v>0</v>
      </c>
      <c r="H339" s="1">
        <v>0</v>
      </c>
      <c r="I339" s="1">
        <v>0</v>
      </c>
      <c r="J339" s="1">
        <v>43.76</v>
      </c>
      <c r="K339" s="1">
        <f>Tabela1[[#This Row],[$ Imposto ICMS do faturamento]]-Tabela1[[#This Row],[$ ISS]]</f>
        <v>0</v>
      </c>
    </row>
    <row r="340" spans="1:11" x14ac:dyDescent="0.25">
      <c r="A340" t="s">
        <v>353</v>
      </c>
      <c r="B340" t="s">
        <v>53</v>
      </c>
      <c r="C340" t="s">
        <v>54</v>
      </c>
      <c r="D340" t="s">
        <v>13</v>
      </c>
      <c r="E340" t="s">
        <v>364</v>
      </c>
      <c r="F340" s="1">
        <v>43.76</v>
      </c>
      <c r="G340" s="1">
        <v>0</v>
      </c>
      <c r="H340" s="1">
        <v>0</v>
      </c>
      <c r="I340" s="1">
        <v>0</v>
      </c>
      <c r="J340" s="1">
        <v>43.76</v>
      </c>
      <c r="K340" s="1">
        <f>Tabela1[[#This Row],[$ Imposto ICMS do faturamento]]-Tabela1[[#This Row],[$ ISS]]</f>
        <v>0</v>
      </c>
    </row>
    <row r="341" spans="1:11" x14ac:dyDescent="0.25">
      <c r="A341" t="s">
        <v>353</v>
      </c>
      <c r="B341" t="s">
        <v>53</v>
      </c>
      <c r="C341" t="s">
        <v>54</v>
      </c>
      <c r="D341" t="s">
        <v>13</v>
      </c>
      <c r="E341" t="s">
        <v>365</v>
      </c>
      <c r="F341" s="1">
        <v>43.76</v>
      </c>
      <c r="G341" s="1">
        <v>0</v>
      </c>
      <c r="H341" s="1">
        <v>0</v>
      </c>
      <c r="I341" s="1">
        <v>0</v>
      </c>
      <c r="J341" s="1">
        <v>43.76</v>
      </c>
      <c r="K341" s="1">
        <f>Tabela1[[#This Row],[$ Imposto ICMS do faturamento]]-Tabela1[[#This Row],[$ ISS]]</f>
        <v>0</v>
      </c>
    </row>
    <row r="342" spans="1:11" x14ac:dyDescent="0.25">
      <c r="A342" t="s">
        <v>353</v>
      </c>
      <c r="B342" t="s">
        <v>53</v>
      </c>
      <c r="C342" t="s">
        <v>54</v>
      </c>
      <c r="D342" t="s">
        <v>13</v>
      </c>
      <c r="E342" t="s">
        <v>366</v>
      </c>
      <c r="F342" s="1">
        <v>43.76</v>
      </c>
      <c r="G342" s="1">
        <v>0</v>
      </c>
      <c r="H342" s="1">
        <v>0</v>
      </c>
      <c r="I342" s="1">
        <v>0</v>
      </c>
      <c r="J342" s="1">
        <v>43.76</v>
      </c>
      <c r="K342" s="1">
        <f>Tabela1[[#This Row],[$ Imposto ICMS do faturamento]]-Tabela1[[#This Row],[$ ISS]]</f>
        <v>0</v>
      </c>
    </row>
    <row r="343" spans="1:11" x14ac:dyDescent="0.25">
      <c r="A343" t="s">
        <v>353</v>
      </c>
      <c r="B343" t="s">
        <v>53</v>
      </c>
      <c r="C343" t="s">
        <v>54</v>
      </c>
      <c r="D343" t="s">
        <v>13</v>
      </c>
      <c r="E343" t="s">
        <v>367</v>
      </c>
      <c r="F343" s="1">
        <v>43.76</v>
      </c>
      <c r="G343" s="1">
        <v>0</v>
      </c>
      <c r="H343" s="1">
        <v>0</v>
      </c>
      <c r="I343" s="1">
        <v>0</v>
      </c>
      <c r="J343" s="1">
        <v>43.76</v>
      </c>
      <c r="K343" s="1">
        <f>Tabela1[[#This Row],[$ Imposto ICMS do faturamento]]-Tabela1[[#This Row],[$ ISS]]</f>
        <v>0</v>
      </c>
    </row>
    <row r="344" spans="1:11" x14ac:dyDescent="0.25">
      <c r="A344" t="s">
        <v>353</v>
      </c>
      <c r="B344" t="s">
        <v>53</v>
      </c>
      <c r="C344" t="s">
        <v>54</v>
      </c>
      <c r="D344" t="s">
        <v>13</v>
      </c>
      <c r="E344" t="s">
        <v>368</v>
      </c>
      <c r="F344" s="1">
        <v>43.76</v>
      </c>
      <c r="G344" s="1">
        <v>0</v>
      </c>
      <c r="H344" s="1">
        <v>0</v>
      </c>
      <c r="I344" s="1">
        <v>0</v>
      </c>
      <c r="J344" s="1">
        <v>43.76</v>
      </c>
      <c r="K344" s="1">
        <f>Tabela1[[#This Row],[$ Imposto ICMS do faturamento]]-Tabela1[[#This Row],[$ ISS]]</f>
        <v>0</v>
      </c>
    </row>
    <row r="345" spans="1:11" x14ac:dyDescent="0.25">
      <c r="A345" t="s">
        <v>353</v>
      </c>
      <c r="B345" t="s">
        <v>53</v>
      </c>
      <c r="C345" t="s">
        <v>54</v>
      </c>
      <c r="D345" t="s">
        <v>13</v>
      </c>
      <c r="E345" t="s">
        <v>369</v>
      </c>
      <c r="F345" s="1">
        <v>43.76</v>
      </c>
      <c r="G345" s="1">
        <v>0</v>
      </c>
      <c r="H345" s="1">
        <v>0</v>
      </c>
      <c r="I345" s="1">
        <v>0</v>
      </c>
      <c r="J345" s="1">
        <v>43.76</v>
      </c>
      <c r="K345" s="1">
        <f>Tabela1[[#This Row],[$ Imposto ICMS do faturamento]]-Tabela1[[#This Row],[$ ISS]]</f>
        <v>0</v>
      </c>
    </row>
    <row r="346" spans="1:11" x14ac:dyDescent="0.25">
      <c r="A346" t="s">
        <v>353</v>
      </c>
      <c r="B346" t="s">
        <v>53</v>
      </c>
      <c r="C346" t="s">
        <v>54</v>
      </c>
      <c r="D346" t="s">
        <v>13</v>
      </c>
      <c r="E346" t="s">
        <v>370</v>
      </c>
      <c r="F346" s="1">
        <v>43.76</v>
      </c>
      <c r="G346" s="1">
        <v>0</v>
      </c>
      <c r="H346" s="1">
        <v>0</v>
      </c>
      <c r="I346" s="1">
        <v>0</v>
      </c>
      <c r="J346" s="1">
        <v>43.76</v>
      </c>
      <c r="K346" s="1">
        <f>Tabela1[[#This Row],[$ Imposto ICMS do faturamento]]-Tabela1[[#This Row],[$ ISS]]</f>
        <v>0</v>
      </c>
    </row>
    <row r="347" spans="1:11" x14ac:dyDescent="0.25">
      <c r="A347" t="s">
        <v>353</v>
      </c>
      <c r="B347" t="s">
        <v>53</v>
      </c>
      <c r="C347" t="s">
        <v>54</v>
      </c>
      <c r="D347" t="s">
        <v>13</v>
      </c>
      <c r="E347" t="s">
        <v>371</v>
      </c>
      <c r="F347" s="1">
        <v>43.76</v>
      </c>
      <c r="G347" s="1">
        <v>0</v>
      </c>
      <c r="H347" s="1">
        <v>0</v>
      </c>
      <c r="I347" s="1">
        <v>0</v>
      </c>
      <c r="J347" s="1">
        <v>43.76</v>
      </c>
      <c r="K347" s="1">
        <f>Tabela1[[#This Row],[$ Imposto ICMS do faturamento]]-Tabela1[[#This Row],[$ ISS]]</f>
        <v>0</v>
      </c>
    </row>
    <row r="348" spans="1:11" x14ac:dyDescent="0.25">
      <c r="A348" t="s">
        <v>353</v>
      </c>
      <c r="B348" t="s">
        <v>53</v>
      </c>
      <c r="C348" t="s">
        <v>54</v>
      </c>
      <c r="D348" t="s">
        <v>13</v>
      </c>
      <c r="E348" t="s">
        <v>372</v>
      </c>
      <c r="F348" s="1">
        <v>43.76</v>
      </c>
      <c r="G348" s="1">
        <v>0</v>
      </c>
      <c r="H348" s="1">
        <v>0</v>
      </c>
      <c r="I348" s="1">
        <v>0</v>
      </c>
      <c r="J348" s="1">
        <v>43.76</v>
      </c>
      <c r="K348" s="1">
        <f>Tabela1[[#This Row],[$ Imposto ICMS do faturamento]]-Tabela1[[#This Row],[$ ISS]]</f>
        <v>0</v>
      </c>
    </row>
    <row r="349" spans="1:11" x14ac:dyDescent="0.25">
      <c r="A349" t="s">
        <v>353</v>
      </c>
      <c r="B349" t="s">
        <v>53</v>
      </c>
      <c r="C349" t="s">
        <v>54</v>
      </c>
      <c r="D349" t="s">
        <v>13</v>
      </c>
      <c r="E349" t="s">
        <v>373</v>
      </c>
      <c r="F349" s="1">
        <v>43.76</v>
      </c>
      <c r="G349" s="1">
        <v>0</v>
      </c>
      <c r="H349" s="1">
        <v>0</v>
      </c>
      <c r="I349" s="1">
        <v>0</v>
      </c>
      <c r="J349" s="1">
        <v>43.76</v>
      </c>
      <c r="K349" s="1">
        <f>Tabela1[[#This Row],[$ Imposto ICMS do faturamento]]-Tabela1[[#This Row],[$ ISS]]</f>
        <v>0</v>
      </c>
    </row>
    <row r="350" spans="1:11" x14ac:dyDescent="0.25">
      <c r="A350" t="s">
        <v>353</v>
      </c>
      <c r="B350" t="s">
        <v>53</v>
      </c>
      <c r="C350" t="s">
        <v>54</v>
      </c>
      <c r="D350" t="s">
        <v>13</v>
      </c>
      <c r="E350" t="s">
        <v>374</v>
      </c>
      <c r="F350" s="1">
        <v>39.840000000000003</v>
      </c>
      <c r="G350" s="1">
        <v>0</v>
      </c>
      <c r="H350" s="1">
        <v>0</v>
      </c>
      <c r="I350" s="1">
        <v>0</v>
      </c>
      <c r="J350" s="1">
        <v>39.840000000000003</v>
      </c>
      <c r="K350" s="1">
        <f>Tabela1[[#This Row],[$ Imposto ICMS do faturamento]]-Tabela1[[#This Row],[$ ISS]]</f>
        <v>0</v>
      </c>
    </row>
    <row r="351" spans="1:11" x14ac:dyDescent="0.25">
      <c r="A351" t="s">
        <v>353</v>
      </c>
      <c r="B351" t="s">
        <v>53</v>
      </c>
      <c r="C351" t="s">
        <v>54</v>
      </c>
      <c r="D351" t="s">
        <v>13</v>
      </c>
      <c r="E351" t="s">
        <v>375</v>
      </c>
      <c r="F351" s="1">
        <v>39.840000000000003</v>
      </c>
      <c r="G351" s="1">
        <v>0</v>
      </c>
      <c r="H351" s="1">
        <v>0</v>
      </c>
      <c r="I351" s="1">
        <v>0</v>
      </c>
      <c r="J351" s="1">
        <v>39.840000000000003</v>
      </c>
      <c r="K351" s="1">
        <f>Tabela1[[#This Row],[$ Imposto ICMS do faturamento]]-Tabela1[[#This Row],[$ ISS]]</f>
        <v>0</v>
      </c>
    </row>
    <row r="352" spans="1:11" x14ac:dyDescent="0.25">
      <c r="A352" t="s">
        <v>353</v>
      </c>
      <c r="B352" t="s">
        <v>53</v>
      </c>
      <c r="C352" t="s">
        <v>54</v>
      </c>
      <c r="D352" t="s">
        <v>13</v>
      </c>
      <c r="E352" t="s">
        <v>376</v>
      </c>
      <c r="F352" s="1">
        <v>43.76</v>
      </c>
      <c r="G352" s="1">
        <v>0</v>
      </c>
      <c r="H352" s="1">
        <v>0</v>
      </c>
      <c r="I352" s="1">
        <v>0</v>
      </c>
      <c r="J352" s="1">
        <v>43.76</v>
      </c>
      <c r="K352" s="1">
        <f>Tabela1[[#This Row],[$ Imposto ICMS do faturamento]]-Tabela1[[#This Row],[$ ISS]]</f>
        <v>0</v>
      </c>
    </row>
    <row r="353" spans="1:11" x14ac:dyDescent="0.25">
      <c r="A353" t="s">
        <v>353</v>
      </c>
      <c r="B353" t="s">
        <v>53</v>
      </c>
      <c r="C353" t="s">
        <v>54</v>
      </c>
      <c r="D353" t="s">
        <v>13</v>
      </c>
      <c r="E353" t="s">
        <v>377</v>
      </c>
      <c r="F353" s="1">
        <v>43.76</v>
      </c>
      <c r="G353" s="1">
        <v>0</v>
      </c>
      <c r="H353" s="1">
        <v>0</v>
      </c>
      <c r="I353" s="1">
        <v>0</v>
      </c>
      <c r="J353" s="1">
        <v>43.76</v>
      </c>
      <c r="K353" s="1">
        <f>Tabela1[[#This Row],[$ Imposto ICMS do faturamento]]-Tabela1[[#This Row],[$ ISS]]</f>
        <v>0</v>
      </c>
    </row>
    <row r="354" spans="1:11" x14ac:dyDescent="0.25">
      <c r="A354" t="s">
        <v>353</v>
      </c>
      <c r="B354" t="s">
        <v>53</v>
      </c>
      <c r="C354" t="s">
        <v>54</v>
      </c>
      <c r="D354" t="s">
        <v>13</v>
      </c>
      <c r="E354" t="s">
        <v>378</v>
      </c>
      <c r="F354" s="1">
        <v>43.76</v>
      </c>
      <c r="G354" s="1">
        <v>0</v>
      </c>
      <c r="H354" s="1">
        <v>0</v>
      </c>
      <c r="I354" s="1">
        <v>0</v>
      </c>
      <c r="J354" s="1">
        <v>43.76</v>
      </c>
      <c r="K354" s="1">
        <f>Tabela1[[#This Row],[$ Imposto ICMS do faturamento]]-Tabela1[[#This Row],[$ ISS]]</f>
        <v>0</v>
      </c>
    </row>
    <row r="355" spans="1:11" x14ac:dyDescent="0.25">
      <c r="A355" t="s">
        <v>353</v>
      </c>
      <c r="B355" t="s">
        <v>53</v>
      </c>
      <c r="C355" t="s">
        <v>54</v>
      </c>
      <c r="D355" t="s">
        <v>13</v>
      </c>
      <c r="E355" t="s">
        <v>379</v>
      </c>
      <c r="F355" s="1">
        <v>43.76</v>
      </c>
      <c r="G355" s="1">
        <v>0</v>
      </c>
      <c r="H355" s="1">
        <v>0</v>
      </c>
      <c r="I355" s="1">
        <v>0</v>
      </c>
      <c r="J355" s="1">
        <v>43.76</v>
      </c>
      <c r="K355" s="1">
        <f>Tabela1[[#This Row],[$ Imposto ICMS do faturamento]]-Tabela1[[#This Row],[$ ISS]]</f>
        <v>0</v>
      </c>
    </row>
    <row r="356" spans="1:11" x14ac:dyDescent="0.25">
      <c r="A356" t="s">
        <v>353</v>
      </c>
      <c r="B356" t="s">
        <v>53</v>
      </c>
      <c r="C356" t="s">
        <v>54</v>
      </c>
      <c r="D356" t="s">
        <v>13</v>
      </c>
      <c r="E356" t="s">
        <v>380</v>
      </c>
      <c r="F356" s="1">
        <v>43.76</v>
      </c>
      <c r="G356" s="1">
        <v>0</v>
      </c>
      <c r="H356" s="1">
        <v>0</v>
      </c>
      <c r="I356" s="1">
        <v>0</v>
      </c>
      <c r="J356" s="1">
        <v>43.76</v>
      </c>
      <c r="K356" s="1">
        <f>Tabela1[[#This Row],[$ Imposto ICMS do faturamento]]-Tabela1[[#This Row],[$ ISS]]</f>
        <v>0</v>
      </c>
    </row>
    <row r="357" spans="1:11" x14ac:dyDescent="0.25">
      <c r="A357" t="s">
        <v>385</v>
      </c>
      <c r="B357" t="s">
        <v>53</v>
      </c>
      <c r="C357" t="s">
        <v>54</v>
      </c>
      <c r="D357" t="s">
        <v>13</v>
      </c>
      <c r="E357" t="s">
        <v>387</v>
      </c>
      <c r="F357" s="1">
        <v>43.76</v>
      </c>
      <c r="G357" s="1">
        <v>0</v>
      </c>
      <c r="H357" s="1">
        <v>0</v>
      </c>
      <c r="I357" s="1">
        <v>0</v>
      </c>
      <c r="J357" s="1">
        <v>43.76</v>
      </c>
      <c r="K357" s="1">
        <f>Tabela1[[#This Row],[$ Imposto ICMS do faturamento]]-Tabela1[[#This Row],[$ ISS]]</f>
        <v>0</v>
      </c>
    </row>
    <row r="358" spans="1:11" x14ac:dyDescent="0.25">
      <c r="A358" t="s">
        <v>385</v>
      </c>
      <c r="B358" t="s">
        <v>53</v>
      </c>
      <c r="C358" t="s">
        <v>54</v>
      </c>
      <c r="D358" t="s">
        <v>13</v>
      </c>
      <c r="E358" t="s">
        <v>388</v>
      </c>
      <c r="F358" s="1">
        <v>43.76</v>
      </c>
      <c r="G358" s="1">
        <v>0</v>
      </c>
      <c r="H358" s="1">
        <v>0</v>
      </c>
      <c r="I358" s="1">
        <v>0</v>
      </c>
      <c r="J358" s="1">
        <v>43.76</v>
      </c>
      <c r="K358" s="1">
        <f>Tabela1[[#This Row],[$ Imposto ICMS do faturamento]]-Tabela1[[#This Row],[$ ISS]]</f>
        <v>0</v>
      </c>
    </row>
    <row r="359" spans="1:11" x14ac:dyDescent="0.25">
      <c r="A359" t="s">
        <v>385</v>
      </c>
      <c r="B359" t="s">
        <v>53</v>
      </c>
      <c r="C359" t="s">
        <v>54</v>
      </c>
      <c r="D359" t="s">
        <v>13</v>
      </c>
      <c r="E359" t="s">
        <v>389</v>
      </c>
      <c r="F359" s="1">
        <v>39.840000000000003</v>
      </c>
      <c r="G359" s="1">
        <v>0</v>
      </c>
      <c r="H359" s="1">
        <v>0</v>
      </c>
      <c r="I359" s="1">
        <v>0</v>
      </c>
      <c r="J359" s="1">
        <v>39.840000000000003</v>
      </c>
      <c r="K359" s="1">
        <f>Tabela1[[#This Row],[$ Imposto ICMS do faturamento]]-Tabela1[[#This Row],[$ ISS]]</f>
        <v>0</v>
      </c>
    </row>
    <row r="360" spans="1:11" x14ac:dyDescent="0.25">
      <c r="A360" t="s">
        <v>385</v>
      </c>
      <c r="B360" t="s">
        <v>53</v>
      </c>
      <c r="C360" t="s">
        <v>54</v>
      </c>
      <c r="D360" t="s">
        <v>13</v>
      </c>
      <c r="E360" t="s">
        <v>390</v>
      </c>
      <c r="F360" s="1">
        <v>39.840000000000003</v>
      </c>
      <c r="G360" s="1">
        <v>0</v>
      </c>
      <c r="H360" s="1">
        <v>0</v>
      </c>
      <c r="I360" s="1">
        <v>0</v>
      </c>
      <c r="J360" s="1">
        <v>39.840000000000003</v>
      </c>
      <c r="K360" s="1">
        <f>Tabela1[[#This Row],[$ Imposto ICMS do faturamento]]-Tabela1[[#This Row],[$ ISS]]</f>
        <v>0</v>
      </c>
    </row>
    <row r="361" spans="1:11" x14ac:dyDescent="0.25">
      <c r="A361" t="s">
        <v>385</v>
      </c>
      <c r="B361" t="s">
        <v>53</v>
      </c>
      <c r="C361" t="s">
        <v>54</v>
      </c>
      <c r="D361" t="s">
        <v>13</v>
      </c>
      <c r="E361" t="s">
        <v>391</v>
      </c>
      <c r="F361" s="1">
        <v>39.840000000000003</v>
      </c>
      <c r="G361" s="1">
        <v>0</v>
      </c>
      <c r="H361" s="1">
        <v>0</v>
      </c>
      <c r="I361" s="1">
        <v>0</v>
      </c>
      <c r="J361" s="1">
        <v>39.840000000000003</v>
      </c>
      <c r="K361" s="1">
        <f>Tabela1[[#This Row],[$ Imposto ICMS do faturamento]]-Tabela1[[#This Row],[$ ISS]]</f>
        <v>0</v>
      </c>
    </row>
    <row r="362" spans="1:11" x14ac:dyDescent="0.25">
      <c r="A362" t="s">
        <v>385</v>
      </c>
      <c r="B362" t="s">
        <v>53</v>
      </c>
      <c r="C362" t="s">
        <v>54</v>
      </c>
      <c r="D362" t="s">
        <v>13</v>
      </c>
      <c r="E362" t="s">
        <v>392</v>
      </c>
      <c r="F362" s="1">
        <v>39.840000000000003</v>
      </c>
      <c r="G362" s="1">
        <v>0</v>
      </c>
      <c r="H362" s="1">
        <v>0</v>
      </c>
      <c r="I362" s="1">
        <v>0</v>
      </c>
      <c r="J362" s="1">
        <v>39.840000000000003</v>
      </c>
      <c r="K362" s="1">
        <f>Tabela1[[#This Row],[$ Imposto ICMS do faturamento]]-Tabela1[[#This Row],[$ ISS]]</f>
        <v>0</v>
      </c>
    </row>
    <row r="363" spans="1:11" x14ac:dyDescent="0.25">
      <c r="A363" t="s">
        <v>385</v>
      </c>
      <c r="B363" t="s">
        <v>53</v>
      </c>
      <c r="C363" t="s">
        <v>54</v>
      </c>
      <c r="D363" t="s">
        <v>13</v>
      </c>
      <c r="E363" t="s">
        <v>393</v>
      </c>
      <c r="F363" s="1">
        <v>43.76</v>
      </c>
      <c r="G363" s="1">
        <v>0</v>
      </c>
      <c r="H363" s="1">
        <v>0</v>
      </c>
      <c r="I363" s="1">
        <v>0</v>
      </c>
      <c r="J363" s="1">
        <v>43.76</v>
      </c>
      <c r="K363" s="1">
        <f>Tabela1[[#This Row],[$ Imposto ICMS do faturamento]]-Tabela1[[#This Row],[$ ISS]]</f>
        <v>0</v>
      </c>
    </row>
    <row r="364" spans="1:11" x14ac:dyDescent="0.25">
      <c r="A364" t="s">
        <v>385</v>
      </c>
      <c r="B364" t="s">
        <v>53</v>
      </c>
      <c r="C364" t="s">
        <v>54</v>
      </c>
      <c r="D364" t="s">
        <v>13</v>
      </c>
      <c r="E364" t="s">
        <v>394</v>
      </c>
      <c r="F364" s="1">
        <v>43.76</v>
      </c>
      <c r="G364" s="1">
        <v>0</v>
      </c>
      <c r="H364" s="1">
        <v>0</v>
      </c>
      <c r="I364" s="1">
        <v>0</v>
      </c>
      <c r="J364" s="1">
        <v>43.76</v>
      </c>
      <c r="K364" s="1">
        <f>Tabela1[[#This Row],[$ Imposto ICMS do faturamento]]-Tabela1[[#This Row],[$ ISS]]</f>
        <v>0</v>
      </c>
    </row>
    <row r="365" spans="1:11" x14ac:dyDescent="0.25">
      <c r="A365" t="s">
        <v>385</v>
      </c>
      <c r="B365" t="s">
        <v>53</v>
      </c>
      <c r="C365" t="s">
        <v>54</v>
      </c>
      <c r="D365" t="s">
        <v>13</v>
      </c>
      <c r="E365" t="s">
        <v>395</v>
      </c>
      <c r="F365" s="1">
        <v>43.76</v>
      </c>
      <c r="G365" s="1">
        <v>0</v>
      </c>
      <c r="H365" s="1">
        <v>0</v>
      </c>
      <c r="I365" s="1">
        <v>0</v>
      </c>
      <c r="J365" s="1">
        <v>43.76</v>
      </c>
      <c r="K365" s="1">
        <f>Tabela1[[#This Row],[$ Imposto ICMS do faturamento]]-Tabela1[[#This Row],[$ ISS]]</f>
        <v>0</v>
      </c>
    </row>
    <row r="366" spans="1:11" x14ac:dyDescent="0.25">
      <c r="A366" t="s">
        <v>385</v>
      </c>
      <c r="B366" t="s">
        <v>53</v>
      </c>
      <c r="C366" t="s">
        <v>54</v>
      </c>
      <c r="D366" t="s">
        <v>13</v>
      </c>
      <c r="E366" t="s">
        <v>396</v>
      </c>
      <c r="F366" s="1">
        <v>43.76</v>
      </c>
      <c r="G366" s="1">
        <v>0</v>
      </c>
      <c r="H366" s="1">
        <v>0</v>
      </c>
      <c r="I366" s="1">
        <v>0</v>
      </c>
      <c r="J366" s="1">
        <v>43.76</v>
      </c>
      <c r="K366" s="1">
        <f>Tabela1[[#This Row],[$ Imposto ICMS do faturamento]]-Tabela1[[#This Row],[$ ISS]]</f>
        <v>0</v>
      </c>
    </row>
    <row r="367" spans="1:11" x14ac:dyDescent="0.25">
      <c r="A367" t="s">
        <v>385</v>
      </c>
      <c r="B367" t="s">
        <v>53</v>
      </c>
      <c r="C367" t="s">
        <v>54</v>
      </c>
      <c r="D367" t="s">
        <v>13</v>
      </c>
      <c r="E367" t="s">
        <v>397</v>
      </c>
      <c r="F367" s="1">
        <v>39.840000000000003</v>
      </c>
      <c r="G367" s="1">
        <v>0</v>
      </c>
      <c r="H367" s="1">
        <v>0</v>
      </c>
      <c r="I367" s="1">
        <v>0</v>
      </c>
      <c r="J367" s="1">
        <v>39.840000000000003</v>
      </c>
      <c r="K367" s="1">
        <f>Tabela1[[#This Row],[$ Imposto ICMS do faturamento]]-Tabela1[[#This Row],[$ ISS]]</f>
        <v>0</v>
      </c>
    </row>
    <row r="368" spans="1:11" x14ac:dyDescent="0.25">
      <c r="A368" t="s">
        <v>385</v>
      </c>
      <c r="B368" t="s">
        <v>53</v>
      </c>
      <c r="C368" t="s">
        <v>54</v>
      </c>
      <c r="D368" t="s">
        <v>13</v>
      </c>
      <c r="E368" t="s">
        <v>398</v>
      </c>
      <c r="F368" s="1">
        <v>43.76</v>
      </c>
      <c r="G368" s="1">
        <v>0</v>
      </c>
      <c r="H368" s="1">
        <v>0</v>
      </c>
      <c r="I368" s="1">
        <v>0</v>
      </c>
      <c r="J368" s="1">
        <v>43.76</v>
      </c>
      <c r="K368" s="1">
        <f>Tabela1[[#This Row],[$ Imposto ICMS do faturamento]]-Tabela1[[#This Row],[$ ISS]]</f>
        <v>0</v>
      </c>
    </row>
    <row r="369" spans="1:11" x14ac:dyDescent="0.25">
      <c r="A369" t="s">
        <v>385</v>
      </c>
      <c r="B369" t="s">
        <v>53</v>
      </c>
      <c r="C369" t="s">
        <v>54</v>
      </c>
      <c r="D369" t="s">
        <v>13</v>
      </c>
      <c r="E369" t="s">
        <v>399</v>
      </c>
      <c r="F369" s="1">
        <v>43.76</v>
      </c>
      <c r="G369" s="1">
        <v>0</v>
      </c>
      <c r="H369" s="1">
        <v>0</v>
      </c>
      <c r="I369" s="1">
        <v>0</v>
      </c>
      <c r="J369" s="1">
        <v>43.76</v>
      </c>
      <c r="K369" s="1">
        <f>Tabela1[[#This Row],[$ Imposto ICMS do faturamento]]-Tabela1[[#This Row],[$ ISS]]</f>
        <v>0</v>
      </c>
    </row>
    <row r="370" spans="1:11" x14ac:dyDescent="0.25">
      <c r="A370" t="s">
        <v>385</v>
      </c>
      <c r="B370" t="s">
        <v>53</v>
      </c>
      <c r="C370" t="s">
        <v>54</v>
      </c>
      <c r="D370" t="s">
        <v>13</v>
      </c>
      <c r="E370" t="s">
        <v>400</v>
      </c>
      <c r="F370" s="1">
        <v>43.76</v>
      </c>
      <c r="G370" s="1">
        <v>0</v>
      </c>
      <c r="H370" s="1">
        <v>0</v>
      </c>
      <c r="I370" s="1">
        <v>0</v>
      </c>
      <c r="J370" s="1">
        <v>43.76</v>
      </c>
      <c r="K370" s="1">
        <f>Tabela1[[#This Row],[$ Imposto ICMS do faturamento]]-Tabela1[[#This Row],[$ ISS]]</f>
        <v>0</v>
      </c>
    </row>
    <row r="371" spans="1:11" x14ac:dyDescent="0.25">
      <c r="A371" t="s">
        <v>385</v>
      </c>
      <c r="B371" t="s">
        <v>53</v>
      </c>
      <c r="C371" t="s">
        <v>54</v>
      </c>
      <c r="D371" t="s">
        <v>13</v>
      </c>
      <c r="E371" t="s">
        <v>401</v>
      </c>
      <c r="F371" s="1">
        <v>43.76</v>
      </c>
      <c r="G371" s="1">
        <v>0</v>
      </c>
      <c r="H371" s="1">
        <v>0</v>
      </c>
      <c r="I371" s="1">
        <v>0</v>
      </c>
      <c r="J371" s="1">
        <v>43.76</v>
      </c>
      <c r="K371" s="1">
        <f>Tabela1[[#This Row],[$ Imposto ICMS do faturamento]]-Tabela1[[#This Row],[$ ISS]]</f>
        <v>0</v>
      </c>
    </row>
    <row r="372" spans="1:11" x14ac:dyDescent="0.25">
      <c r="A372" t="s">
        <v>385</v>
      </c>
      <c r="B372" t="s">
        <v>53</v>
      </c>
      <c r="C372" t="s">
        <v>54</v>
      </c>
      <c r="D372" t="s">
        <v>13</v>
      </c>
      <c r="E372" t="s">
        <v>402</v>
      </c>
      <c r="F372" s="1">
        <v>43.76</v>
      </c>
      <c r="G372" s="1">
        <v>0</v>
      </c>
      <c r="H372" s="1">
        <v>0</v>
      </c>
      <c r="I372" s="1">
        <v>0</v>
      </c>
      <c r="J372" s="1">
        <v>43.76</v>
      </c>
      <c r="K372" s="1">
        <f>Tabela1[[#This Row],[$ Imposto ICMS do faturamento]]-Tabela1[[#This Row],[$ ISS]]</f>
        <v>0</v>
      </c>
    </row>
    <row r="373" spans="1:11" x14ac:dyDescent="0.25">
      <c r="A373" t="s">
        <v>385</v>
      </c>
      <c r="B373" t="s">
        <v>53</v>
      </c>
      <c r="C373" t="s">
        <v>54</v>
      </c>
      <c r="D373" t="s">
        <v>13</v>
      </c>
      <c r="E373" t="s">
        <v>403</v>
      </c>
      <c r="F373" s="1">
        <v>43.76</v>
      </c>
      <c r="G373" s="1">
        <v>0</v>
      </c>
      <c r="H373" s="1">
        <v>0</v>
      </c>
      <c r="I373" s="1">
        <v>0</v>
      </c>
      <c r="J373" s="1">
        <v>43.76</v>
      </c>
      <c r="K373" s="1">
        <f>Tabela1[[#This Row],[$ Imposto ICMS do faturamento]]-Tabela1[[#This Row],[$ ISS]]</f>
        <v>0</v>
      </c>
    </row>
    <row r="374" spans="1:11" x14ac:dyDescent="0.25">
      <c r="A374" t="s">
        <v>385</v>
      </c>
      <c r="B374" t="s">
        <v>53</v>
      </c>
      <c r="C374" t="s">
        <v>54</v>
      </c>
      <c r="D374" t="s">
        <v>13</v>
      </c>
      <c r="E374" t="s">
        <v>404</v>
      </c>
      <c r="F374" s="1">
        <v>43.76</v>
      </c>
      <c r="G374" s="1">
        <v>0</v>
      </c>
      <c r="H374" s="1">
        <v>0</v>
      </c>
      <c r="I374" s="1">
        <v>0</v>
      </c>
      <c r="J374" s="1">
        <v>43.76</v>
      </c>
      <c r="K374" s="1">
        <f>Tabela1[[#This Row],[$ Imposto ICMS do faturamento]]-Tabela1[[#This Row],[$ ISS]]</f>
        <v>0</v>
      </c>
    </row>
    <row r="375" spans="1:11" x14ac:dyDescent="0.25">
      <c r="A375" t="s">
        <v>385</v>
      </c>
      <c r="B375" t="s">
        <v>53</v>
      </c>
      <c r="C375" t="s">
        <v>54</v>
      </c>
      <c r="D375" t="s">
        <v>13</v>
      </c>
      <c r="E375" t="s">
        <v>405</v>
      </c>
      <c r="F375" s="1">
        <v>39.840000000000003</v>
      </c>
      <c r="G375" s="1">
        <v>0</v>
      </c>
      <c r="H375" s="1">
        <v>0</v>
      </c>
      <c r="I375" s="1">
        <v>0</v>
      </c>
      <c r="J375" s="1">
        <v>39.840000000000003</v>
      </c>
      <c r="K375" s="1">
        <f>Tabela1[[#This Row],[$ Imposto ICMS do faturamento]]-Tabela1[[#This Row],[$ ISS]]</f>
        <v>0</v>
      </c>
    </row>
    <row r="376" spans="1:11" x14ac:dyDescent="0.25">
      <c r="A376" t="s">
        <v>385</v>
      </c>
      <c r="B376" t="s">
        <v>53</v>
      </c>
      <c r="C376" t="s">
        <v>54</v>
      </c>
      <c r="D376" t="s">
        <v>13</v>
      </c>
      <c r="E376" t="s">
        <v>406</v>
      </c>
      <c r="F376" s="1">
        <v>43.76</v>
      </c>
      <c r="G376" s="1">
        <v>0</v>
      </c>
      <c r="H376" s="1">
        <v>0</v>
      </c>
      <c r="I376" s="1">
        <v>0</v>
      </c>
      <c r="J376" s="1">
        <v>43.76</v>
      </c>
      <c r="K376" s="1">
        <f>Tabela1[[#This Row],[$ Imposto ICMS do faturamento]]-Tabela1[[#This Row],[$ ISS]]</f>
        <v>0</v>
      </c>
    </row>
    <row r="377" spans="1:11" x14ac:dyDescent="0.25">
      <c r="A377" t="s">
        <v>385</v>
      </c>
      <c r="B377" t="s">
        <v>53</v>
      </c>
      <c r="C377" t="s">
        <v>54</v>
      </c>
      <c r="D377" t="s">
        <v>13</v>
      </c>
      <c r="E377" t="s">
        <v>407</v>
      </c>
      <c r="F377" s="1">
        <v>43.76</v>
      </c>
      <c r="G377" s="1">
        <v>0</v>
      </c>
      <c r="H377" s="1">
        <v>0</v>
      </c>
      <c r="I377" s="1">
        <v>0</v>
      </c>
      <c r="J377" s="1">
        <v>43.76</v>
      </c>
      <c r="K377" s="1">
        <f>Tabela1[[#This Row],[$ Imposto ICMS do faturamento]]-Tabela1[[#This Row],[$ ISS]]</f>
        <v>0</v>
      </c>
    </row>
    <row r="378" spans="1:11" x14ac:dyDescent="0.25">
      <c r="A378" t="s">
        <v>385</v>
      </c>
      <c r="B378" t="s">
        <v>53</v>
      </c>
      <c r="C378" t="s">
        <v>54</v>
      </c>
      <c r="D378" t="s">
        <v>13</v>
      </c>
      <c r="E378" t="s">
        <v>408</v>
      </c>
      <c r="F378" s="1">
        <v>43.76</v>
      </c>
      <c r="G378" s="1">
        <v>0</v>
      </c>
      <c r="H378" s="1">
        <v>0</v>
      </c>
      <c r="I378" s="1">
        <v>0</v>
      </c>
      <c r="J378" s="1">
        <v>43.76</v>
      </c>
      <c r="K378" s="1">
        <f>Tabela1[[#This Row],[$ Imposto ICMS do faturamento]]-Tabela1[[#This Row],[$ ISS]]</f>
        <v>0</v>
      </c>
    </row>
    <row r="379" spans="1:11" x14ac:dyDescent="0.25">
      <c r="A379" t="s">
        <v>385</v>
      </c>
      <c r="B379" t="s">
        <v>90</v>
      </c>
      <c r="C379" t="s">
        <v>12</v>
      </c>
      <c r="D379" t="s">
        <v>13</v>
      </c>
      <c r="E379" t="s">
        <v>415</v>
      </c>
      <c r="F379" s="1">
        <v>62.09</v>
      </c>
      <c r="G379" s="1">
        <v>0</v>
      </c>
      <c r="H379" s="1">
        <v>0</v>
      </c>
      <c r="I379" s="1">
        <v>0</v>
      </c>
      <c r="J379" s="1">
        <v>62.09</v>
      </c>
      <c r="K379" s="1">
        <f>Tabela1[[#This Row],[$ Imposto ICMS do faturamento]]-Tabela1[[#This Row],[$ ISS]]</f>
        <v>0</v>
      </c>
    </row>
    <row r="380" spans="1:11" x14ac:dyDescent="0.25">
      <c r="A380" t="s">
        <v>385</v>
      </c>
      <c r="B380" t="s">
        <v>11</v>
      </c>
      <c r="C380" t="s">
        <v>24</v>
      </c>
      <c r="D380" t="s">
        <v>13</v>
      </c>
      <c r="E380" t="s">
        <v>386</v>
      </c>
      <c r="F380" s="1">
        <v>43.27</v>
      </c>
      <c r="G380" s="1">
        <v>0</v>
      </c>
      <c r="H380" s="1">
        <v>0</v>
      </c>
      <c r="I380" s="1">
        <v>0</v>
      </c>
      <c r="J380" s="1">
        <v>43.27</v>
      </c>
      <c r="K380" s="1">
        <f>Tabela1[[#This Row],[$ Imposto ICMS do faturamento]]-Tabela1[[#This Row],[$ ISS]]</f>
        <v>0</v>
      </c>
    </row>
    <row r="381" spans="1:11" x14ac:dyDescent="0.25">
      <c r="A381" t="s">
        <v>385</v>
      </c>
      <c r="B381" t="s">
        <v>90</v>
      </c>
      <c r="C381" t="s">
        <v>12</v>
      </c>
      <c r="D381" t="s">
        <v>13</v>
      </c>
      <c r="E381" t="s">
        <v>416</v>
      </c>
      <c r="F381" s="1">
        <v>76.58</v>
      </c>
      <c r="G381" s="1">
        <v>0</v>
      </c>
      <c r="H381" s="1">
        <v>0</v>
      </c>
      <c r="I381" s="1">
        <v>0</v>
      </c>
      <c r="J381" s="1">
        <v>76.58</v>
      </c>
      <c r="K381" s="1">
        <f>Tabela1[[#This Row],[$ Imposto ICMS do faturamento]]-Tabela1[[#This Row],[$ ISS]]</f>
        <v>0</v>
      </c>
    </row>
    <row r="382" spans="1:11" x14ac:dyDescent="0.25">
      <c r="A382" t="s">
        <v>385</v>
      </c>
      <c r="B382" t="s">
        <v>90</v>
      </c>
      <c r="C382" t="s">
        <v>12</v>
      </c>
      <c r="D382" t="s">
        <v>13</v>
      </c>
      <c r="E382" t="s">
        <v>417</v>
      </c>
      <c r="F382" s="1">
        <v>76.58</v>
      </c>
      <c r="G382" s="1">
        <v>0</v>
      </c>
      <c r="H382" s="1">
        <v>0</v>
      </c>
      <c r="I382" s="1">
        <v>0</v>
      </c>
      <c r="J382" s="1">
        <v>76.58</v>
      </c>
      <c r="K382" s="1">
        <f>Tabela1[[#This Row],[$ Imposto ICMS do faturamento]]-Tabela1[[#This Row],[$ ISS]]</f>
        <v>0</v>
      </c>
    </row>
    <row r="383" spans="1:11" x14ac:dyDescent="0.25">
      <c r="A383" t="s">
        <v>385</v>
      </c>
      <c r="B383" t="s">
        <v>90</v>
      </c>
      <c r="C383" t="s">
        <v>12</v>
      </c>
      <c r="D383" t="s">
        <v>13</v>
      </c>
      <c r="E383" t="s">
        <v>418</v>
      </c>
      <c r="F383" s="1">
        <v>76.58</v>
      </c>
      <c r="G383" s="1">
        <v>0</v>
      </c>
      <c r="H383" s="1">
        <v>0</v>
      </c>
      <c r="I383" s="1">
        <v>0</v>
      </c>
      <c r="J383" s="1">
        <v>76.58</v>
      </c>
      <c r="K383" s="1">
        <f>Tabela1[[#This Row],[$ Imposto ICMS do faturamento]]-Tabela1[[#This Row],[$ ISS]]</f>
        <v>0</v>
      </c>
    </row>
    <row r="384" spans="1:11" x14ac:dyDescent="0.25">
      <c r="A384" t="s">
        <v>385</v>
      </c>
      <c r="B384" t="s">
        <v>53</v>
      </c>
      <c r="C384" t="s">
        <v>54</v>
      </c>
      <c r="D384" t="s">
        <v>13</v>
      </c>
      <c r="E384" t="s">
        <v>409</v>
      </c>
      <c r="F384" s="1">
        <v>43.76</v>
      </c>
      <c r="G384" s="1">
        <v>0</v>
      </c>
      <c r="H384" s="1">
        <v>0</v>
      </c>
      <c r="I384" s="1">
        <v>0</v>
      </c>
      <c r="J384" s="1">
        <v>43.76</v>
      </c>
      <c r="K384" s="1">
        <f>Tabela1[[#This Row],[$ Imposto ICMS do faturamento]]-Tabela1[[#This Row],[$ ISS]]</f>
        <v>0</v>
      </c>
    </row>
    <row r="385" spans="1:11" x14ac:dyDescent="0.25">
      <c r="A385" t="s">
        <v>385</v>
      </c>
      <c r="B385" t="s">
        <v>53</v>
      </c>
      <c r="C385" t="s">
        <v>54</v>
      </c>
      <c r="D385" t="s">
        <v>13</v>
      </c>
      <c r="E385" t="s">
        <v>410</v>
      </c>
      <c r="F385" s="1">
        <v>43.76</v>
      </c>
      <c r="G385" s="1">
        <v>0</v>
      </c>
      <c r="H385" s="1">
        <v>0</v>
      </c>
      <c r="I385" s="1">
        <v>0</v>
      </c>
      <c r="J385" s="1">
        <v>43.76</v>
      </c>
      <c r="K385" s="1">
        <f>Tabela1[[#This Row],[$ Imposto ICMS do faturamento]]-Tabela1[[#This Row],[$ ISS]]</f>
        <v>0</v>
      </c>
    </row>
    <row r="386" spans="1:11" x14ac:dyDescent="0.25">
      <c r="A386" t="s">
        <v>385</v>
      </c>
      <c r="B386" t="s">
        <v>53</v>
      </c>
      <c r="C386" t="s">
        <v>54</v>
      </c>
      <c r="D386" t="s">
        <v>13</v>
      </c>
      <c r="E386" t="s">
        <v>411</v>
      </c>
      <c r="F386" s="1">
        <v>43.76</v>
      </c>
      <c r="G386" s="1">
        <v>0</v>
      </c>
      <c r="H386" s="1">
        <v>0</v>
      </c>
      <c r="I386" s="1">
        <v>0</v>
      </c>
      <c r="J386" s="1">
        <v>43.76</v>
      </c>
      <c r="K386" s="1">
        <f>Tabela1[[#This Row],[$ Imposto ICMS do faturamento]]-Tabela1[[#This Row],[$ ISS]]</f>
        <v>0</v>
      </c>
    </row>
    <row r="387" spans="1:11" x14ac:dyDescent="0.25">
      <c r="A387" t="s">
        <v>385</v>
      </c>
      <c r="B387" t="s">
        <v>53</v>
      </c>
      <c r="C387" t="s">
        <v>54</v>
      </c>
      <c r="D387" t="s">
        <v>13</v>
      </c>
      <c r="E387" t="s">
        <v>412</v>
      </c>
      <c r="F387" s="1">
        <v>43.76</v>
      </c>
      <c r="G387" s="1">
        <v>0</v>
      </c>
      <c r="H387" s="1">
        <v>0</v>
      </c>
      <c r="I387" s="1">
        <v>0</v>
      </c>
      <c r="J387" s="1">
        <v>43.76</v>
      </c>
      <c r="K387" s="1">
        <f>Tabela1[[#This Row],[$ Imposto ICMS do faturamento]]-Tabela1[[#This Row],[$ ISS]]</f>
        <v>0</v>
      </c>
    </row>
    <row r="388" spans="1:11" x14ac:dyDescent="0.25">
      <c r="A388" t="s">
        <v>385</v>
      </c>
      <c r="B388" t="s">
        <v>53</v>
      </c>
      <c r="C388" t="s">
        <v>54</v>
      </c>
      <c r="D388" t="s">
        <v>13</v>
      </c>
      <c r="E388" t="s">
        <v>413</v>
      </c>
      <c r="F388" s="1">
        <v>43.76</v>
      </c>
      <c r="G388" s="1">
        <v>0</v>
      </c>
      <c r="H388" s="1">
        <v>0</v>
      </c>
      <c r="I388" s="1">
        <v>0</v>
      </c>
      <c r="J388" s="1">
        <v>43.76</v>
      </c>
      <c r="K388" s="1">
        <f>Tabela1[[#This Row],[$ Imposto ICMS do faturamento]]-Tabela1[[#This Row],[$ ISS]]</f>
        <v>0</v>
      </c>
    </row>
    <row r="389" spans="1:11" x14ac:dyDescent="0.25">
      <c r="A389" t="s">
        <v>385</v>
      </c>
      <c r="B389" t="s">
        <v>53</v>
      </c>
      <c r="C389" t="s">
        <v>54</v>
      </c>
      <c r="D389" t="s">
        <v>13</v>
      </c>
      <c r="E389" t="s">
        <v>414</v>
      </c>
      <c r="F389" s="1">
        <v>39.840000000000003</v>
      </c>
      <c r="G389" s="1">
        <v>0</v>
      </c>
      <c r="H389" s="1">
        <v>0</v>
      </c>
      <c r="I389" s="1">
        <v>0</v>
      </c>
      <c r="J389" s="1">
        <v>39.840000000000003</v>
      </c>
      <c r="K389" s="1">
        <f>Tabela1[[#This Row],[$ Imposto ICMS do faturamento]]-Tabela1[[#This Row],[$ ISS]]</f>
        <v>0</v>
      </c>
    </row>
    <row r="390" spans="1:11" x14ac:dyDescent="0.25">
      <c r="A390" t="s">
        <v>419</v>
      </c>
      <c r="B390" t="s">
        <v>53</v>
      </c>
      <c r="C390" t="s">
        <v>157</v>
      </c>
      <c r="D390" t="s">
        <v>13</v>
      </c>
      <c r="E390" t="s">
        <v>469</v>
      </c>
      <c r="F390" s="1">
        <v>43.76</v>
      </c>
      <c r="G390" s="1">
        <v>0</v>
      </c>
      <c r="H390" s="1">
        <v>0</v>
      </c>
      <c r="I390" s="1">
        <v>0</v>
      </c>
      <c r="J390" s="1">
        <v>43.76</v>
      </c>
      <c r="K390" s="1">
        <f>Tabela1[[#This Row],[$ Imposto ICMS do faturamento]]-Tabela1[[#This Row],[$ ISS]]</f>
        <v>0</v>
      </c>
    </row>
    <row r="391" spans="1:11" x14ac:dyDescent="0.25">
      <c r="A391" t="s">
        <v>419</v>
      </c>
      <c r="B391" t="s">
        <v>53</v>
      </c>
      <c r="C391" t="s">
        <v>157</v>
      </c>
      <c r="D391" t="s">
        <v>13</v>
      </c>
      <c r="E391" t="s">
        <v>470</v>
      </c>
      <c r="F391" s="1">
        <v>43.76</v>
      </c>
      <c r="G391" s="1">
        <v>0</v>
      </c>
      <c r="H391" s="1">
        <v>0</v>
      </c>
      <c r="I391" s="1">
        <v>0</v>
      </c>
      <c r="J391" s="1">
        <v>43.76</v>
      </c>
      <c r="K391" s="1">
        <f>Tabela1[[#This Row],[$ Imposto ICMS do faturamento]]-Tabela1[[#This Row],[$ ISS]]</f>
        <v>0</v>
      </c>
    </row>
    <row r="392" spans="1:11" x14ac:dyDescent="0.25">
      <c r="A392" t="s">
        <v>419</v>
      </c>
      <c r="B392" t="s">
        <v>53</v>
      </c>
      <c r="C392" t="s">
        <v>54</v>
      </c>
      <c r="D392" t="s">
        <v>13</v>
      </c>
      <c r="E392" t="s">
        <v>421</v>
      </c>
      <c r="F392" s="1">
        <v>53.4</v>
      </c>
      <c r="G392" s="1">
        <v>0</v>
      </c>
      <c r="H392" s="1">
        <v>0</v>
      </c>
      <c r="I392" s="1">
        <v>0</v>
      </c>
      <c r="J392" s="1">
        <v>53.4</v>
      </c>
      <c r="K392" s="1">
        <f>Tabela1[[#This Row],[$ Imposto ICMS do faturamento]]-Tabela1[[#This Row],[$ ISS]]</f>
        <v>0</v>
      </c>
    </row>
    <row r="393" spans="1:11" x14ac:dyDescent="0.25">
      <c r="A393" t="s">
        <v>419</v>
      </c>
      <c r="B393" t="s">
        <v>53</v>
      </c>
      <c r="C393" t="s">
        <v>54</v>
      </c>
      <c r="D393" t="s">
        <v>13</v>
      </c>
      <c r="E393" t="s">
        <v>422</v>
      </c>
      <c r="F393" s="1">
        <v>53.4</v>
      </c>
      <c r="G393" s="1">
        <v>0</v>
      </c>
      <c r="H393" s="1">
        <v>0</v>
      </c>
      <c r="I393" s="1">
        <v>0</v>
      </c>
      <c r="J393" s="1">
        <v>53.4</v>
      </c>
      <c r="K393" s="1">
        <f>Tabela1[[#This Row],[$ Imposto ICMS do faturamento]]-Tabela1[[#This Row],[$ ISS]]</f>
        <v>0</v>
      </c>
    </row>
    <row r="394" spans="1:11" x14ac:dyDescent="0.25">
      <c r="A394" t="s">
        <v>419</v>
      </c>
      <c r="B394" t="s">
        <v>53</v>
      </c>
      <c r="C394" t="s">
        <v>54</v>
      </c>
      <c r="D394" t="s">
        <v>13</v>
      </c>
      <c r="E394" t="s">
        <v>423</v>
      </c>
      <c r="F394" s="1">
        <v>53.4</v>
      </c>
      <c r="G394" s="1">
        <v>0</v>
      </c>
      <c r="H394" s="1">
        <v>0</v>
      </c>
      <c r="I394" s="1">
        <v>0</v>
      </c>
      <c r="J394" s="1">
        <v>53.4</v>
      </c>
      <c r="K394" s="1">
        <f>Tabela1[[#This Row],[$ Imposto ICMS do faturamento]]-Tabela1[[#This Row],[$ ISS]]</f>
        <v>0</v>
      </c>
    </row>
    <row r="395" spans="1:11" x14ac:dyDescent="0.25">
      <c r="A395" t="s">
        <v>419</v>
      </c>
      <c r="B395" t="s">
        <v>53</v>
      </c>
      <c r="C395" t="s">
        <v>54</v>
      </c>
      <c r="D395" t="s">
        <v>13</v>
      </c>
      <c r="E395" t="s">
        <v>424</v>
      </c>
      <c r="F395" s="1">
        <v>53.4</v>
      </c>
      <c r="G395" s="1">
        <v>0</v>
      </c>
      <c r="H395" s="1">
        <v>0</v>
      </c>
      <c r="I395" s="1">
        <v>0</v>
      </c>
      <c r="J395" s="1">
        <v>53.4</v>
      </c>
      <c r="K395" s="1">
        <f>Tabela1[[#This Row],[$ Imposto ICMS do faturamento]]-Tabela1[[#This Row],[$ ISS]]</f>
        <v>0</v>
      </c>
    </row>
    <row r="396" spans="1:11" x14ac:dyDescent="0.25">
      <c r="A396" t="s">
        <v>419</v>
      </c>
      <c r="B396" t="s">
        <v>53</v>
      </c>
      <c r="C396" t="s">
        <v>54</v>
      </c>
      <c r="D396" t="s">
        <v>13</v>
      </c>
      <c r="E396" t="s">
        <v>425</v>
      </c>
      <c r="F396" s="1">
        <v>53.4</v>
      </c>
      <c r="G396" s="1">
        <v>0</v>
      </c>
      <c r="H396" s="1">
        <v>0</v>
      </c>
      <c r="I396" s="1">
        <v>0</v>
      </c>
      <c r="J396" s="1">
        <v>53.4</v>
      </c>
      <c r="K396" s="1">
        <f>Tabela1[[#This Row],[$ Imposto ICMS do faturamento]]-Tabela1[[#This Row],[$ ISS]]</f>
        <v>0</v>
      </c>
    </row>
    <row r="397" spans="1:11" x14ac:dyDescent="0.25">
      <c r="A397" t="s">
        <v>419</v>
      </c>
      <c r="B397" t="s">
        <v>53</v>
      </c>
      <c r="C397" t="s">
        <v>54</v>
      </c>
      <c r="D397" t="s">
        <v>13</v>
      </c>
      <c r="E397" t="s">
        <v>426</v>
      </c>
      <c r="F397" s="1">
        <v>53.4</v>
      </c>
      <c r="G397" s="1">
        <v>0</v>
      </c>
      <c r="H397" s="1">
        <v>0</v>
      </c>
      <c r="I397" s="1">
        <v>0</v>
      </c>
      <c r="J397" s="1">
        <v>53.4</v>
      </c>
      <c r="K397" s="1">
        <f>Tabela1[[#This Row],[$ Imposto ICMS do faturamento]]-Tabela1[[#This Row],[$ ISS]]</f>
        <v>0</v>
      </c>
    </row>
    <row r="398" spans="1:11" x14ac:dyDescent="0.25">
      <c r="A398" t="s">
        <v>419</v>
      </c>
      <c r="B398" t="s">
        <v>53</v>
      </c>
      <c r="C398" t="s">
        <v>54</v>
      </c>
      <c r="D398" t="s">
        <v>13</v>
      </c>
      <c r="E398" t="s">
        <v>427</v>
      </c>
      <c r="F398" s="1">
        <v>53.4</v>
      </c>
      <c r="G398" s="1">
        <v>0</v>
      </c>
      <c r="H398" s="1">
        <v>0</v>
      </c>
      <c r="I398" s="1">
        <v>0</v>
      </c>
      <c r="J398" s="1">
        <v>53.4</v>
      </c>
      <c r="K398" s="1">
        <f>Tabela1[[#This Row],[$ Imposto ICMS do faturamento]]-Tabela1[[#This Row],[$ ISS]]</f>
        <v>0</v>
      </c>
    </row>
    <row r="399" spans="1:11" x14ac:dyDescent="0.25">
      <c r="A399" t="s">
        <v>419</v>
      </c>
      <c r="B399" t="s">
        <v>53</v>
      </c>
      <c r="C399" t="s">
        <v>54</v>
      </c>
      <c r="D399" t="s">
        <v>13</v>
      </c>
      <c r="E399" t="s">
        <v>428</v>
      </c>
      <c r="F399" s="1">
        <v>53.4</v>
      </c>
      <c r="G399" s="1">
        <v>0</v>
      </c>
      <c r="H399" s="1">
        <v>0</v>
      </c>
      <c r="I399" s="1">
        <v>0</v>
      </c>
      <c r="J399" s="1">
        <v>53.4</v>
      </c>
      <c r="K399" s="1">
        <f>Tabela1[[#This Row],[$ Imposto ICMS do faturamento]]-Tabela1[[#This Row],[$ ISS]]</f>
        <v>0</v>
      </c>
    </row>
    <row r="400" spans="1:11" x14ac:dyDescent="0.25">
      <c r="A400" t="s">
        <v>419</v>
      </c>
      <c r="B400" t="s">
        <v>53</v>
      </c>
      <c r="C400" t="s">
        <v>54</v>
      </c>
      <c r="D400" t="s">
        <v>13</v>
      </c>
      <c r="E400" t="s">
        <v>429</v>
      </c>
      <c r="F400" s="1">
        <v>48.6</v>
      </c>
      <c r="G400" s="1">
        <v>0</v>
      </c>
      <c r="H400" s="1">
        <v>0</v>
      </c>
      <c r="I400" s="1">
        <v>0</v>
      </c>
      <c r="J400" s="1">
        <v>48.6</v>
      </c>
      <c r="K400" s="1">
        <f>Tabela1[[#This Row],[$ Imposto ICMS do faturamento]]-Tabela1[[#This Row],[$ ISS]]</f>
        <v>0</v>
      </c>
    </row>
    <row r="401" spans="1:11" x14ac:dyDescent="0.25">
      <c r="A401" t="s">
        <v>419</v>
      </c>
      <c r="B401" t="s">
        <v>53</v>
      </c>
      <c r="C401" t="s">
        <v>54</v>
      </c>
      <c r="D401" t="s">
        <v>13</v>
      </c>
      <c r="E401" t="s">
        <v>430</v>
      </c>
      <c r="F401" s="1">
        <v>53.4</v>
      </c>
      <c r="G401" s="1">
        <v>0</v>
      </c>
      <c r="H401" s="1">
        <v>0</v>
      </c>
      <c r="I401" s="1">
        <v>0</v>
      </c>
      <c r="J401" s="1">
        <v>53.4</v>
      </c>
      <c r="K401" s="1">
        <f>Tabela1[[#This Row],[$ Imposto ICMS do faturamento]]-Tabela1[[#This Row],[$ ISS]]</f>
        <v>0</v>
      </c>
    </row>
    <row r="402" spans="1:11" x14ac:dyDescent="0.25">
      <c r="A402" t="s">
        <v>419</v>
      </c>
      <c r="B402" t="s">
        <v>53</v>
      </c>
      <c r="C402" t="s">
        <v>54</v>
      </c>
      <c r="D402" t="s">
        <v>13</v>
      </c>
      <c r="E402" t="s">
        <v>431</v>
      </c>
      <c r="F402" s="1">
        <v>53.4</v>
      </c>
      <c r="G402" s="1">
        <v>0</v>
      </c>
      <c r="H402" s="1">
        <v>0</v>
      </c>
      <c r="I402" s="1">
        <v>0</v>
      </c>
      <c r="J402" s="1">
        <v>53.4</v>
      </c>
      <c r="K402" s="1">
        <f>Tabela1[[#This Row],[$ Imposto ICMS do faturamento]]-Tabela1[[#This Row],[$ ISS]]</f>
        <v>0</v>
      </c>
    </row>
    <row r="403" spans="1:11" x14ac:dyDescent="0.25">
      <c r="A403" t="s">
        <v>419</v>
      </c>
      <c r="B403" t="s">
        <v>53</v>
      </c>
      <c r="C403" t="s">
        <v>54</v>
      </c>
      <c r="D403" t="s">
        <v>13</v>
      </c>
      <c r="E403" t="s">
        <v>432</v>
      </c>
      <c r="F403" s="1">
        <v>48.6</v>
      </c>
      <c r="G403" s="1">
        <v>0</v>
      </c>
      <c r="H403" s="1">
        <v>0</v>
      </c>
      <c r="I403" s="1">
        <v>0</v>
      </c>
      <c r="J403" s="1">
        <v>48.6</v>
      </c>
      <c r="K403" s="1">
        <f>Tabela1[[#This Row],[$ Imposto ICMS do faturamento]]-Tabela1[[#This Row],[$ ISS]]</f>
        <v>0</v>
      </c>
    </row>
    <row r="404" spans="1:11" x14ac:dyDescent="0.25">
      <c r="A404" t="s">
        <v>419</v>
      </c>
      <c r="B404" t="s">
        <v>53</v>
      </c>
      <c r="C404" t="s">
        <v>54</v>
      </c>
      <c r="D404" t="s">
        <v>13</v>
      </c>
      <c r="E404" t="s">
        <v>433</v>
      </c>
      <c r="F404" s="1">
        <v>53.4</v>
      </c>
      <c r="G404" s="1">
        <v>0</v>
      </c>
      <c r="H404" s="1">
        <v>0</v>
      </c>
      <c r="I404" s="1">
        <v>0</v>
      </c>
      <c r="J404" s="1">
        <v>53.4</v>
      </c>
      <c r="K404" s="1">
        <f>Tabela1[[#This Row],[$ Imposto ICMS do faturamento]]-Tabela1[[#This Row],[$ ISS]]</f>
        <v>0</v>
      </c>
    </row>
    <row r="405" spans="1:11" x14ac:dyDescent="0.25">
      <c r="A405" t="s">
        <v>419</v>
      </c>
      <c r="B405" t="s">
        <v>53</v>
      </c>
      <c r="C405" t="s">
        <v>54</v>
      </c>
      <c r="D405" t="s">
        <v>13</v>
      </c>
      <c r="E405" t="s">
        <v>434</v>
      </c>
      <c r="F405" s="1">
        <v>53.4</v>
      </c>
      <c r="G405" s="1">
        <v>0</v>
      </c>
      <c r="H405" s="1">
        <v>0</v>
      </c>
      <c r="I405" s="1">
        <v>0</v>
      </c>
      <c r="J405" s="1">
        <v>53.4</v>
      </c>
      <c r="K405" s="1">
        <f>Tabela1[[#This Row],[$ Imposto ICMS do faturamento]]-Tabela1[[#This Row],[$ ISS]]</f>
        <v>0</v>
      </c>
    </row>
    <row r="406" spans="1:11" x14ac:dyDescent="0.25">
      <c r="A406" t="s">
        <v>419</v>
      </c>
      <c r="B406" t="s">
        <v>53</v>
      </c>
      <c r="C406" t="s">
        <v>54</v>
      </c>
      <c r="D406" t="s">
        <v>13</v>
      </c>
      <c r="E406" t="s">
        <v>435</v>
      </c>
      <c r="F406" s="1">
        <v>53.4</v>
      </c>
      <c r="G406" s="1">
        <v>0</v>
      </c>
      <c r="H406" s="1">
        <v>0</v>
      </c>
      <c r="I406" s="1">
        <v>0</v>
      </c>
      <c r="J406" s="1">
        <v>53.4</v>
      </c>
      <c r="K406" s="1">
        <f>Tabela1[[#This Row],[$ Imposto ICMS do faturamento]]-Tabela1[[#This Row],[$ ISS]]</f>
        <v>0</v>
      </c>
    </row>
    <row r="407" spans="1:11" x14ac:dyDescent="0.25">
      <c r="A407" t="s">
        <v>419</v>
      </c>
      <c r="B407" t="s">
        <v>53</v>
      </c>
      <c r="C407" t="s">
        <v>54</v>
      </c>
      <c r="D407" t="s">
        <v>13</v>
      </c>
      <c r="E407" t="s">
        <v>436</v>
      </c>
      <c r="F407" s="1">
        <v>53.4</v>
      </c>
      <c r="G407" s="1">
        <v>0</v>
      </c>
      <c r="H407" s="1">
        <v>0</v>
      </c>
      <c r="I407" s="1">
        <v>0</v>
      </c>
      <c r="J407" s="1">
        <v>53.4</v>
      </c>
      <c r="K407" s="1">
        <f>Tabela1[[#This Row],[$ Imposto ICMS do faturamento]]-Tabela1[[#This Row],[$ ISS]]</f>
        <v>0</v>
      </c>
    </row>
    <row r="408" spans="1:11" x14ac:dyDescent="0.25">
      <c r="A408" t="s">
        <v>419</v>
      </c>
      <c r="B408" t="s">
        <v>53</v>
      </c>
      <c r="C408" t="s">
        <v>54</v>
      </c>
      <c r="D408" t="s">
        <v>13</v>
      </c>
      <c r="E408" t="s">
        <v>437</v>
      </c>
      <c r="F408" s="1">
        <v>53.4</v>
      </c>
      <c r="G408" s="1">
        <v>0</v>
      </c>
      <c r="H408" s="1">
        <v>0</v>
      </c>
      <c r="I408" s="1">
        <v>0</v>
      </c>
      <c r="J408" s="1">
        <v>53.4</v>
      </c>
      <c r="K408" s="1">
        <f>Tabela1[[#This Row],[$ Imposto ICMS do faturamento]]-Tabela1[[#This Row],[$ ISS]]</f>
        <v>0</v>
      </c>
    </row>
    <row r="409" spans="1:11" x14ac:dyDescent="0.25">
      <c r="A409" t="s">
        <v>419</v>
      </c>
      <c r="B409" t="s">
        <v>53</v>
      </c>
      <c r="C409" t="s">
        <v>54</v>
      </c>
      <c r="D409" t="s">
        <v>13</v>
      </c>
      <c r="E409" t="s">
        <v>438</v>
      </c>
      <c r="F409" s="1">
        <v>53.4</v>
      </c>
      <c r="G409" s="1">
        <v>0</v>
      </c>
      <c r="H409" s="1">
        <v>0</v>
      </c>
      <c r="I409" s="1">
        <v>0</v>
      </c>
      <c r="J409" s="1">
        <v>53.4</v>
      </c>
      <c r="K409" s="1">
        <f>Tabela1[[#This Row],[$ Imposto ICMS do faturamento]]-Tabela1[[#This Row],[$ ISS]]</f>
        <v>0</v>
      </c>
    </row>
    <row r="410" spans="1:11" x14ac:dyDescent="0.25">
      <c r="A410" t="s">
        <v>419</v>
      </c>
      <c r="B410" t="s">
        <v>53</v>
      </c>
      <c r="C410" t="s">
        <v>54</v>
      </c>
      <c r="D410" t="s">
        <v>13</v>
      </c>
      <c r="E410" t="s">
        <v>439</v>
      </c>
      <c r="F410" s="1">
        <v>53.4</v>
      </c>
      <c r="G410" s="1">
        <v>0</v>
      </c>
      <c r="H410" s="1">
        <v>0</v>
      </c>
      <c r="I410" s="1">
        <v>0</v>
      </c>
      <c r="J410" s="1">
        <v>53.4</v>
      </c>
      <c r="K410" s="1">
        <f>Tabela1[[#This Row],[$ Imposto ICMS do faturamento]]-Tabela1[[#This Row],[$ ISS]]</f>
        <v>0</v>
      </c>
    </row>
    <row r="411" spans="1:11" x14ac:dyDescent="0.25">
      <c r="A411" t="s">
        <v>419</v>
      </c>
      <c r="B411" t="s">
        <v>53</v>
      </c>
      <c r="C411" t="s">
        <v>54</v>
      </c>
      <c r="D411" t="s">
        <v>13</v>
      </c>
      <c r="E411" t="s">
        <v>440</v>
      </c>
      <c r="F411" s="1">
        <v>48.6</v>
      </c>
      <c r="G411" s="1">
        <v>0</v>
      </c>
      <c r="H411" s="1">
        <v>0</v>
      </c>
      <c r="I411" s="1">
        <v>0</v>
      </c>
      <c r="J411" s="1">
        <v>48.6</v>
      </c>
      <c r="K411" s="1">
        <f>Tabela1[[#This Row],[$ Imposto ICMS do faturamento]]-Tabela1[[#This Row],[$ ISS]]</f>
        <v>0</v>
      </c>
    </row>
    <row r="412" spans="1:11" x14ac:dyDescent="0.25">
      <c r="A412" t="s">
        <v>419</v>
      </c>
      <c r="B412" t="s">
        <v>53</v>
      </c>
      <c r="C412" t="s">
        <v>54</v>
      </c>
      <c r="D412" t="s">
        <v>13</v>
      </c>
      <c r="E412" t="s">
        <v>441</v>
      </c>
      <c r="F412" s="1">
        <v>53.4</v>
      </c>
      <c r="G412" s="1">
        <v>0</v>
      </c>
      <c r="H412" s="1">
        <v>0</v>
      </c>
      <c r="I412" s="1">
        <v>0</v>
      </c>
      <c r="J412" s="1">
        <v>53.4</v>
      </c>
      <c r="K412" s="1">
        <f>Tabela1[[#This Row],[$ Imposto ICMS do faturamento]]-Tabela1[[#This Row],[$ ISS]]</f>
        <v>0</v>
      </c>
    </row>
    <row r="413" spans="1:11" x14ac:dyDescent="0.25">
      <c r="A413" t="s">
        <v>419</v>
      </c>
      <c r="B413" t="s">
        <v>53</v>
      </c>
      <c r="C413" t="s">
        <v>54</v>
      </c>
      <c r="D413" t="s">
        <v>13</v>
      </c>
      <c r="E413" t="s">
        <v>442</v>
      </c>
      <c r="F413" s="1">
        <v>53.4</v>
      </c>
      <c r="G413" s="1">
        <v>0</v>
      </c>
      <c r="H413" s="1">
        <v>0</v>
      </c>
      <c r="I413" s="1">
        <v>0</v>
      </c>
      <c r="J413" s="1">
        <v>53.4</v>
      </c>
      <c r="K413" s="1">
        <f>Tabela1[[#This Row],[$ Imposto ICMS do faturamento]]-Tabela1[[#This Row],[$ ISS]]</f>
        <v>0</v>
      </c>
    </row>
    <row r="414" spans="1:11" x14ac:dyDescent="0.25">
      <c r="A414" t="s">
        <v>419</v>
      </c>
      <c r="B414" t="s">
        <v>53</v>
      </c>
      <c r="C414" t="s">
        <v>54</v>
      </c>
      <c r="D414" t="s">
        <v>13</v>
      </c>
      <c r="E414" t="s">
        <v>443</v>
      </c>
      <c r="F414" s="1">
        <v>53.4</v>
      </c>
      <c r="G414" s="1">
        <v>0</v>
      </c>
      <c r="H414" s="1">
        <v>0</v>
      </c>
      <c r="I414" s="1">
        <v>0</v>
      </c>
      <c r="J414" s="1">
        <v>53.4</v>
      </c>
      <c r="K414" s="1">
        <f>Tabela1[[#This Row],[$ Imposto ICMS do faturamento]]-Tabela1[[#This Row],[$ ISS]]</f>
        <v>0</v>
      </c>
    </row>
    <row r="415" spans="1:11" x14ac:dyDescent="0.25">
      <c r="A415" t="s">
        <v>419</v>
      </c>
      <c r="B415" t="s">
        <v>53</v>
      </c>
      <c r="C415" t="s">
        <v>54</v>
      </c>
      <c r="D415" t="s">
        <v>13</v>
      </c>
      <c r="E415" t="s">
        <v>444</v>
      </c>
      <c r="F415" s="1">
        <v>53.4</v>
      </c>
      <c r="G415" s="1">
        <v>0</v>
      </c>
      <c r="H415" s="1">
        <v>0</v>
      </c>
      <c r="I415" s="1">
        <v>0</v>
      </c>
      <c r="J415" s="1">
        <v>53.4</v>
      </c>
      <c r="K415" s="1">
        <f>Tabela1[[#This Row],[$ Imposto ICMS do faturamento]]-Tabela1[[#This Row],[$ ISS]]</f>
        <v>0</v>
      </c>
    </row>
    <row r="416" spans="1:11" x14ac:dyDescent="0.25">
      <c r="A416" t="s">
        <v>419</v>
      </c>
      <c r="B416" t="s">
        <v>53</v>
      </c>
      <c r="C416" t="s">
        <v>157</v>
      </c>
      <c r="D416" t="s">
        <v>13</v>
      </c>
      <c r="E416" t="s">
        <v>471</v>
      </c>
      <c r="F416" s="1">
        <v>53.4</v>
      </c>
      <c r="G416" s="1">
        <v>0</v>
      </c>
      <c r="H416" s="1">
        <v>0</v>
      </c>
      <c r="I416" s="1">
        <v>0</v>
      </c>
      <c r="J416" s="1">
        <v>53.4</v>
      </c>
      <c r="K416" s="1">
        <f>Tabela1[[#This Row],[$ Imposto ICMS do faturamento]]-Tabela1[[#This Row],[$ ISS]]</f>
        <v>0</v>
      </c>
    </row>
    <row r="417" spans="1:11" x14ac:dyDescent="0.25">
      <c r="A417" t="s">
        <v>419</v>
      </c>
      <c r="B417" t="s">
        <v>53</v>
      </c>
      <c r="C417" t="s">
        <v>157</v>
      </c>
      <c r="D417" t="s">
        <v>13</v>
      </c>
      <c r="E417" t="s">
        <v>472</v>
      </c>
      <c r="F417" s="1">
        <v>53.4</v>
      </c>
      <c r="G417" s="1">
        <v>0</v>
      </c>
      <c r="H417" s="1">
        <v>0</v>
      </c>
      <c r="I417" s="1">
        <v>0</v>
      </c>
      <c r="J417" s="1">
        <v>53.4</v>
      </c>
      <c r="K417" s="1">
        <f>Tabela1[[#This Row],[$ Imposto ICMS do faturamento]]-Tabela1[[#This Row],[$ ISS]]</f>
        <v>0</v>
      </c>
    </row>
    <row r="418" spans="1:11" x14ac:dyDescent="0.25">
      <c r="A418" t="s">
        <v>419</v>
      </c>
      <c r="B418" t="s">
        <v>53</v>
      </c>
      <c r="C418" t="s">
        <v>54</v>
      </c>
      <c r="D418" t="s">
        <v>13</v>
      </c>
      <c r="E418" t="s">
        <v>445</v>
      </c>
      <c r="F418" s="1">
        <v>53.4</v>
      </c>
      <c r="G418" s="1">
        <v>0</v>
      </c>
      <c r="H418" s="1">
        <v>0</v>
      </c>
      <c r="I418" s="1">
        <v>0</v>
      </c>
      <c r="J418" s="1">
        <v>53.4</v>
      </c>
      <c r="K418" s="1">
        <f>Tabela1[[#This Row],[$ Imposto ICMS do faturamento]]-Tabela1[[#This Row],[$ ISS]]</f>
        <v>0</v>
      </c>
    </row>
    <row r="419" spans="1:11" x14ac:dyDescent="0.25">
      <c r="A419" t="s">
        <v>419</v>
      </c>
      <c r="B419" t="s">
        <v>53</v>
      </c>
      <c r="C419" t="s">
        <v>54</v>
      </c>
      <c r="D419" t="s">
        <v>13</v>
      </c>
      <c r="E419" t="s">
        <v>446</v>
      </c>
      <c r="F419" s="1">
        <v>53.4</v>
      </c>
      <c r="G419" s="1">
        <v>0</v>
      </c>
      <c r="H419" s="1">
        <v>0</v>
      </c>
      <c r="I419" s="1">
        <v>0</v>
      </c>
      <c r="J419" s="1">
        <v>53.4</v>
      </c>
      <c r="K419" s="1">
        <f>Tabela1[[#This Row],[$ Imposto ICMS do faturamento]]-Tabela1[[#This Row],[$ ISS]]</f>
        <v>0</v>
      </c>
    </row>
    <row r="420" spans="1:11" x14ac:dyDescent="0.25">
      <c r="A420" t="s">
        <v>419</v>
      </c>
      <c r="B420" t="s">
        <v>53</v>
      </c>
      <c r="C420" t="s">
        <v>54</v>
      </c>
      <c r="D420" t="s">
        <v>13</v>
      </c>
      <c r="E420" t="s">
        <v>447</v>
      </c>
      <c r="F420" s="1">
        <v>53.4</v>
      </c>
      <c r="G420" s="1">
        <v>0</v>
      </c>
      <c r="H420" s="1">
        <v>0</v>
      </c>
      <c r="I420" s="1">
        <v>0</v>
      </c>
      <c r="J420" s="1">
        <v>53.4</v>
      </c>
      <c r="K420" s="1">
        <f>Tabela1[[#This Row],[$ Imposto ICMS do faturamento]]-Tabela1[[#This Row],[$ ISS]]</f>
        <v>0</v>
      </c>
    </row>
    <row r="421" spans="1:11" x14ac:dyDescent="0.25">
      <c r="A421" t="s">
        <v>419</v>
      </c>
      <c r="B421" t="s">
        <v>53</v>
      </c>
      <c r="C421" t="s">
        <v>54</v>
      </c>
      <c r="D421" t="s">
        <v>13</v>
      </c>
      <c r="E421" t="s">
        <v>448</v>
      </c>
      <c r="F421" s="1">
        <v>53.4</v>
      </c>
      <c r="G421" s="1">
        <v>0</v>
      </c>
      <c r="H421" s="1">
        <v>0</v>
      </c>
      <c r="I421" s="1">
        <v>0</v>
      </c>
      <c r="J421" s="1">
        <v>53.4</v>
      </c>
      <c r="K421" s="1">
        <f>Tabela1[[#This Row],[$ Imposto ICMS do faturamento]]-Tabela1[[#This Row],[$ ISS]]</f>
        <v>0</v>
      </c>
    </row>
    <row r="422" spans="1:11" x14ac:dyDescent="0.25">
      <c r="A422" t="s">
        <v>419</v>
      </c>
      <c r="B422" t="s">
        <v>53</v>
      </c>
      <c r="C422" t="s">
        <v>54</v>
      </c>
      <c r="D422" t="s">
        <v>13</v>
      </c>
      <c r="E422" t="s">
        <v>449</v>
      </c>
      <c r="F422" s="1">
        <v>53.4</v>
      </c>
      <c r="G422" s="1">
        <v>0</v>
      </c>
      <c r="H422" s="1">
        <v>0</v>
      </c>
      <c r="I422" s="1">
        <v>0</v>
      </c>
      <c r="J422" s="1">
        <v>53.4</v>
      </c>
      <c r="K422" s="1">
        <f>Tabela1[[#This Row],[$ Imposto ICMS do faturamento]]-Tabela1[[#This Row],[$ ISS]]</f>
        <v>0</v>
      </c>
    </row>
    <row r="423" spans="1:11" x14ac:dyDescent="0.25">
      <c r="A423" t="s">
        <v>419</v>
      </c>
      <c r="B423" t="s">
        <v>53</v>
      </c>
      <c r="C423" t="s">
        <v>54</v>
      </c>
      <c r="D423" t="s">
        <v>13</v>
      </c>
      <c r="E423" t="s">
        <v>450</v>
      </c>
      <c r="F423" s="1">
        <v>53.4</v>
      </c>
      <c r="G423" s="1">
        <v>0</v>
      </c>
      <c r="H423" s="1">
        <v>0</v>
      </c>
      <c r="I423" s="1">
        <v>0</v>
      </c>
      <c r="J423" s="1">
        <v>53.4</v>
      </c>
      <c r="K423" s="1">
        <f>Tabela1[[#This Row],[$ Imposto ICMS do faturamento]]-Tabela1[[#This Row],[$ ISS]]</f>
        <v>0</v>
      </c>
    </row>
    <row r="424" spans="1:11" x14ac:dyDescent="0.25">
      <c r="A424" t="s">
        <v>419</v>
      </c>
      <c r="B424" t="s">
        <v>53</v>
      </c>
      <c r="C424" t="s">
        <v>54</v>
      </c>
      <c r="D424" t="s">
        <v>13</v>
      </c>
      <c r="E424" t="s">
        <v>451</v>
      </c>
      <c r="F424" s="1">
        <v>53.4</v>
      </c>
      <c r="G424" s="1">
        <v>0</v>
      </c>
      <c r="H424" s="1">
        <v>0</v>
      </c>
      <c r="I424" s="1">
        <v>0</v>
      </c>
      <c r="J424" s="1">
        <v>53.4</v>
      </c>
      <c r="K424" s="1">
        <f>Tabela1[[#This Row],[$ Imposto ICMS do faturamento]]-Tabela1[[#This Row],[$ ISS]]</f>
        <v>0</v>
      </c>
    </row>
    <row r="425" spans="1:11" x14ac:dyDescent="0.25">
      <c r="A425" t="s">
        <v>419</v>
      </c>
      <c r="B425" t="s">
        <v>53</v>
      </c>
      <c r="C425" t="s">
        <v>54</v>
      </c>
      <c r="D425" t="s">
        <v>13</v>
      </c>
      <c r="E425" t="s">
        <v>452</v>
      </c>
      <c r="F425" s="1">
        <v>53.4</v>
      </c>
      <c r="G425" s="1">
        <v>0</v>
      </c>
      <c r="H425" s="1">
        <v>0</v>
      </c>
      <c r="I425" s="1">
        <v>0</v>
      </c>
      <c r="J425" s="1">
        <v>53.4</v>
      </c>
      <c r="K425" s="1">
        <f>Tabela1[[#This Row],[$ Imposto ICMS do faturamento]]-Tabela1[[#This Row],[$ ISS]]</f>
        <v>0</v>
      </c>
    </row>
    <row r="426" spans="1:11" x14ac:dyDescent="0.25">
      <c r="A426" t="s">
        <v>419</v>
      </c>
      <c r="B426" t="s">
        <v>53</v>
      </c>
      <c r="C426" t="s">
        <v>54</v>
      </c>
      <c r="D426" t="s">
        <v>13</v>
      </c>
      <c r="E426" t="s">
        <v>453</v>
      </c>
      <c r="F426" s="1">
        <v>53.4</v>
      </c>
      <c r="G426" s="1">
        <v>0</v>
      </c>
      <c r="H426" s="1">
        <v>0</v>
      </c>
      <c r="I426" s="1">
        <v>0</v>
      </c>
      <c r="J426" s="1">
        <v>53.4</v>
      </c>
      <c r="K426" s="1">
        <f>Tabela1[[#This Row],[$ Imposto ICMS do faturamento]]-Tabela1[[#This Row],[$ ISS]]</f>
        <v>0</v>
      </c>
    </row>
    <row r="427" spans="1:11" x14ac:dyDescent="0.25">
      <c r="A427" t="s">
        <v>419</v>
      </c>
      <c r="B427" t="s">
        <v>53</v>
      </c>
      <c r="C427" t="s">
        <v>54</v>
      </c>
      <c r="D427" t="s">
        <v>13</v>
      </c>
      <c r="E427" t="s">
        <v>454</v>
      </c>
      <c r="F427" s="1">
        <v>53.4</v>
      </c>
      <c r="G427" s="1">
        <v>0</v>
      </c>
      <c r="H427" s="1">
        <v>0</v>
      </c>
      <c r="I427" s="1">
        <v>0</v>
      </c>
      <c r="J427" s="1">
        <v>53.4</v>
      </c>
      <c r="K427" s="1">
        <f>Tabela1[[#This Row],[$ Imposto ICMS do faturamento]]-Tabela1[[#This Row],[$ ISS]]</f>
        <v>0</v>
      </c>
    </row>
    <row r="428" spans="1:11" x14ac:dyDescent="0.25">
      <c r="A428" t="s">
        <v>419</v>
      </c>
      <c r="B428" t="s">
        <v>53</v>
      </c>
      <c r="C428" t="s">
        <v>54</v>
      </c>
      <c r="D428" t="s">
        <v>13</v>
      </c>
      <c r="E428" t="s">
        <v>455</v>
      </c>
      <c r="F428" s="1">
        <v>53.4</v>
      </c>
      <c r="G428" s="1">
        <v>0</v>
      </c>
      <c r="H428" s="1">
        <v>0</v>
      </c>
      <c r="I428" s="1">
        <v>0</v>
      </c>
      <c r="J428" s="1">
        <v>53.4</v>
      </c>
      <c r="K428" s="1">
        <f>Tabela1[[#This Row],[$ Imposto ICMS do faturamento]]-Tabela1[[#This Row],[$ ISS]]</f>
        <v>0</v>
      </c>
    </row>
    <row r="429" spans="1:11" x14ac:dyDescent="0.25">
      <c r="A429" t="s">
        <v>419</v>
      </c>
      <c r="B429" t="s">
        <v>53</v>
      </c>
      <c r="C429" t="s">
        <v>54</v>
      </c>
      <c r="D429" t="s">
        <v>13</v>
      </c>
      <c r="E429" t="s">
        <v>456</v>
      </c>
      <c r="F429" s="1">
        <v>53.4</v>
      </c>
      <c r="G429" s="1">
        <v>0</v>
      </c>
      <c r="H429" s="1">
        <v>0</v>
      </c>
      <c r="I429" s="1">
        <v>0</v>
      </c>
      <c r="J429" s="1">
        <v>53.4</v>
      </c>
      <c r="K429" s="1">
        <f>Tabela1[[#This Row],[$ Imposto ICMS do faturamento]]-Tabela1[[#This Row],[$ ISS]]</f>
        <v>0</v>
      </c>
    </row>
    <row r="430" spans="1:11" x14ac:dyDescent="0.25">
      <c r="A430" t="s">
        <v>419</v>
      </c>
      <c r="B430" t="s">
        <v>53</v>
      </c>
      <c r="C430" t="s">
        <v>54</v>
      </c>
      <c r="D430" t="s">
        <v>13</v>
      </c>
      <c r="E430" t="s">
        <v>457</v>
      </c>
      <c r="F430" s="1">
        <v>53.4</v>
      </c>
      <c r="G430" s="1">
        <v>0</v>
      </c>
      <c r="H430" s="1">
        <v>0</v>
      </c>
      <c r="I430" s="1">
        <v>0</v>
      </c>
      <c r="J430" s="1">
        <v>53.4</v>
      </c>
      <c r="K430" s="1">
        <f>Tabela1[[#This Row],[$ Imposto ICMS do faturamento]]-Tabela1[[#This Row],[$ ISS]]</f>
        <v>0</v>
      </c>
    </row>
    <row r="431" spans="1:11" x14ac:dyDescent="0.25">
      <c r="A431" t="s">
        <v>419</v>
      </c>
      <c r="B431" t="s">
        <v>53</v>
      </c>
      <c r="C431" t="s">
        <v>54</v>
      </c>
      <c r="D431" t="s">
        <v>13</v>
      </c>
      <c r="E431" t="s">
        <v>458</v>
      </c>
      <c r="F431" s="1">
        <v>53.4</v>
      </c>
      <c r="G431" s="1">
        <v>0</v>
      </c>
      <c r="H431" s="1">
        <v>0</v>
      </c>
      <c r="I431" s="1">
        <v>0</v>
      </c>
      <c r="J431" s="1">
        <v>53.4</v>
      </c>
      <c r="K431" s="1">
        <f>Tabela1[[#This Row],[$ Imposto ICMS do faturamento]]-Tabela1[[#This Row],[$ ISS]]</f>
        <v>0</v>
      </c>
    </row>
    <row r="432" spans="1:11" x14ac:dyDescent="0.25">
      <c r="A432" t="s">
        <v>419</v>
      </c>
      <c r="B432" t="s">
        <v>53</v>
      </c>
      <c r="C432" t="s">
        <v>54</v>
      </c>
      <c r="D432" t="s">
        <v>13</v>
      </c>
      <c r="E432" t="s">
        <v>459</v>
      </c>
      <c r="F432" s="1">
        <v>48.6</v>
      </c>
      <c r="G432" s="1">
        <v>0</v>
      </c>
      <c r="H432" s="1">
        <v>0</v>
      </c>
      <c r="I432" s="1">
        <v>0</v>
      </c>
      <c r="J432" s="1">
        <v>48.6</v>
      </c>
      <c r="K432" s="1">
        <f>Tabela1[[#This Row],[$ Imposto ICMS do faturamento]]-Tabela1[[#This Row],[$ ISS]]</f>
        <v>0</v>
      </c>
    </row>
    <row r="433" spans="1:11" x14ac:dyDescent="0.25">
      <c r="A433" t="s">
        <v>419</v>
      </c>
      <c r="B433" t="s">
        <v>53</v>
      </c>
      <c r="C433" t="s">
        <v>54</v>
      </c>
      <c r="D433" t="s">
        <v>13</v>
      </c>
      <c r="E433" t="s">
        <v>460</v>
      </c>
      <c r="F433" s="1">
        <v>53.4</v>
      </c>
      <c r="G433" s="1">
        <v>0</v>
      </c>
      <c r="H433" s="1">
        <v>0</v>
      </c>
      <c r="I433" s="1">
        <v>0</v>
      </c>
      <c r="J433" s="1">
        <v>53.4</v>
      </c>
      <c r="K433" s="1">
        <f>Tabela1[[#This Row],[$ Imposto ICMS do faturamento]]-Tabela1[[#This Row],[$ ISS]]</f>
        <v>0</v>
      </c>
    </row>
    <row r="434" spans="1:11" x14ac:dyDescent="0.25">
      <c r="A434" t="s">
        <v>419</v>
      </c>
      <c r="B434" t="s">
        <v>53</v>
      </c>
      <c r="C434" t="s">
        <v>54</v>
      </c>
      <c r="D434" t="s">
        <v>13</v>
      </c>
      <c r="E434" t="s">
        <v>461</v>
      </c>
      <c r="F434" s="1">
        <v>53.4</v>
      </c>
      <c r="G434" s="1">
        <v>0</v>
      </c>
      <c r="H434" s="1">
        <v>0</v>
      </c>
      <c r="I434" s="1">
        <v>0</v>
      </c>
      <c r="J434" s="1">
        <v>53.4</v>
      </c>
      <c r="K434" s="1">
        <f>Tabela1[[#This Row],[$ Imposto ICMS do faturamento]]-Tabela1[[#This Row],[$ ISS]]</f>
        <v>0</v>
      </c>
    </row>
    <row r="435" spans="1:11" x14ac:dyDescent="0.25">
      <c r="A435" t="s">
        <v>419</v>
      </c>
      <c r="B435" t="s">
        <v>53</v>
      </c>
      <c r="C435" t="s">
        <v>157</v>
      </c>
      <c r="D435" t="s">
        <v>13</v>
      </c>
      <c r="E435" t="s">
        <v>473</v>
      </c>
      <c r="F435" s="1">
        <v>53.4</v>
      </c>
      <c r="G435" s="1">
        <v>0</v>
      </c>
      <c r="H435" s="1">
        <v>0</v>
      </c>
      <c r="I435" s="1">
        <v>0</v>
      </c>
      <c r="J435" s="1">
        <v>53.4</v>
      </c>
      <c r="K435" s="1">
        <f>Tabela1[[#This Row],[$ Imposto ICMS do faturamento]]-Tabela1[[#This Row],[$ ISS]]</f>
        <v>0</v>
      </c>
    </row>
    <row r="436" spans="1:11" x14ac:dyDescent="0.25">
      <c r="A436" t="s">
        <v>419</v>
      </c>
      <c r="B436" t="s">
        <v>53</v>
      </c>
      <c r="C436" t="s">
        <v>157</v>
      </c>
      <c r="D436" t="s">
        <v>13</v>
      </c>
      <c r="E436" t="s">
        <v>474</v>
      </c>
      <c r="F436" s="1">
        <v>53.4</v>
      </c>
      <c r="G436" s="1">
        <v>0</v>
      </c>
      <c r="H436" s="1">
        <v>0</v>
      </c>
      <c r="I436" s="1">
        <v>0</v>
      </c>
      <c r="J436" s="1">
        <v>53.4</v>
      </c>
      <c r="K436" s="1">
        <f>Tabela1[[#This Row],[$ Imposto ICMS do faturamento]]-Tabela1[[#This Row],[$ ISS]]</f>
        <v>0</v>
      </c>
    </row>
    <row r="437" spans="1:11" x14ac:dyDescent="0.25">
      <c r="A437" t="s">
        <v>419</v>
      </c>
      <c r="B437" t="s">
        <v>53</v>
      </c>
      <c r="C437" t="s">
        <v>54</v>
      </c>
      <c r="D437" t="s">
        <v>13</v>
      </c>
      <c r="E437" t="s">
        <v>462</v>
      </c>
      <c r="F437" s="1">
        <v>53.4</v>
      </c>
      <c r="G437" s="1">
        <v>0</v>
      </c>
      <c r="H437" s="1">
        <v>0</v>
      </c>
      <c r="I437" s="1">
        <v>0</v>
      </c>
      <c r="J437" s="1">
        <v>53.4</v>
      </c>
      <c r="K437" s="1">
        <f>Tabela1[[#This Row],[$ Imposto ICMS do faturamento]]-Tabela1[[#This Row],[$ ISS]]</f>
        <v>0</v>
      </c>
    </row>
    <row r="438" spans="1:11" x14ac:dyDescent="0.25">
      <c r="A438" t="s">
        <v>419</v>
      </c>
      <c r="B438" t="s">
        <v>53</v>
      </c>
      <c r="C438" t="s">
        <v>54</v>
      </c>
      <c r="D438" t="s">
        <v>13</v>
      </c>
      <c r="E438" t="s">
        <v>463</v>
      </c>
      <c r="F438" s="1">
        <v>53.4</v>
      </c>
      <c r="G438" s="1">
        <v>0</v>
      </c>
      <c r="H438" s="1">
        <v>0</v>
      </c>
      <c r="I438" s="1">
        <v>0</v>
      </c>
      <c r="J438" s="1">
        <v>53.4</v>
      </c>
      <c r="K438" s="1">
        <f>Tabela1[[#This Row],[$ Imposto ICMS do faturamento]]-Tabela1[[#This Row],[$ ISS]]</f>
        <v>0</v>
      </c>
    </row>
    <row r="439" spans="1:11" x14ac:dyDescent="0.25">
      <c r="A439" t="s">
        <v>419</v>
      </c>
      <c r="B439" t="s">
        <v>53</v>
      </c>
      <c r="C439" t="s">
        <v>54</v>
      </c>
      <c r="D439" t="s">
        <v>13</v>
      </c>
      <c r="E439" t="s">
        <v>464</v>
      </c>
      <c r="F439" s="1">
        <v>48.6</v>
      </c>
      <c r="G439" s="1">
        <v>0</v>
      </c>
      <c r="H439" s="1">
        <v>0</v>
      </c>
      <c r="I439" s="1">
        <v>0</v>
      </c>
      <c r="J439" s="1">
        <v>48.6</v>
      </c>
      <c r="K439" s="1">
        <f>Tabela1[[#This Row],[$ Imposto ICMS do faturamento]]-Tabela1[[#This Row],[$ ISS]]</f>
        <v>0</v>
      </c>
    </row>
    <row r="440" spans="1:11" x14ac:dyDescent="0.25">
      <c r="A440" t="s">
        <v>419</v>
      </c>
      <c r="B440" t="s">
        <v>53</v>
      </c>
      <c r="C440" t="s">
        <v>54</v>
      </c>
      <c r="D440" t="s">
        <v>13</v>
      </c>
      <c r="E440" t="s">
        <v>465</v>
      </c>
      <c r="F440" s="1">
        <v>48.6</v>
      </c>
      <c r="G440" s="1">
        <v>0</v>
      </c>
      <c r="H440" s="1">
        <v>0</v>
      </c>
      <c r="I440" s="1">
        <v>0</v>
      </c>
      <c r="J440" s="1">
        <v>48.6</v>
      </c>
      <c r="K440" s="1">
        <f>Tabela1[[#This Row],[$ Imposto ICMS do faturamento]]-Tabela1[[#This Row],[$ ISS]]</f>
        <v>0</v>
      </c>
    </row>
    <row r="441" spans="1:11" x14ac:dyDescent="0.25">
      <c r="A441" t="s">
        <v>419</v>
      </c>
      <c r="B441" t="s">
        <v>53</v>
      </c>
      <c r="C441" t="s">
        <v>54</v>
      </c>
      <c r="D441" t="s">
        <v>13</v>
      </c>
      <c r="E441" t="s">
        <v>466</v>
      </c>
      <c r="F441" s="1">
        <v>53.4</v>
      </c>
      <c r="G441" s="1">
        <v>0</v>
      </c>
      <c r="H441" s="1">
        <v>0</v>
      </c>
      <c r="I441" s="1">
        <v>0</v>
      </c>
      <c r="J441" s="1">
        <v>53.4</v>
      </c>
      <c r="K441" s="1">
        <f>Tabela1[[#This Row],[$ Imposto ICMS do faturamento]]-Tabela1[[#This Row],[$ ISS]]</f>
        <v>0</v>
      </c>
    </row>
    <row r="442" spans="1:11" x14ac:dyDescent="0.25">
      <c r="A442" t="s">
        <v>419</v>
      </c>
      <c r="B442" t="s">
        <v>53</v>
      </c>
      <c r="C442" t="s">
        <v>54</v>
      </c>
      <c r="D442" t="s">
        <v>13</v>
      </c>
      <c r="E442" t="s">
        <v>467</v>
      </c>
      <c r="F442" s="1">
        <v>53.4</v>
      </c>
      <c r="G442" s="1">
        <v>0</v>
      </c>
      <c r="H442" s="1">
        <v>0</v>
      </c>
      <c r="I442" s="1">
        <v>0</v>
      </c>
      <c r="J442" s="1">
        <v>53.4</v>
      </c>
      <c r="K442" s="1">
        <f>Tabela1[[#This Row],[$ Imposto ICMS do faturamento]]-Tabela1[[#This Row],[$ ISS]]</f>
        <v>0</v>
      </c>
    </row>
    <row r="443" spans="1:11" x14ac:dyDescent="0.25">
      <c r="A443" t="s">
        <v>419</v>
      </c>
      <c r="B443" t="s">
        <v>53</v>
      </c>
      <c r="C443" t="s">
        <v>54</v>
      </c>
      <c r="D443" t="s">
        <v>13</v>
      </c>
      <c r="E443" t="s">
        <v>468</v>
      </c>
      <c r="F443" s="1">
        <v>53.4</v>
      </c>
      <c r="G443" s="1">
        <v>0</v>
      </c>
      <c r="H443" s="1">
        <v>0</v>
      </c>
      <c r="I443" s="1">
        <v>0</v>
      </c>
      <c r="J443" s="1">
        <v>53.4</v>
      </c>
      <c r="K443" s="1">
        <f>Tabela1[[#This Row],[$ Imposto ICMS do faturamento]]-Tabela1[[#This Row],[$ ISS]]</f>
        <v>0</v>
      </c>
    </row>
    <row r="444" spans="1:11" x14ac:dyDescent="0.25">
      <c r="A444" t="s">
        <v>419</v>
      </c>
      <c r="B444" t="s">
        <v>11</v>
      </c>
      <c r="C444" t="s">
        <v>24</v>
      </c>
      <c r="D444" t="s">
        <v>13</v>
      </c>
      <c r="E444" t="s">
        <v>420</v>
      </c>
      <c r="F444" s="1">
        <v>39.380000000000003</v>
      </c>
      <c r="G444" s="1">
        <v>0</v>
      </c>
      <c r="H444" s="1">
        <v>0</v>
      </c>
      <c r="I444" s="1">
        <v>0</v>
      </c>
      <c r="J444" s="1">
        <v>39.380000000000003</v>
      </c>
      <c r="K444" s="1">
        <f>Tabela1[[#This Row],[$ Imposto ICMS do faturamento]]-Tabela1[[#This Row],[$ ISS]]</f>
        <v>0</v>
      </c>
    </row>
    <row r="445" spans="1:11" x14ac:dyDescent="0.25">
      <c r="A445" t="s">
        <v>475</v>
      </c>
      <c r="E445">
        <f>SUBTOTAL(103,Tabela1[Número])</f>
        <v>443</v>
      </c>
      <c r="F445" s="1">
        <f>SUBTOTAL(109,Tabela1[$ Imposto ICMS do faturamento])</f>
        <v>18959.570000000123</v>
      </c>
      <c r="G445" s="1">
        <f>SUBTOTAL(109,Tabela1[$ ICMS])</f>
        <v>0</v>
      </c>
      <c r="H445" s="1">
        <f>SUBTOTAL(109,Tabela1[$ ICMS sem ISS])</f>
        <v>0</v>
      </c>
      <c r="I445" s="1">
        <f>SUBTOTAL(109,Tabela1[$ ICMS por NF])</f>
        <v>0</v>
      </c>
      <c r="J445" s="1">
        <f>SUBTOTAL(109,Tabela1[$ ISS])</f>
        <v>18959.570000000123</v>
      </c>
      <c r="K445" s="2">
        <f>SUBTOTAL(109,Tabela1[ICMS igual ISS?])</f>
        <v>0</v>
      </c>
    </row>
  </sheetData>
  <pageMargins left="0.7" right="0.7" top="0.75" bottom="0.75" header="0.45" footer="0.45"/>
  <pageSetup paperSize="9" orientation="portrait"/>
  <headerFooter>
    <oddHeader>&amp;L&amp;20TESTE [COM] Descrição dos valores de NFs faturadas a clientes&amp;R&amp;D</oddHeader>
    <oddFooter>&amp;RPage &amp;P/&amp;N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TESTE (COM) Descrição dos...</vt:lpstr>
      <vt:lpstr>'1. TESTE (COM) Descrição dos...'!Titulos_de_impressao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2021-12-29T14:57:37Z</dcterms:created>
  <dcterms:modified xsi:type="dcterms:W3CDTF">2022-01-10T19:12:01Z</dcterms:modified>
</cp:coreProperties>
</file>