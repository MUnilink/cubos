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cuments\github-repo\cubos\"/>
    </mc:Choice>
  </mc:AlternateContent>
  <bookViews>
    <workbookView xWindow="0" yWindow="0" windowWidth="20490" windowHeight="7035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G43" i="1" l="1"/>
  <c r="G46" i="1" l="1"/>
  <c r="G41" i="1"/>
  <c r="G40" i="1"/>
  <c r="G39" i="1"/>
  <c r="G36" i="1"/>
  <c r="G18" i="1"/>
  <c r="G19" i="1"/>
  <c r="G20" i="1"/>
  <c r="G21" i="1"/>
  <c r="G22" i="1"/>
  <c r="G17" i="1"/>
  <c r="G15" i="1"/>
  <c r="G7" i="1"/>
  <c r="G6" i="1"/>
  <c r="G3" i="1"/>
  <c r="G4" i="1"/>
  <c r="G5" i="1"/>
  <c r="G8" i="1"/>
  <c r="G9" i="1"/>
  <c r="G10" i="1"/>
  <c r="G11" i="1"/>
  <c r="G12" i="1"/>
  <c r="G13" i="1"/>
  <c r="G14" i="1"/>
  <c r="G16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7" i="1"/>
  <c r="G38" i="1"/>
  <c r="G2" i="1"/>
  <c r="G42" i="1" l="1"/>
  <c r="G44" i="1" s="1"/>
</calcChain>
</file>

<file path=xl/sharedStrings.xml><?xml version="1.0" encoding="utf-8"?>
<sst xmlns="http://schemas.openxmlformats.org/spreadsheetml/2006/main" count="88" uniqueCount="51">
  <si>
    <t>PERIODO</t>
  </si>
  <si>
    <t>DESC_VERBA1</t>
  </si>
  <si>
    <t>PROVENTO</t>
  </si>
  <si>
    <t>DESCONTO</t>
  </si>
  <si>
    <t>BASE PROVENTO</t>
  </si>
  <si>
    <t>BASE DESCONTO</t>
  </si>
  <si>
    <t>Total Geral</t>
  </si>
  <si>
    <t>202307</t>
  </si>
  <si>
    <t>ADIANT.SALARIO</t>
  </si>
  <si>
    <t>ARRED.MES</t>
  </si>
  <si>
    <t>ARREDONDAMENTO</t>
  </si>
  <si>
    <t>ARREDONDAMENTO DO AD</t>
  </si>
  <si>
    <t>B.EMP.V.TRANSPORTE</t>
  </si>
  <si>
    <t>BASE EMP VALE ALIMEN</t>
  </si>
  <si>
    <t>BASE FGTS</t>
  </si>
  <si>
    <t>BASE INSS</t>
  </si>
  <si>
    <t>BASE IR ADIANT.</t>
  </si>
  <si>
    <t>BASE IR FOLHA CALCUL</t>
  </si>
  <si>
    <t>BASE IR MES ANT.</t>
  </si>
  <si>
    <t>BASE IR SALARIO</t>
  </si>
  <si>
    <t>BS IR OUTRO MOD</t>
  </si>
  <si>
    <t>CESTA BASICA</t>
  </si>
  <si>
    <t>CLAUSULA CCT CESTA B</t>
  </si>
  <si>
    <t>CONTRIB INCRA</t>
  </si>
  <si>
    <t>CONTRIB SAL EDUC</t>
  </si>
  <si>
    <t>CONTRIB SEBRAE</t>
  </si>
  <si>
    <t>CONTRIB SENAT</t>
  </si>
  <si>
    <t>CONTRIB SEST</t>
  </si>
  <si>
    <t>DED.INSS SALARIO</t>
  </si>
  <si>
    <t>DEDUCAO MODELO SIMPL</t>
  </si>
  <si>
    <t>DEDUCOES MODELO COMP</t>
  </si>
  <si>
    <t>DESC CESTA</t>
  </si>
  <si>
    <t>DESC VALE ALIMENT</t>
  </si>
  <si>
    <t>DESC. ARRED. ADIANT</t>
  </si>
  <si>
    <t>FGTS A RECOLHER</t>
  </si>
  <si>
    <t>INSS</t>
  </si>
  <si>
    <t>INSS ACID TRABALHO</t>
  </si>
  <si>
    <t>IR ADIANT OUT MODELO</t>
  </si>
  <si>
    <t>IR ADIANTAMENTO</t>
  </si>
  <si>
    <t>LIQ.A RECEBER</t>
  </si>
  <si>
    <t>LIQUIDO DE ADIANTAME</t>
  </si>
  <si>
    <t>SALARIO BASE</t>
  </si>
  <si>
    <t>SALARIO MES</t>
  </si>
  <si>
    <t>TAXA NEGOCIAL CCT</t>
  </si>
  <si>
    <t>VALE TRANSPORTE</t>
  </si>
  <si>
    <t>PROVISÃO 13º</t>
  </si>
  <si>
    <t>PROVISÃO 1/3 FÉRIAS</t>
  </si>
  <si>
    <t>HORAS</t>
  </si>
  <si>
    <t>HORA TRABALHADA</t>
  </si>
  <si>
    <t>NF</t>
  </si>
  <si>
    <t>OUTROS CUSTOS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</si>
</sst>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R$-416]\ #,##0.00;\-[$R$-416]\ #,##0.00;[$R$-416]\ #,##0.00;@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2F8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164" fontId="1" fillId="4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vertical="center" readingOrder="1"/>
    </xf>
    <xf numFmtId="164" fontId="1" fillId="4" borderId="2" xfId="0" applyNumberFormat="1" applyFont="1" applyFill="1" applyBorder="1" applyAlignment="1">
      <alignment horizontal="right" vertical="center" readingOrder="1"/>
    </xf>
    <xf numFmtId="49" fontId="1" fillId="2" borderId="0" xfId="0" applyNumberFormat="1" applyFont="1" applyFill="1" applyBorder="1" applyAlignment="1">
      <alignment horizontal="left" vertical="center" readingOrder="1"/>
    </xf>
    <xf numFmtId="164" fontId="1" fillId="3" borderId="0" xfId="0" applyNumberFormat="1" applyFont="1" applyFill="1" applyBorder="1" applyAlignment="1">
      <alignment horizontal="right" vertical="center" readingOrder="1"/>
    </xf>
    <xf numFmtId="1" fontId="2" fillId="4" borderId="2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6"/>
  <sheetViews>
    <sheetView showGridLines="0" tabSelected="1" topLeftCell="A20" workbookViewId="0">
      <selection activeCell="G44" sqref="G44"/>
    </sheetView>
  </sheetViews>
  <sheetFormatPr defaultRowHeight="15" x14ac:dyDescent="0.25"/>
  <cols>
    <col min="1" max="1" width="13.140625" customWidth="1"/>
    <col min="2" max="2" width="20.28515625" bestFit="1" customWidth="1"/>
    <col min="3" max="3" width="11" customWidth="1"/>
    <col min="4" max="7" width="14.28515625" customWidth="1"/>
  </cols>
  <sheetData>
    <row r="1" spans="1:7" ht="15" customHeight="1" x14ac:dyDescent="0.2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" customHeight="1" x14ac:dyDescent="0.25">
      <c r="A2" s="1" t="s">
        <v>7</v>
      </c>
      <c r="B2" s="1" t="s">
        <v>8</v>
      </c>
      <c r="C2" s="3">
        <v>1339</v>
      </c>
      <c r="D2" s="3">
        <v>1339</v>
      </c>
      <c r="E2" s="3"/>
      <c r="F2" s="3"/>
      <c r="G2" s="4">
        <f>0</f>
        <v>0</v>
      </c>
    </row>
    <row r="3" spans="1:7" ht="15" customHeight="1" x14ac:dyDescent="0.25">
      <c r="A3" s="1" t="s">
        <v>7</v>
      </c>
      <c r="B3" s="1" t="s">
        <v>9</v>
      </c>
      <c r="C3" s="3"/>
      <c r="D3" s="3">
        <v>0.65</v>
      </c>
      <c r="E3" s="3"/>
      <c r="F3" s="3"/>
      <c r="G3" s="4">
        <f>0</f>
        <v>0</v>
      </c>
    </row>
    <row r="4" spans="1:7" ht="15" customHeight="1" x14ac:dyDescent="0.25">
      <c r="A4" s="1" t="s">
        <v>7</v>
      </c>
      <c r="B4" s="1" t="s">
        <v>10</v>
      </c>
      <c r="C4" s="3">
        <v>0.38</v>
      </c>
      <c r="D4" s="3"/>
      <c r="E4" s="3"/>
      <c r="F4" s="3"/>
      <c r="G4" s="4">
        <f>0</f>
        <v>0</v>
      </c>
    </row>
    <row r="5" spans="1:7" ht="15" customHeight="1" x14ac:dyDescent="0.25">
      <c r="A5" s="1" t="s">
        <v>7</v>
      </c>
      <c r="B5" s="1" t="s">
        <v>11</v>
      </c>
      <c r="C5" s="3">
        <v>0.61</v>
      </c>
      <c r="D5" s="3"/>
      <c r="E5" s="3"/>
      <c r="F5" s="3"/>
      <c r="G5" s="4">
        <f>0</f>
        <v>0</v>
      </c>
    </row>
    <row r="6" spans="1:7" ht="15" customHeight="1" x14ac:dyDescent="0.25">
      <c r="A6" s="1" t="s">
        <v>7</v>
      </c>
      <c r="B6" s="1" t="s">
        <v>12</v>
      </c>
      <c r="C6" s="3"/>
      <c r="D6" s="3"/>
      <c r="E6" s="3">
        <v>33.15</v>
      </c>
      <c r="F6" s="3"/>
      <c r="G6" s="4">
        <f>E6</f>
        <v>33.15</v>
      </c>
    </row>
    <row r="7" spans="1:7" ht="15" customHeight="1" x14ac:dyDescent="0.25">
      <c r="A7" s="1" t="s">
        <v>7</v>
      </c>
      <c r="B7" s="1" t="s">
        <v>13</v>
      </c>
      <c r="C7" s="3"/>
      <c r="D7" s="3"/>
      <c r="E7" s="3"/>
      <c r="F7" s="3">
        <v>472.49</v>
      </c>
      <c r="G7" s="4">
        <f>F7</f>
        <v>472.49</v>
      </c>
    </row>
    <row r="8" spans="1:7" ht="15" customHeight="1" x14ac:dyDescent="0.25">
      <c r="A8" s="1" t="s">
        <v>7</v>
      </c>
      <c r="B8" s="1" t="s">
        <v>14</v>
      </c>
      <c r="C8" s="3"/>
      <c r="D8" s="3"/>
      <c r="E8" s="3">
        <v>3347.5</v>
      </c>
      <c r="F8" s="3"/>
      <c r="G8" s="4">
        <f>0</f>
        <v>0</v>
      </c>
    </row>
    <row r="9" spans="1:7" ht="15" customHeight="1" x14ac:dyDescent="0.25">
      <c r="A9" s="1" t="s">
        <v>7</v>
      </c>
      <c r="B9" s="1" t="s">
        <v>15</v>
      </c>
      <c r="C9" s="3"/>
      <c r="D9" s="3"/>
      <c r="E9" s="3">
        <v>3347.5</v>
      </c>
      <c r="F9" s="3"/>
      <c r="G9" s="4">
        <f>0</f>
        <v>0</v>
      </c>
    </row>
    <row r="10" spans="1:7" ht="15" customHeight="1" x14ac:dyDescent="0.25">
      <c r="A10" s="1" t="s">
        <v>7</v>
      </c>
      <c r="B10" s="1" t="s">
        <v>16</v>
      </c>
      <c r="C10" s="3"/>
      <c r="D10" s="3"/>
      <c r="E10" s="3">
        <v>3274.92</v>
      </c>
      <c r="F10" s="3"/>
      <c r="G10" s="4">
        <f>0</f>
        <v>0</v>
      </c>
    </row>
    <row r="11" spans="1:7" ht="15" customHeight="1" x14ac:dyDescent="0.25">
      <c r="A11" s="1" t="s">
        <v>7</v>
      </c>
      <c r="B11" s="1" t="s">
        <v>17</v>
      </c>
      <c r="C11" s="3"/>
      <c r="D11" s="3"/>
      <c r="E11" s="3"/>
      <c r="F11" s="3">
        <v>1703.75</v>
      </c>
      <c r="G11" s="4">
        <f>0</f>
        <v>0</v>
      </c>
    </row>
    <row r="12" spans="1:7" ht="15" customHeight="1" x14ac:dyDescent="0.25">
      <c r="A12" s="1" t="s">
        <v>7</v>
      </c>
      <c r="B12" s="1" t="s">
        <v>18</v>
      </c>
      <c r="C12" s="3"/>
      <c r="D12" s="3"/>
      <c r="E12" s="3">
        <v>1935.92</v>
      </c>
      <c r="F12" s="3"/>
      <c r="G12" s="4">
        <f>0</f>
        <v>0</v>
      </c>
    </row>
    <row r="13" spans="1:7" ht="15" customHeight="1" x14ac:dyDescent="0.25">
      <c r="A13" s="1" t="s">
        <v>7</v>
      </c>
      <c r="B13" s="1" t="s">
        <v>19</v>
      </c>
      <c r="C13" s="3"/>
      <c r="D13" s="3"/>
      <c r="E13" s="3">
        <v>2008.5</v>
      </c>
      <c r="F13" s="3"/>
      <c r="G13" s="4">
        <f>0</f>
        <v>0</v>
      </c>
    </row>
    <row r="14" spans="1:7" ht="15" customHeight="1" x14ac:dyDescent="0.25">
      <c r="A14" s="1" t="s">
        <v>7</v>
      </c>
      <c r="B14" s="1" t="s">
        <v>20</v>
      </c>
      <c r="C14" s="3"/>
      <c r="D14" s="3"/>
      <c r="E14" s="3"/>
      <c r="F14" s="3">
        <v>2983.56</v>
      </c>
      <c r="G14" s="4">
        <f>0</f>
        <v>0</v>
      </c>
    </row>
    <row r="15" spans="1:7" ht="15" customHeight="1" x14ac:dyDescent="0.25">
      <c r="A15" s="1" t="s">
        <v>7</v>
      </c>
      <c r="B15" s="1" t="s">
        <v>21</v>
      </c>
      <c r="C15" s="3"/>
      <c r="D15" s="3"/>
      <c r="E15" s="3">
        <v>189.99</v>
      </c>
      <c r="F15" s="3"/>
      <c r="G15" s="4">
        <f>E15</f>
        <v>189.99</v>
      </c>
    </row>
    <row r="16" spans="1:7" ht="15" customHeight="1" x14ac:dyDescent="0.25">
      <c r="A16" s="1" t="s">
        <v>7</v>
      </c>
      <c r="B16" s="1" t="s">
        <v>22</v>
      </c>
      <c r="C16" s="3"/>
      <c r="D16" s="3">
        <v>18</v>
      </c>
      <c r="E16" s="3"/>
      <c r="F16" s="3"/>
      <c r="G16" s="4">
        <f>0</f>
        <v>0</v>
      </c>
    </row>
    <row r="17" spans="1:7" ht="15" customHeight="1" x14ac:dyDescent="0.25">
      <c r="A17" s="1" t="s">
        <v>7</v>
      </c>
      <c r="B17" s="1" t="s">
        <v>23</v>
      </c>
      <c r="C17" s="3"/>
      <c r="D17" s="3"/>
      <c r="E17" s="3">
        <v>6.7</v>
      </c>
      <c r="F17" s="3"/>
      <c r="G17" s="4">
        <f>E17</f>
        <v>6.7</v>
      </c>
    </row>
    <row r="18" spans="1:7" ht="15" customHeight="1" x14ac:dyDescent="0.25">
      <c r="A18" s="1" t="s">
        <v>7</v>
      </c>
      <c r="B18" s="1" t="s">
        <v>24</v>
      </c>
      <c r="C18" s="3"/>
      <c r="D18" s="3"/>
      <c r="E18" s="3">
        <v>83.69</v>
      </c>
      <c r="F18" s="3"/>
      <c r="G18" s="4">
        <f t="shared" ref="G18:G22" si="0">E18</f>
        <v>83.69</v>
      </c>
    </row>
    <row r="19" spans="1:7" ht="15" customHeight="1" x14ac:dyDescent="0.25">
      <c r="A19" s="1" t="s">
        <v>7</v>
      </c>
      <c r="B19" s="1" t="s">
        <v>25</v>
      </c>
      <c r="C19" s="3"/>
      <c r="D19" s="3"/>
      <c r="E19" s="3">
        <v>20.09</v>
      </c>
      <c r="F19" s="3"/>
      <c r="G19" s="4">
        <f t="shared" si="0"/>
        <v>20.09</v>
      </c>
    </row>
    <row r="20" spans="1:7" ht="15" customHeight="1" x14ac:dyDescent="0.25">
      <c r="A20" s="1" t="s">
        <v>7</v>
      </c>
      <c r="B20" s="1" t="s">
        <v>26</v>
      </c>
      <c r="C20" s="3"/>
      <c r="D20" s="3"/>
      <c r="E20" s="3">
        <v>33.479999999999997</v>
      </c>
      <c r="F20" s="3"/>
      <c r="G20" s="4">
        <f t="shared" si="0"/>
        <v>33.479999999999997</v>
      </c>
    </row>
    <row r="21" spans="1:7" ht="15" customHeight="1" x14ac:dyDescent="0.25">
      <c r="A21" s="1" t="s">
        <v>7</v>
      </c>
      <c r="B21" s="1" t="s">
        <v>27</v>
      </c>
      <c r="C21" s="3"/>
      <c r="D21" s="3"/>
      <c r="E21" s="3">
        <v>50.21</v>
      </c>
      <c r="F21" s="3"/>
      <c r="G21" s="4">
        <f t="shared" si="0"/>
        <v>50.21</v>
      </c>
    </row>
    <row r="22" spans="1:7" ht="15" customHeight="1" x14ac:dyDescent="0.25">
      <c r="A22" s="1" t="s">
        <v>7</v>
      </c>
      <c r="B22" s="1" t="s">
        <v>28</v>
      </c>
      <c r="C22" s="3"/>
      <c r="D22" s="3"/>
      <c r="E22" s="3">
        <v>304.75</v>
      </c>
      <c r="F22" s="3"/>
      <c r="G22" s="4">
        <f t="shared" si="0"/>
        <v>304.75</v>
      </c>
    </row>
    <row r="23" spans="1:7" ht="15" customHeight="1" x14ac:dyDescent="0.25">
      <c r="A23" s="1" t="s">
        <v>7</v>
      </c>
      <c r="B23" s="1" t="s">
        <v>29</v>
      </c>
      <c r="C23" s="3"/>
      <c r="D23" s="3"/>
      <c r="E23" s="3"/>
      <c r="F23" s="3">
        <v>1056</v>
      </c>
      <c r="G23" s="4">
        <f>0</f>
        <v>0</v>
      </c>
    </row>
    <row r="24" spans="1:7" ht="15" customHeight="1" x14ac:dyDescent="0.25">
      <c r="A24" s="1" t="s">
        <v>7</v>
      </c>
      <c r="B24" s="1" t="s">
        <v>30</v>
      </c>
      <c r="C24" s="3"/>
      <c r="D24" s="3"/>
      <c r="E24" s="3"/>
      <c r="F24" s="3">
        <v>291.36</v>
      </c>
      <c r="G24" s="4">
        <f>0</f>
        <v>0</v>
      </c>
    </row>
    <row r="25" spans="1:7" ht="15" customHeight="1" x14ac:dyDescent="0.25">
      <c r="A25" s="1" t="s">
        <v>7</v>
      </c>
      <c r="B25" s="1" t="s">
        <v>31</v>
      </c>
      <c r="C25" s="3"/>
      <c r="D25" s="3">
        <v>0.01</v>
      </c>
      <c r="E25" s="3"/>
      <c r="F25" s="3"/>
      <c r="G25" s="4">
        <f>0</f>
        <v>0</v>
      </c>
    </row>
    <row r="26" spans="1:7" ht="15" customHeight="1" x14ac:dyDescent="0.25">
      <c r="A26" s="1" t="s">
        <v>7</v>
      </c>
      <c r="B26" s="1" t="s">
        <v>32</v>
      </c>
      <c r="C26" s="3"/>
      <c r="D26" s="3">
        <v>0.01</v>
      </c>
      <c r="E26" s="3"/>
      <c r="F26" s="3"/>
      <c r="G26" s="4">
        <f>0</f>
        <v>0</v>
      </c>
    </row>
    <row r="27" spans="1:7" ht="15" customHeight="1" x14ac:dyDescent="0.25">
      <c r="A27" s="1" t="s">
        <v>7</v>
      </c>
      <c r="B27" s="1" t="s">
        <v>33</v>
      </c>
      <c r="C27" s="3"/>
      <c r="D27" s="3">
        <v>0.61</v>
      </c>
      <c r="E27" s="3"/>
      <c r="F27" s="3"/>
      <c r="G27" s="4">
        <f>0</f>
        <v>0</v>
      </c>
    </row>
    <row r="28" spans="1:7" ht="15" customHeight="1" x14ac:dyDescent="0.25">
      <c r="A28" s="1" t="s">
        <v>7</v>
      </c>
      <c r="B28" s="1" t="s">
        <v>34</v>
      </c>
      <c r="C28" s="3"/>
      <c r="D28" s="3"/>
      <c r="E28" s="3">
        <v>267.8</v>
      </c>
      <c r="F28" s="3"/>
      <c r="G28" s="4">
        <f>0</f>
        <v>0</v>
      </c>
    </row>
    <row r="29" spans="1:7" ht="15" customHeight="1" x14ac:dyDescent="0.25">
      <c r="A29" s="1" t="s">
        <v>7</v>
      </c>
      <c r="B29" s="1" t="s">
        <v>35</v>
      </c>
      <c r="C29" s="3"/>
      <c r="D29" s="3">
        <v>304.75</v>
      </c>
      <c r="E29" s="3"/>
      <c r="F29" s="3"/>
      <c r="G29" s="4">
        <f>0</f>
        <v>0</v>
      </c>
    </row>
    <row r="30" spans="1:7" ht="15" customHeight="1" x14ac:dyDescent="0.25">
      <c r="A30" s="1" t="s">
        <v>7</v>
      </c>
      <c r="B30" s="1" t="s">
        <v>36</v>
      </c>
      <c r="C30" s="3"/>
      <c r="D30" s="3"/>
      <c r="E30" s="3">
        <v>95.04</v>
      </c>
      <c r="F30" s="3"/>
      <c r="G30" s="4">
        <f>0</f>
        <v>0</v>
      </c>
    </row>
    <row r="31" spans="1:7" ht="15" customHeight="1" x14ac:dyDescent="0.25">
      <c r="A31" s="1" t="s">
        <v>7</v>
      </c>
      <c r="B31" s="1" t="s">
        <v>37</v>
      </c>
      <c r="C31" s="3"/>
      <c r="D31" s="3"/>
      <c r="E31" s="3"/>
      <c r="F31" s="3">
        <v>77.13</v>
      </c>
      <c r="G31" s="4">
        <f>0</f>
        <v>0</v>
      </c>
    </row>
    <row r="32" spans="1:7" ht="15" customHeight="1" x14ac:dyDescent="0.25">
      <c r="A32" s="1" t="s">
        <v>7</v>
      </c>
      <c r="B32" s="1" t="s">
        <v>38</v>
      </c>
      <c r="C32" s="3"/>
      <c r="D32" s="3">
        <v>47.61</v>
      </c>
      <c r="E32" s="3">
        <v>47.61</v>
      </c>
      <c r="F32" s="3"/>
      <c r="G32" s="4">
        <f>0</f>
        <v>0</v>
      </c>
    </row>
    <row r="33" spans="1:7" ht="15" customHeight="1" x14ac:dyDescent="0.25">
      <c r="A33" s="1" t="s">
        <v>7</v>
      </c>
      <c r="B33" s="1" t="s">
        <v>39</v>
      </c>
      <c r="C33" s="3"/>
      <c r="D33" s="3"/>
      <c r="E33" s="3">
        <v>1464</v>
      </c>
      <c r="F33" s="3"/>
      <c r="G33" s="4">
        <f>0</f>
        <v>0</v>
      </c>
    </row>
    <row r="34" spans="1:7" ht="15" customHeight="1" x14ac:dyDescent="0.25">
      <c r="A34" s="1" t="s">
        <v>7</v>
      </c>
      <c r="B34" s="1" t="s">
        <v>40</v>
      </c>
      <c r="C34" s="3"/>
      <c r="D34" s="3"/>
      <c r="E34" s="3">
        <v>1292</v>
      </c>
      <c r="F34" s="3"/>
      <c r="G34" s="4">
        <f>0</f>
        <v>0</v>
      </c>
    </row>
    <row r="35" spans="1:7" ht="15" customHeight="1" x14ac:dyDescent="0.25">
      <c r="A35" s="1" t="s">
        <v>7</v>
      </c>
      <c r="B35" s="1" t="s">
        <v>41</v>
      </c>
      <c r="C35" s="3">
        <v>3347.5</v>
      </c>
      <c r="D35" s="3"/>
      <c r="E35" s="3"/>
      <c r="F35" s="3"/>
      <c r="G35" s="4">
        <f>0</f>
        <v>0</v>
      </c>
    </row>
    <row r="36" spans="1:7" ht="15" customHeight="1" x14ac:dyDescent="0.25">
      <c r="A36" s="1" t="s">
        <v>7</v>
      </c>
      <c r="B36" s="1" t="s">
        <v>42</v>
      </c>
      <c r="C36" s="3"/>
      <c r="D36" s="3"/>
      <c r="E36" s="3">
        <v>3347.5</v>
      </c>
      <c r="F36" s="3"/>
      <c r="G36" s="4">
        <f>E36</f>
        <v>3347.5</v>
      </c>
    </row>
    <row r="37" spans="1:7" ht="15" customHeight="1" x14ac:dyDescent="0.25">
      <c r="A37" s="1" t="s">
        <v>7</v>
      </c>
      <c r="B37" s="1" t="s">
        <v>43</v>
      </c>
      <c r="C37" s="3"/>
      <c r="D37" s="3">
        <v>20</v>
      </c>
      <c r="E37" s="3"/>
      <c r="F37" s="3"/>
      <c r="G37" s="4">
        <f>0</f>
        <v>0</v>
      </c>
    </row>
    <row r="38" spans="1:7" ht="15" customHeight="1" x14ac:dyDescent="0.25">
      <c r="A38" s="1" t="s">
        <v>7</v>
      </c>
      <c r="B38" s="1" t="s">
        <v>44</v>
      </c>
      <c r="C38" s="3"/>
      <c r="D38" s="3">
        <v>200.85</v>
      </c>
      <c r="E38" s="3"/>
      <c r="F38" s="3"/>
      <c r="G38" s="4">
        <f>0</f>
        <v>0</v>
      </c>
    </row>
    <row r="39" spans="1:7" ht="15" customHeight="1" x14ac:dyDescent="0.25">
      <c r="A39" s="7"/>
      <c r="B39" s="7" t="s">
        <v>45</v>
      </c>
      <c r="C39" s="8"/>
      <c r="D39" s="8"/>
      <c r="E39" s="8"/>
      <c r="F39" s="8"/>
      <c r="G39" s="6">
        <f>$E$36/12</f>
        <v>278.95833333333331</v>
      </c>
    </row>
    <row r="40" spans="1:7" ht="15" customHeight="1" x14ac:dyDescent="0.25">
      <c r="A40" s="7"/>
      <c r="B40" s="7" t="s">
        <v>46</v>
      </c>
      <c r="C40" s="8"/>
      <c r="D40" s="8"/>
      <c r="E40" s="8"/>
      <c r="F40" s="8"/>
      <c r="G40" s="6">
        <f>$E$36/36</f>
        <v>92.986111111111114</v>
      </c>
    </row>
    <row r="41" spans="1:7" ht="15" customHeight="1" x14ac:dyDescent="0.25">
      <c r="A41" s="7"/>
      <c r="B41" s="7" t="s">
        <v>50</v>
      </c>
      <c r="C41" s="8"/>
      <c r="D41" s="8"/>
      <c r="E41" s="8"/>
      <c r="F41" s="8"/>
      <c r="G41" s="6">
        <f>$E$36/8</f>
        <v>418.4375</v>
      </c>
    </row>
    <row r="42" spans="1:7" ht="15" customHeight="1" x14ac:dyDescent="0.25">
      <c r="A42" s="7"/>
      <c r="B42" s="7"/>
      <c r="C42" s="8"/>
      <c r="D42" s="8"/>
      <c r="E42" s="8"/>
      <c r="F42" s="8"/>
      <c r="G42" s="6">
        <f>SUM(G2:G41)</f>
        <v>5332.4319444444445</v>
      </c>
    </row>
    <row r="43" spans="1:7" ht="15" customHeight="1" x14ac:dyDescent="0.25">
      <c r="A43" s="7"/>
      <c r="B43" s="7" t="s">
        <v>47</v>
      </c>
      <c r="C43" s="8"/>
      <c r="D43" s="8"/>
      <c r="E43" s="8"/>
      <c r="F43" s="8"/>
      <c r="G43" s="9">
        <f>9*22</f>
        <v>198</v>
      </c>
    </row>
    <row r="44" spans="1:7" ht="15" customHeight="1" x14ac:dyDescent="0.25">
      <c r="A44" s="7"/>
      <c r="B44" s="7" t="s">
        <v>48</v>
      </c>
      <c r="C44" s="8"/>
      <c r="D44" s="8"/>
      <c r="E44" s="8"/>
      <c r="F44" s="8"/>
      <c r="G44" s="6">
        <f>G42/G43</f>
        <v>26.931474466891135</v>
      </c>
    </row>
    <row r="45" spans="1:7" x14ac:dyDescent="0.25">
      <c r="B45" s="7" t="s">
        <v>48</v>
      </c>
      <c r="C45" s="8"/>
      <c r="D45" s="8"/>
      <c r="E45" s="8"/>
      <c r="F45" s="8"/>
      <c r="G45" s="6">
        <v>30</v>
      </c>
    </row>
    <row r="46" spans="1:7" x14ac:dyDescent="0.25">
      <c r="B46" s="7" t="s">
        <v>49</v>
      </c>
      <c r="G46" s="6">
        <f>G45*G43</f>
        <v>5940</v>
      </c>
    </row>
  </sheetData>
  <pageMargins left="1" right="1" top="1" bottom="1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Manoel</cp:lastModifiedBy>
  <dcterms:created xsi:type="dcterms:W3CDTF">2023-08-24T12:22:14Z</dcterms:created>
  <dcterms:modified xsi:type="dcterms:W3CDTF">2023-08-24T12:42:18Z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